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35" firstSheet="0" activeTab="0" autoFilterDateGrouping="1"/>
  </bookViews>
  <sheets>
    <sheet xmlns:r="http://schemas.openxmlformats.org/officeDocument/2006/relationships" name="CUADRO DE MANDO T" sheetId="1" state="visible" r:id="rId1"/>
    <sheet xmlns:r="http://schemas.openxmlformats.org/officeDocument/2006/relationships" name="PMP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RESUMEN INVENTARIO T" sheetId="4" state="visible" r:id="rId4"/>
    <sheet xmlns:r="http://schemas.openxmlformats.org/officeDocument/2006/relationships" name="RESUMEN DESPACHO" sheetId="5" state="visible" r:id="rId5"/>
    <sheet xmlns:r="http://schemas.openxmlformats.org/officeDocument/2006/relationships" name="INVENTARIO" sheetId="6" state="visible" r:id="rId6"/>
    <sheet xmlns:r="http://schemas.openxmlformats.org/officeDocument/2006/relationships" name="DESPACHOS 20 DIAS" sheetId="7" state="visible" r:id="rId7"/>
  </sheets>
  <definedNames>
    <definedName name="DIAS_PERIODO">'CUADRO DE MANDO T'!$I$9</definedName>
  </definedNames>
  <calcPr calcId="191029" fullCalcOnLoad="1"/>
  <pivotCaches>
    <pivotCache xmlns:r="http://schemas.openxmlformats.org/officeDocument/2006/relationships" cacheId="5" r:id="rId8"/>
    <pivotCache xmlns:r="http://schemas.openxmlformats.org/officeDocument/2006/relationships" cacheId="3" r:id="rId9"/>
    <pivotCache xmlns:r="http://schemas.openxmlformats.org/officeDocument/2006/relationships" cacheId="4" r:id="rId10"/>
  </pivotCaches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[$-F800]dddd\,\ mmmm\ dd\,\ yyyy"/>
    <numFmt numFmtId="166" formatCode="[&gt;150]&quot;&gt;150&quot;;#,##0"/>
    <numFmt numFmtId="167" formatCode="[&gt;15]&quot;&gt;15&quot;;#,##0"/>
  </numFmts>
  <fonts count="46">
    <font>
      <name val="Calibri"/>
      <family val="2"/>
      <color theme="1"/>
      <sz val="11"/>
      <scheme val="minor"/>
    </font>
    <font>
      <name val="Arial"/>
      <family val="2"/>
      <color theme="0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 tint="0.249977111117893"/>
      <sz val="8"/>
    </font>
    <font>
      <name val="Arial"/>
      <family val="2"/>
      <color theme="1"/>
      <sz val="8"/>
      <u val="single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Calibri"/>
      <family val="2"/>
      <color rgb="FF000000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color rgb="FFFFFFFF"/>
      <sz val="8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Consolas"/>
      <family val="3"/>
      <color rgb="FF242729"/>
      <sz val="10"/>
    </font>
    <font>
      <name val="Inherit"/>
      <color rgb="FF242729"/>
      <sz val="10"/>
    </font>
    <font>
      <name val="Arial"/>
      <family val="2"/>
      <sz val="9"/>
    </font>
    <font>
      <name val="Calibri"/>
      <sz val="8"/>
    </font>
    <font>
      <name val="Calibri"/>
      <color indexed="9"/>
      <sz val="8"/>
    </font>
    <font>
      <name val="Calibri"/>
      <color indexed="8"/>
      <sz val="8"/>
    </font>
    <font>
      <name val="Calibri"/>
      <i val="1"/>
      <color rgb="FF808080"/>
      <sz val="7"/>
    </font>
    <font>
      <name val="Calibri"/>
      <b val="1"/>
      <color rgb="FF1F3864"/>
      <sz val="8"/>
    </font>
    <font>
      <name val="Calibri"/>
      <b val="1"/>
      <color rgb="FFFFFFFF"/>
      <sz val="8"/>
    </font>
    <font>
      <name val="Calibri"/>
      <b val="1"/>
      <sz val="8"/>
    </font>
    <font>
      <name val="Calibri"/>
      <b val="1"/>
      <color rgb="FF1F4E79"/>
      <sz val="9"/>
    </font>
    <font>
      <name val="Calibri"/>
      <color rgb="FF404040"/>
      <sz val="8"/>
    </font>
    <font>
      <name val="Calibri"/>
      <b val="1"/>
      <color rgb="FF404040"/>
      <sz val="8"/>
    </font>
    <font>
      <name val="Calibri"/>
      <i val="1"/>
      <color rgb="FF808080"/>
      <sz val="8"/>
    </font>
  </fonts>
  <fills count="5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</patternFill>
    </fill>
    <fill>
      <patternFill patternType="solid">
        <fgColor rgb="FF9DC3E6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3" fillId="0" borderId="0"/>
    <xf numFmtId="43" fontId="3" fillId="0" borderId="0"/>
    <xf numFmtId="0" fontId="10" fillId="0" borderId="0"/>
    <xf numFmtId="0" fontId="11" fillId="0" borderId="0"/>
    <xf numFmtId="0" fontId="12" fillId="0" borderId="10"/>
    <xf numFmtId="0" fontId="13" fillId="0" borderId="11"/>
    <xf numFmtId="0" fontId="14" fillId="0" borderId="12"/>
    <xf numFmtId="0" fontId="14" fillId="0" borderId="0"/>
    <xf numFmtId="0" fontId="15" fillId="13" borderId="0"/>
    <xf numFmtId="0" fontId="16" fillId="14" borderId="0"/>
    <xf numFmtId="0" fontId="17" fillId="15" borderId="0"/>
    <xf numFmtId="0" fontId="18" fillId="16" borderId="13"/>
    <xf numFmtId="0" fontId="19" fillId="17" borderId="14"/>
    <xf numFmtId="0" fontId="20" fillId="17" borderId="13"/>
    <xf numFmtId="0" fontId="21" fillId="0" borderId="15"/>
    <xf numFmtId="0" fontId="22" fillId="18" borderId="16"/>
    <xf numFmtId="0" fontId="23" fillId="0" borderId="0"/>
    <xf numFmtId="0" fontId="3" fillId="19" borderId="17"/>
    <xf numFmtId="0" fontId="24" fillId="0" borderId="0"/>
    <xf numFmtId="0" fontId="25" fillId="0" borderId="18"/>
    <xf numFmtId="0" fontId="26" fillId="20" borderId="0"/>
    <xf numFmtId="0" fontId="3" fillId="21" borderId="0"/>
    <xf numFmtId="0" fontId="3" fillId="22" borderId="0"/>
    <xf numFmtId="0" fontId="26" fillId="23" borderId="0"/>
    <xf numFmtId="0" fontId="26" fillId="24" borderId="0"/>
    <xf numFmtId="0" fontId="3" fillId="25" borderId="0"/>
    <xf numFmtId="0" fontId="3" fillId="26" borderId="0"/>
    <xf numFmtId="0" fontId="26" fillId="27" borderId="0"/>
    <xf numFmtId="0" fontId="26" fillId="28" borderId="0"/>
    <xf numFmtId="0" fontId="3" fillId="29" borderId="0"/>
    <xf numFmtId="0" fontId="3" fillId="30" borderId="0"/>
    <xf numFmtId="0" fontId="26" fillId="31" borderId="0"/>
    <xf numFmtId="0" fontId="26" fillId="32" borderId="0"/>
    <xf numFmtId="0" fontId="3" fillId="33" borderId="0"/>
    <xf numFmtId="0" fontId="3" fillId="34" borderId="0"/>
    <xf numFmtId="0" fontId="26" fillId="35" borderId="0"/>
    <xf numFmtId="0" fontId="26" fillId="36" borderId="0"/>
    <xf numFmtId="0" fontId="3" fillId="37" borderId="0"/>
    <xf numFmtId="0" fontId="3" fillId="38" borderId="0"/>
    <xf numFmtId="0" fontId="26" fillId="39" borderId="0"/>
    <xf numFmtId="0" fontId="26" fillId="40" borderId="0"/>
    <xf numFmtId="0" fontId="3" fillId="41" borderId="0"/>
    <xf numFmtId="0" fontId="3" fillId="42" borderId="0"/>
    <xf numFmtId="0" fontId="26" fillId="43" borderId="0"/>
  </cellStyleXfs>
  <cellXfs count="147">
    <xf numFmtId="0" fontId="0" fillId="0" borderId="0" pivotButton="0" quotePrefix="0" xfId="0"/>
    <xf numFmtId="0" fontId="2" fillId="5" borderId="1" applyAlignment="1" pivotButton="0" quotePrefix="0" xfId="0">
      <alignment horizontal="left" vertical="center"/>
    </xf>
    <xf numFmtId="0" fontId="2" fillId="0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  <xf numFmtId="1" fontId="2" fillId="0" borderId="0" applyAlignment="1" pivotButton="0" quotePrefix="0" xfId="0">
      <alignment horizontal="center" vertical="center"/>
    </xf>
    <xf numFmtId="49" fontId="1" fillId="2" borderId="1" applyAlignment="1" pivotButton="0" quotePrefix="0" xfId="0">
      <alignment horizontal="left" vertical="center"/>
    </xf>
    <xf numFmtId="49" fontId="1" fillId="6" borderId="1" applyAlignment="1" pivotButton="0" quotePrefix="0" xfId="0">
      <alignment horizontal="left" vertical="center"/>
    </xf>
    <xf numFmtId="0" fontId="2" fillId="3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3" fontId="1" fillId="8" borderId="2" applyAlignment="1" pivotButton="0" quotePrefix="0" xfId="0">
      <alignment horizontal="center" vertical="center"/>
    </xf>
    <xf numFmtId="164" fontId="8" fillId="8" borderId="6" applyAlignment="1" pivotButton="0" quotePrefix="0" xfId="1">
      <alignment vertical="center"/>
    </xf>
    <xf numFmtId="1" fontId="8" fillId="8" borderId="2" applyAlignment="1" pivotButton="0" quotePrefix="0" xfId="0">
      <alignment horizontal="center" vertical="center" wrapText="1"/>
    </xf>
    <xf numFmtId="3" fontId="8" fillId="8" borderId="2" applyAlignment="1" pivotButton="0" quotePrefix="0" xfId="1">
      <alignment horizontal="center" vertical="center" wrapText="1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164" fontId="2" fillId="0" borderId="0" pivotButton="0" quotePrefix="0" xfId="1"/>
    <xf numFmtId="164" fontId="2" fillId="0" borderId="1" pivotButton="0" quotePrefix="0" xfId="1"/>
    <xf numFmtId="43" fontId="2" fillId="0" borderId="0" pivotButton="0" quotePrefix="0" xfId="0"/>
    <xf numFmtId="164" fontId="2" fillId="0" borderId="0" pivotButton="0" quotePrefix="0" xfId="0"/>
    <xf numFmtId="0" fontId="1" fillId="8" borderId="2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0" fontId="27" fillId="8" borderId="1" pivotButton="0" quotePrefix="0" xfId="0"/>
    <xf numFmtId="0" fontId="28" fillId="44" borderId="1" pivotButton="0" quotePrefix="0" xfId="0"/>
    <xf numFmtId="0" fontId="28" fillId="0" borderId="1" pivotButton="0" quotePrefix="0" xfId="0"/>
    <xf numFmtId="0" fontId="28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1" pivotButton="0" quotePrefix="0" xfId="0"/>
    <xf numFmtId="0" fontId="30" fillId="0" borderId="1" pivotButton="0" quotePrefix="0" xfId="0"/>
    <xf numFmtId="164" fontId="31" fillId="0" borderId="1" pivotButton="0" quotePrefix="0" xfId="0"/>
    <xf numFmtId="165" fontId="2" fillId="0" borderId="0" applyAlignment="1" pivotButton="0" quotePrefix="0" xfId="0">
      <alignment horizontal="left" vertical="center"/>
    </xf>
    <xf numFmtId="164" fontId="8" fillId="8" borderId="2" applyAlignment="1" pivotButton="0" quotePrefix="0" xfId="1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0" fontId="34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1">
      <alignment vertical="center"/>
    </xf>
    <xf numFmtId="1" fontId="2" fillId="0" borderId="0" applyAlignment="1" pivotButton="0" quotePrefix="0" xfId="0">
      <alignment vertical="center"/>
    </xf>
    <xf numFmtId="0" fontId="2" fillId="3" borderId="20" pivotButton="0" quotePrefix="0" xfId="0"/>
    <xf numFmtId="0" fontId="2" fillId="3" borderId="20" applyAlignment="1" pivotButton="0" quotePrefix="0" xfId="0">
      <alignment horizontal="left" vertical="center"/>
    </xf>
    <xf numFmtId="0" fontId="0" fillId="0" borderId="21" pivotButton="0" quotePrefix="0" xfId="0"/>
    <xf numFmtId="0" fontId="2" fillId="0" borderId="22" pivotButton="0" quotePrefix="0" xfId="0"/>
    <xf numFmtId="0" fontId="0" fillId="0" borderId="23" pivotButton="0" quotePrefix="0" xfId="0"/>
    <xf numFmtId="0" fontId="2" fillId="0" borderId="24" pivotButton="0" quotePrefix="0" xfId="0"/>
    <xf numFmtId="0" fontId="0" fillId="0" borderId="25" pivotButton="0" quotePrefix="0" xfId="0"/>
    <xf numFmtId="0" fontId="2" fillId="0" borderId="26" pivotButton="0" quotePrefix="0" xfId="0"/>
    <xf numFmtId="1" fontId="35" fillId="0" borderId="28" applyAlignment="1" pivotButton="0" quotePrefix="0" xfId="0">
      <alignment horizontal="center"/>
    </xf>
    <xf numFmtId="0" fontId="36" fillId="47" borderId="28" applyAlignment="1" pivotButton="0" quotePrefix="0" xfId="0">
      <alignment horizontal="center"/>
    </xf>
    <xf numFmtId="0" fontId="37" fillId="0" borderId="28" pivotButton="0" quotePrefix="0" xfId="0"/>
    <xf numFmtId="0" fontId="37" fillId="17" borderId="28" pivotButton="0" quotePrefix="0" xfId="0"/>
    <xf numFmtId="165" fontId="2" fillId="0" borderId="0" applyAlignment="1" pivotButton="0" quotePrefix="0" xfId="0">
      <alignment horizontal="left" vertical="center"/>
    </xf>
    <xf numFmtId="0" fontId="9" fillId="45" borderId="1" applyAlignment="1" pivotButton="0" quotePrefix="0" xfId="0">
      <alignment horizontal="center" vertical="center"/>
    </xf>
    <xf numFmtId="1" fontId="1" fillId="2" borderId="8" applyAlignment="1" pivotButton="0" quotePrefix="0" xfId="0">
      <alignment horizontal="center" vertical="center"/>
    </xf>
    <xf numFmtId="1" fontId="1" fillId="2" borderId="9" applyAlignment="1" pivotButton="0" quotePrefix="0" xfId="0">
      <alignment horizontal="center" vertical="center"/>
    </xf>
    <xf numFmtId="1" fontId="1" fillId="2" borderId="19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29" fillId="46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3" fontId="6" fillId="7" borderId="5" applyAlignment="1" pivotButton="0" quotePrefix="0" xfId="0">
      <alignment horizontal="center" vertical="center" wrapText="1"/>
    </xf>
    <xf numFmtId="3" fontId="6" fillId="7" borderId="7" applyAlignment="1" pivotButton="0" quotePrefix="0" xfId="0">
      <alignment horizontal="center" vertical="center" wrapText="1"/>
    </xf>
    <xf numFmtId="0" fontId="6" fillId="7" borderId="5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164" fontId="8" fillId="8" borderId="2" applyAlignment="1" pivotButton="0" quotePrefix="0" xfId="1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164" fontId="8" fillId="8" borderId="3" applyAlignment="1" pivotButton="0" quotePrefix="0" xfId="1">
      <alignment horizontal="center" vertical="center" wrapText="1"/>
    </xf>
    <xf numFmtId="164" fontId="8" fillId="8" borderId="4" applyAlignment="1" pivotButton="0" quotePrefix="0" xfId="1">
      <alignment horizontal="center" vertical="center" wrapText="1"/>
    </xf>
    <xf numFmtId="0" fontId="6" fillId="7" borderId="27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0" fontId="35" fillId="0" borderId="0" applyAlignment="1" pivotButton="0" quotePrefix="0" xfId="0">
      <alignment horizontal="right" vertical="center"/>
    </xf>
    <xf numFmtId="0" fontId="41" fillId="50" borderId="0" applyAlignment="1" pivotButton="0" quotePrefix="0" xfId="0">
      <alignment horizontal="center" vertical="center"/>
    </xf>
    <xf numFmtId="0" fontId="0" fillId="0" borderId="34" pivotButton="0" quotePrefix="0" xfId="0"/>
    <xf numFmtId="1" fontId="1" fillId="2" borderId="3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9" pivotButton="0" quotePrefix="0" xfId="0"/>
    <xf numFmtId="0" fontId="41" fillId="0" borderId="0" applyAlignment="1" pivotButton="0" quotePrefix="0" xfId="0">
      <alignment horizontal="center" vertical="center"/>
    </xf>
    <xf numFmtId="165" fontId="41" fillId="0" borderId="0" applyAlignment="1" pivotButton="0" quotePrefix="0" xfId="0">
      <alignment horizontal="right" vertical="center"/>
    </xf>
    <xf numFmtId="0" fontId="41" fillId="51" borderId="0" applyAlignment="1" pivotButton="0" quotePrefix="0" xfId="0">
      <alignment horizontal="center" vertical="center"/>
    </xf>
    <xf numFmtId="0" fontId="38" fillId="0" borderId="0" pivotButton="0" quotePrefix="0" xfId="0"/>
    <xf numFmtId="164" fontId="8" fillId="8" borderId="2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164" fontId="8" fillId="8" borderId="3" applyAlignment="1" pivotButton="0" quotePrefix="0" xfId="1">
      <alignment horizontal="center" vertical="center" wrapText="1"/>
    </xf>
    <xf numFmtId="3" fontId="6" fillId="7" borderId="2" applyAlignment="1" pivotButton="0" quotePrefix="0" xfId="0">
      <alignment horizontal="center" vertical="center" wrapText="1"/>
    </xf>
    <xf numFmtId="164" fontId="8" fillId="8" borderId="6" applyAlignment="1" pivotButton="0" quotePrefix="0" xfId="1">
      <alignment vertical="center"/>
    </xf>
    <xf numFmtId="0" fontId="6" fillId="7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27" pivotButton="0" quotePrefix="0" xfId="0"/>
    <xf numFmtId="0" fontId="38" fillId="17" borderId="0" applyAlignment="1" pivotButton="0" quotePrefix="0" xfId="0">
      <alignment horizontal="left"/>
    </xf>
    <xf numFmtId="3" fontId="35" fillId="0" borderId="28" applyAlignment="1" pivotButton="0" quotePrefix="0" xfId="0">
      <alignment horizontal="center"/>
    </xf>
    <xf numFmtId="4" fontId="35" fillId="0" borderId="28" applyAlignment="1" pivotButton="0" quotePrefix="0" xfId="0">
      <alignment horizontal="center"/>
    </xf>
    <xf numFmtId="166" fontId="35" fillId="0" borderId="28" applyAlignment="1" pivotButton="0" quotePrefix="0" xfId="0">
      <alignment horizontal="center"/>
    </xf>
    <xf numFmtId="1" fontId="35" fillId="0" borderId="28" applyAlignment="1" pivotButton="0" quotePrefix="0" xfId="0">
      <alignment horizontal="center" vertical="center"/>
    </xf>
    <xf numFmtId="0" fontId="39" fillId="48" borderId="28" applyAlignment="1" pivotButton="0" quotePrefix="0" xfId="0">
      <alignment horizontal="center"/>
    </xf>
    <xf numFmtId="0" fontId="39" fillId="48" borderId="28" applyAlignment="1" pivotButton="0" quotePrefix="0" xfId="0">
      <alignment horizontal="left" vertical="center"/>
    </xf>
    <xf numFmtId="3" fontId="39" fillId="48" borderId="28" applyAlignment="1" pivotButton="0" quotePrefix="0" xfId="0">
      <alignment horizontal="center"/>
    </xf>
    <xf numFmtId="4" fontId="39" fillId="48" borderId="28" applyAlignment="1" pivotButton="0" quotePrefix="0" xfId="0">
      <alignment horizontal="center"/>
    </xf>
    <xf numFmtId="166" fontId="39" fillId="48" borderId="28" applyAlignment="1" pivotButton="0" quotePrefix="0" xfId="0">
      <alignment horizontal="center"/>
    </xf>
    <xf numFmtId="166" fontId="39" fillId="48" borderId="0" pivotButton="0" quotePrefix="0" xfId="0"/>
    <xf numFmtId="0" fontId="39" fillId="48" borderId="0" applyAlignment="1" pivotButton="0" quotePrefix="0" xfId="0">
      <alignment horizontal="center" vertical="center"/>
    </xf>
    <xf numFmtId="0" fontId="40" fillId="47" borderId="28" applyAlignment="1" pivotButton="0" quotePrefix="0" xfId="0">
      <alignment horizontal="center"/>
    </xf>
    <xf numFmtId="0" fontId="40" fillId="47" borderId="28" applyAlignment="1" pivotButton="0" quotePrefix="0" xfId="0">
      <alignment horizontal="left" vertical="center"/>
    </xf>
    <xf numFmtId="3" fontId="40" fillId="47" borderId="28" applyAlignment="1" pivotButton="0" quotePrefix="0" xfId="0">
      <alignment horizontal="center"/>
    </xf>
    <xf numFmtId="4" fontId="40" fillId="47" borderId="28" applyAlignment="1" pivotButton="0" quotePrefix="0" xfId="0">
      <alignment horizontal="center"/>
    </xf>
    <xf numFmtId="166" fontId="40" fillId="47" borderId="28" applyAlignment="1" pivotButton="0" quotePrefix="0" xfId="0">
      <alignment horizontal="center"/>
    </xf>
    <xf numFmtId="166" fontId="40" fillId="47" borderId="0" pivotButton="0" quotePrefix="0" xfId="0"/>
    <xf numFmtId="0" fontId="40" fillId="47" borderId="0" applyAlignment="1" pivotButton="0" quotePrefix="0" xfId="0">
      <alignment horizontal="center" vertical="center"/>
    </xf>
    <xf numFmtId="167" fontId="35" fillId="0" borderId="28" applyAlignment="1" pivotButton="0" quotePrefix="0" xfId="0">
      <alignment horizontal="center"/>
    </xf>
    <xf numFmtId="167" fontId="39" fillId="48" borderId="28" applyAlignment="1" pivotButton="0" quotePrefix="0" xfId="0">
      <alignment horizontal="center"/>
    </xf>
    <xf numFmtId="167" fontId="39" fillId="48" borderId="0" pivotButton="0" quotePrefix="0" xfId="0"/>
    <xf numFmtId="0" fontId="40" fillId="49" borderId="28" applyAlignment="1" pivotButton="0" quotePrefix="0" xfId="0">
      <alignment horizontal="center"/>
    </xf>
    <xf numFmtId="0" fontId="40" fillId="49" borderId="28" applyAlignment="1" pivotButton="0" quotePrefix="0" xfId="0">
      <alignment horizontal="left" vertical="center"/>
    </xf>
    <xf numFmtId="3" fontId="40" fillId="49" borderId="28" applyAlignment="1" pivotButton="0" quotePrefix="0" xfId="0">
      <alignment horizontal="center"/>
    </xf>
    <xf numFmtId="4" fontId="40" fillId="49" borderId="28" applyAlignment="1" pivotButton="0" quotePrefix="0" xfId="0">
      <alignment horizontal="center"/>
    </xf>
    <xf numFmtId="166" fontId="40" fillId="49" borderId="28" applyAlignment="1" pivotButton="0" quotePrefix="0" xfId="0">
      <alignment horizontal="center"/>
    </xf>
    <xf numFmtId="166" fontId="40" fillId="49" borderId="0" pivotButton="0" quotePrefix="0" xfId="0"/>
    <xf numFmtId="0" fontId="40" fillId="49" borderId="0" pivotButton="0" quotePrefix="0" xfId="0"/>
    <xf numFmtId="164" fontId="2" fillId="0" borderId="0" applyAlignment="1" pivotButton="0" quotePrefix="0" xfId="1">
      <alignment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3" fontId="43" fillId="0" borderId="0" applyAlignment="1" pivotButton="0" quotePrefix="0" xfId="0">
      <alignment vertical="center"/>
    </xf>
    <xf numFmtId="164" fontId="44" fillId="0" borderId="0" applyAlignment="1" pivotButton="0" quotePrefix="0" xfId="1">
      <alignment vertical="center"/>
    </xf>
    <xf numFmtId="0" fontId="45" fillId="0" borderId="0" applyAlignment="1" pivotButton="0" quotePrefix="0" xfId="0">
      <alignment vertical="center"/>
    </xf>
    <xf numFmtId="164" fontId="2" fillId="0" borderId="0" pivotButton="0" quotePrefix="0" xfId="1"/>
    <xf numFmtId="0" fontId="0" fillId="0" borderId="39" pivotButton="0" quotePrefix="0" xfId="0"/>
    <xf numFmtId="164" fontId="2" fillId="0" borderId="1" pivotButton="0" quotePrefix="0" xfId="1"/>
    <xf numFmtId="164" fontId="31" fillId="0" borderId="1" pivotButton="0" quotePrefix="0" xfId="0"/>
    <xf numFmtId="43" fontId="2" fillId="0" borderId="0" pivotButton="0" quotePrefix="0" xfId="0"/>
    <xf numFmtId="164" fontId="2" fillId="0" borderId="0" pivotButton="0" quotePrefix="0" xfId="0"/>
  </cellXfs>
  <cellStyles count="44">
    <cellStyle name="Normal" xfId="0" builtinId="0"/>
    <cellStyle name="Millares" xfId="1" builtinId="3"/>
    <cellStyle name="Normal 2" xfId="2"/>
    <cellStyle name="Título" xfId="3" builtinId="15"/>
    <cellStyle name="Encabezado 1" xfId="4" builtinId="16"/>
    <cellStyle name="Título 2" xfId="5" builtinId="17"/>
    <cellStyle name="Título 3" xfId="6" builtinId="18"/>
    <cellStyle name="Encabezado 4" xfId="7" builtinId="19"/>
    <cellStyle name="Bueno" xfId="8" builtinId="26"/>
    <cellStyle name="Incorrecto" xfId="9" builtinId="27"/>
    <cellStyle name="Neutral" xfId="10" builtinId="28"/>
    <cellStyle name="Entrada" xfId="11" builtinId="20"/>
    <cellStyle name="Salida" xfId="12" builtinId="21"/>
    <cellStyle name="Cálculo" xfId="13" builtinId="22"/>
    <cellStyle name="Celda vinculada" xfId="14" builtinId="24"/>
    <cellStyle name="Celda de comprobación" xfId="15" builtinId="23"/>
    <cellStyle name="Texto de advertencia" xfId="16" builtinId="11"/>
    <cellStyle name="Notas" xfId="17" builtinId="10"/>
    <cellStyle name="Texto explicativo" xfId="18" builtinId="53"/>
    <cellStyle name="Total" xfId="19" builtinId="25"/>
    <cellStyle name="Énfasis1" xfId="20" builtinId="29"/>
    <cellStyle name="20% - Énfasis1" xfId="21" builtinId="30"/>
    <cellStyle name="40% - Énfasis1" xfId="22" builtinId="31"/>
    <cellStyle name="60% - Énfasis1" xfId="23" builtinId="32"/>
    <cellStyle name="Énfasis2" xfId="24" builtinId="33"/>
    <cellStyle name="20% - Énfasis2" xfId="25" builtinId="34"/>
    <cellStyle name="40% - Énfasis2" xfId="26" builtinId="35"/>
    <cellStyle name="60% - Énfasis2" xfId="27" builtinId="36"/>
    <cellStyle name="Énfasis3" xfId="28" builtinId="37"/>
    <cellStyle name="20% - Énfasis3" xfId="29" builtinId="38"/>
    <cellStyle name="40% - Énfasis3" xfId="30" builtinId="39"/>
    <cellStyle name="60% - Énfasis3" xfId="31" builtinId="40"/>
    <cellStyle name="Énfasis4" xfId="32" builtinId="41"/>
    <cellStyle name="20% - Énfasis4" xfId="33" builtinId="42"/>
    <cellStyle name="40% - Énfasis4" xfId="34" builtinId="43"/>
    <cellStyle name="60% - Énfasis4" xfId="35" builtinId="44"/>
    <cellStyle name="Énfasis5" xfId="36" builtinId="45"/>
    <cellStyle name="20% - Énfasis5" xfId="37" builtinId="46"/>
    <cellStyle name="40% - Énfasis5" xfId="38" builtinId="47"/>
    <cellStyle name="60% - Énfasis5" xfId="39" builtinId="48"/>
    <cellStyle name="Énfasis6" xfId="40" builtinId="49"/>
    <cellStyle name="20% - Énfasis6" xfId="41" builtinId="50"/>
    <cellStyle name="40% - Énfasis6" xfId="42" builtinId="51"/>
    <cellStyle name="60% - Énfasis6" xfId="43" builtinId="52"/>
  </cellStyles>
  <dxfs count="216">
    <dxf>
      <fill>
        <patternFill>
          <bgColor theme="7" tint="0.7999816888943144"/>
        </patternFill>
      </fill>
    </dxf>
    <dxf>
      <fill>
        <patternFill>
          <bgColor theme="5" tint="0.3999450666829432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4" tint="0.7999816888943144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color theme="1"/>
      </font>
    </dxf>
    <dxf>
      <font>
        <b val="1"/>
      </font>
    </dxf>
    <dxf>
      <font>
        <b val="1"/>
      </font>
    </dxf>
    <dxf>
      <font>
        <color rgb="FFFF0000"/>
      </font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i val="1"/>
        <color rgb="FF7F7F7F"/>
      </font>
      <fill>
        <patternFill patternType="solid">
          <fgColor rgb="FFE7E6E6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833C00"/>
      </font>
      <fill>
        <patternFill patternType="solid">
          <f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pivotCacheDefinition" Target="/xl/pivotCache/pivotCacheDefinition2.xml" Id="rId9"/><Relationship Type="http://schemas.openxmlformats.org/officeDocument/2006/relationships/pivotCacheDefinition" Target="/xl/pivotCache/pivotCacheDefinition3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jpe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jpeg" Id="rId1"/></Relationships>
</file>

<file path=xl/drawings/drawing1.xml><?xml version="1.0" encoding="utf-8"?>
<wsDr xmlns="http://schemas.openxmlformats.org/drawingml/2006/spreadsheetDrawing">
  <twoCellAnchor editAs="oneCell">
    <from>
      <col>15</col>
      <colOff>152400</colOff>
      <row>1</row>
      <rowOff>95250</rowOff>
    </from>
    <to>
      <col>16</col>
      <colOff>508460</colOff>
      <row>3</row>
      <rowOff>150450</rowOff>
    </to>
    <pic>
      <nvPicPr>
        <cNvPr id="3" name="2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029950" y="238125"/>
          <a:ext cx="956135" cy="360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209550</colOff>
      <row>0</row>
      <rowOff>76200</rowOff>
    </from>
    <to>
      <col>4</col>
      <colOff>2281</colOff>
      <row>4</row>
      <rowOff>123824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401300" y="76200"/>
          <a:ext cx="1316731" cy="6191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8</col>
      <colOff>165099</colOff>
      <row>0</row>
      <rowOff>34925</rowOff>
    </from>
    <to>
      <col>8</col>
      <colOff>1479550</colOff>
      <row>2</row>
      <rowOff>111125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378016" y="34925"/>
          <a:ext cx="1314451" cy="3725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18</col>
      <colOff>359833</colOff>
      <row>0</row>
      <rowOff>45508</rowOff>
    </from>
    <ext cx="1314451" cy="372533"/>
    <pic>
      <nvPicPr>
        <cNvPr id="3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1505333" y="45508"/>
          <a:ext cx="1314451" cy="3725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twoCellAnchor editAs="oneCell">
    <from>
      <col>4</col>
      <colOff>200025</colOff>
      <row>2</row>
      <rowOff>47624</rowOff>
    </from>
    <to>
      <col>5</col>
      <colOff>499863</colOff>
      <row>5</row>
      <rowOff>38099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91050" y="333374"/>
          <a:ext cx="1195188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Richard Sanchez" refreshedDate="44042.43849131944" createdVersion="6" refreshedVersion="6" minRefreshableVersion="3" recordCount="98" r:id="rId1">
  <cacheSource type="worksheet">
    <worksheetSource ref="A1:I99" sheet="INVENTARIO"/>
  </cacheSource>
  <cacheFields count="9">
    <cacheField name="ALMACEN" uniqueList="1" numFmtId="0" sqlType="0" hierarchy="0" level="0" databaseField="1">
      <sharedItems count="9">
        <s v="Bodega Produccion"/>
        <s v="Bunker Tarjetas"/>
        <s v="CONTINGENCIA GYE"/>
        <s v="Devolucion"/>
        <s v="Devolucion Delivery"/>
        <s v="Matriz /tarjetas"/>
        <s v="Scrap"/>
        <s v="SIN AUTENTICAR"/>
        <s v="Tienda Virtual"/>
      </sharedItems>
    </cacheField>
    <cacheField name="ARTÍCULO DEL CLIENTE" uniqueList="1" numFmtId="0" sqlType="0" hierarchy="0" level="0" databaseField="1">
      <sharedItems count="0" containsInteger="1" containsMixedTypes="1" containsNumber="1" minValue="1" maxValue="162148"/>
    </cacheField>
    <cacheField name="CODIGO PIA" uniqueList="1" numFmtId="0" sqlType="0" hierarchy="0" level="0" databaseField="1">
      <sharedItems count="0" containsInteger="1" containsNumber="1" containsSemiMixedTypes="0" containsString="0" minValue="672" maxValue="3115"/>
    </cacheField>
    <cacheField name="DESCRIPCIÓN" uniqueList="1" numFmtId="0" sqlType="0" hierarchy="0" level="0" databaseField="1">
      <sharedItems count="0"/>
    </cacheField>
    <cacheField name="STOCK" uniqueList="1" numFmtId="0" sqlType="0" hierarchy="0" level="0" databaseField="1">
      <sharedItems count="0" containsInteger="1" containsNumber="1" containsSemiMixedTypes="0" containsString="0" minValue="1" maxValue="494922"/>
    </cacheField>
    <cacheField name="STATUS" uniqueList="1" numFmtId="0" sqlType="0" hierarchy="0" level="0" databaseField="1">
      <sharedItems count="2">
        <s v="DISPONIBLE"/>
        <s v="NO DISPONIBLE"/>
      </sharedItems>
    </cacheField>
    <cacheField name="ARTICULO SCL" uniqueList="1" numFmtId="0" sqlType="0" hierarchy="0" level="0" databaseField="1">
      <sharedItems count="57">
        <s v="CHIP PREPAGO $3 NUMERADO"/>
        <s v="SIMCARD 2FF PREPAGO 128K"/>
        <s v="SIMCARD M2M POSPAGO GEMALTO"/>
        <s v="USIM GENERICA SIN AUTENTICAR"/>
        <s v="USIM TUENTI PREPAGO (CELOFÁN)"/>
        <s v="SUPER CHIP AUTOSERVICIOS INTERNET(numeradas)"/>
        <s v="Usim Tuenti Prepago Celofán Numerada $ 5.00"/>
        <s v="Usim Tuenti Prepago Celofán Numerada $5 SinSticker"/>
        <s v="Usim Tuenti Prepago Celofán Numerada Freemium$3.00"/>
        <s v="CHIP PREPAGO AUTOSERVICIOS TURISTA numerada"/>
        <s v="CHIP PREPAGO $5 AUTOSERVICIO"/>
        <s v="CHIP PREPAGO $5 NUMERADO"/>
        <s v="USIM NUMERADA MAXIPLUS"/>
        <s v="USIM PORTABILIDAD MAXIPLUS"/>
        <s v="USIM REPOSICION MAXIPLUS"/>
        <s v="USIM NUMERADA AKIMOVIL"/>
        <s v="USIM PORTABILIDAD AKIMOVIL"/>
        <s v="USIM REPOSICION AKIMOVIL"/>
        <s v="SIMCARD M2M 2FF LTE"/>
        <s v="SIMCARD M2M 4FF LTE"/>
        <s v="ESIM EVOUCHERS CODE QR"/>
        <s v="HALFSIM TUENTI CELOFAN PORTABILIDAD"/>
        <s v="HALFSIM TUENTI CELOFAN REPOSICION"/>
        <s v="Halfsim Tuenti Prepago Celofán Numerada $ 5.00"/>
        <s v="HalfsimTuenti PrepagoCelofanNumerada $5sin sticker"/>
        <s v="Halfsim Tuenti Prepago Celofán Numerada $10.00"/>
        <s v="Halfsim Tuenti Prepago Celofán Numerada $20.00"/>
        <s v="Halfsim Tuenti Prepago Celofán Numerada $25.00"/>
        <s v="USIM MULTISIM MOVISTAR"/>
        <s v="SIMCARD M2M 3FF LTE"/>
        <s v="USIM MULTISIM POS"/>
        <s v="SIM SUPER CHIP AUTOSERVICIOS (numeradas)"/>
        <s v="DISTRIBUCION NUMERADA"/>
        <s v="SIM KITE M2M 2FF STANDARD"/>
        <s v="SIM KITE M2M 3FF HIGH TEMP"/>
        <s v="SIM KITE M2M 4FF"/>
        <s v="USIM MAXI"/>
        <s v="HALF SIM MOVISTAR"/>
        <s v="HALFSIM TUENTI"/>
        <s v="SIMCARD PORTABILIDAD PREPAGO"/>
        <s v="SIMCARD M2M IDEMIA (OBERTHUR)"/>
        <s v="USIM TUENTI (blister)"/>
        <s v="USIM TUENTI PREPAGO NUMERADA (CELOFÁN)"/>
        <s v="Usim Tuenti Prepago Blíster Numerada $ 5.00"/>
        <s v="Usim Tuenti Prepago Blíster Numerada $ 10.00"/>
        <s v="Usim Tuenti Prepago Blíster Numerada $ 15.00"/>
        <s v="Usim Tuenti Prepago Blíster Numerada $ 20.00"/>
        <s v="Usim Tuenti Prepago Celofán Numerada $ 10.00"/>
        <s v="Usim Tuenti Prepago Celofán Numerada $ 20.00"/>
        <s v="USIM AKI"/>
        <s v="MICROSIM 3FF PREPAGO PROMO SALDO $0 (NUMERA) 128K"/>
        <s v="SIMCARDS HOMOLOGACION"/>
        <s v="TUENTI VIRGEN REPOSICION 5.00"/>
        <s v="TUENTI VIRGEN REPOSICION SIN COSTO"/>
        <s v="SIMCARD DESTRUCCIÓN"/>
        <s v="HALFSIM M2M 2FF LTE SIN AUTENTICAR"/>
        <s v="HALFSIM M2M 3FF LTE SIN AUTENTICAR"/>
      </sharedItems>
    </cacheField>
    <cacheField name="SCL 2" uniqueList="1" numFmtId="0" sqlType="0" hierarchy="0" level="0" databaseField="1">
      <sharedItems count="37" containsInteger="1" containsMixedTypes="1" containsNumber="1" minValue="1" maxValue="162146">
        <n v="162092"/>
        <n v="714"/>
        <n v="1534"/>
        <n v="113950"/>
        <n v="84948"/>
        <n v="96946"/>
        <n v="140948"/>
        <n v="162089"/>
        <n v="162090"/>
        <n v="2747"/>
        <n v="2748"/>
        <n v="2749"/>
        <n v="2750"/>
        <n v="2751"/>
        <n v="2752"/>
        <n v="162046"/>
        <n v="162048"/>
        <n v="162119"/>
        <n v="162121"/>
        <n v="162142"/>
        <n v="162146"/>
        <n v="162047"/>
        <n v="81944"/>
        <n v="98948"/>
        <n v="105944"/>
        <n v="162082"/>
        <n v="162084"/>
        <n v="162086"/>
        <n v="162113"/>
        <n v="162120"/>
        <n v="1"/>
        <n v="162114"/>
        <s v="(en blanco)"/>
        <e v="#N/A"/>
        <n v="2324"/>
        <n v="162143"/>
        <n v="162144"/>
      </sharedItems>
    </cacheField>
    <cacheField name="DISPONIBILIDAD" uniqueList="1" numFmtId="0" sqlType="0" hierarchy="0" level="0" databaseField="1">
      <sharedItems count="2">
        <s v="STOCK DISPONIBLE"/>
        <s v="N/A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Richard Sanchez" refreshedDate="44042.43849074074" createdVersion="6" refreshedVersion="6" minRefreshableVersion="3" recordCount="101" r:id="rId1">
  <cacheSource type="worksheet">
    <worksheetSource ref="A1:I102" sheet="INVENTARIO"/>
  </cacheSource>
  <cacheFields count="9">
    <cacheField name="ALMACEN" uniqueList="1" numFmtId="0" sqlType="0" hierarchy="0" level="0" databaseField="1">
      <sharedItems count="9">
        <s v="Bodega Produccion"/>
        <s v="Bunker Tarjetas"/>
        <s v="CONTINGENCIA GYE"/>
        <s v="Devolucion"/>
        <s v="Devolucion Delivery"/>
        <s v="Matriz /tarjetas"/>
        <s v="Scrap"/>
        <s v="SIN AUTENTICAR"/>
        <s v="Tienda Virtual"/>
      </sharedItems>
    </cacheField>
    <cacheField name="ARTÍCULO DEL CLIENTE" uniqueList="1" numFmtId="0" sqlType="0" hierarchy="0" level="0" databaseField="1">
      <sharedItems count="0" containsInteger="1" containsMixedTypes="1" containsNumber="1" minValue="1" maxValue="162148"/>
    </cacheField>
    <cacheField name="CODIGO PIA" uniqueList="1" numFmtId="0" sqlType="0" hierarchy="0" level="0" databaseField="1">
      <sharedItems count="0" containsInteger="1" containsNumber="1" containsSemiMixedTypes="0" containsString="0" minValue="672" maxValue="3115"/>
    </cacheField>
    <cacheField name="DESCRIPCIÓN" uniqueList="1" numFmtId="0" sqlType="0" hierarchy="0" level="0" databaseField="1">
      <sharedItems count="0"/>
    </cacheField>
    <cacheField name="STOCK" uniqueList="1" numFmtId="0" sqlType="0" hierarchy="0" level="0" databaseField="1">
      <sharedItems count="0" containsInteger="1" containsNumber="1" containsSemiMixedTypes="0" containsString="0" minValue="1" maxValue="494922"/>
    </cacheField>
    <cacheField name="STATUS" uniqueList="1" numFmtId="0" sqlType="0" hierarchy="0" level="0" databaseField="1">
      <sharedItems count="2">
        <s v="DISPONIBLE"/>
        <s v="NO DISPONIBLE"/>
      </sharedItems>
    </cacheField>
    <cacheField name="ARTICULO SCL" uniqueList="1" numFmtId="0" sqlType="0" hierarchy="0" level="0" databaseField="1">
      <sharedItems count="57">
        <s v="CHIP PREPAGO $3 NUMERADO"/>
        <s v="SIMCARD 2FF PREPAGO 128K"/>
        <s v="SIMCARD M2M POSPAGO GEMALTO"/>
        <s v="USIM GENERICA SIN AUTENTICAR"/>
        <s v="USIM TUENTI PREPAGO (CELOFÁN)"/>
        <s v="SUPER CHIP AUTOSERVICIOS INTERNET(numeradas)"/>
        <s v="Usim Tuenti Prepago Celofán Numerada $ 5.00"/>
        <s v="Usim Tuenti Prepago Celofán Numerada $5 SinSticker"/>
        <s v="Usim Tuenti Prepago Celofán Numerada Freemium$3.00"/>
        <s v="CHIP PREPAGO AUTOSERVICIOS TURISTA numerada"/>
        <s v="CHIP PREPAGO $5 AUTOSERVICIO"/>
        <s v="CHIP PREPAGO $5 NUMERADO"/>
        <s v="USIM NUMERADA MAXIPLUS"/>
        <s v="USIM PORTABILIDAD MAXIPLUS"/>
        <s v="USIM REPOSICION MAXIPLUS"/>
        <s v="USIM NUMERADA AKIMOVIL"/>
        <s v="USIM PORTABILIDAD AKIMOVIL"/>
        <s v="USIM REPOSICION AKIMOVIL"/>
        <s v="SIMCARD M2M 2FF LTE"/>
        <s v="SIMCARD M2M 4FF LTE"/>
        <s v="ESIM EVOUCHERS CODE QR"/>
        <s v="HALFSIM TUENTI CELOFAN PORTABILIDAD"/>
        <s v="HALFSIM TUENTI CELOFAN REPOSICION"/>
        <s v="Halfsim Tuenti Prepago Celofán Numerada $ 5.00"/>
        <s v="HalfsimTuenti PrepagoCelofanNumerada $5sin sticker"/>
        <s v="Halfsim Tuenti Prepago Celofán Numerada $10.00"/>
        <s v="Halfsim Tuenti Prepago Celofán Numerada $20.00"/>
        <s v="Halfsim Tuenti Prepago Celofán Numerada $25.00"/>
        <s v="USIM MULTISIM MOVISTAR"/>
        <s v="SIMCARD M2M 3FF LTE"/>
        <s v="USIM MULTISIM POS"/>
        <s v="SIM SUPER CHIP AUTOSERVICIOS (numeradas)"/>
        <s v="DISTRIBUCION NUMERADA"/>
        <s v="SIM KITE M2M 2FF STANDARD"/>
        <s v="SIM KITE M2M 3FF HIGH TEMP"/>
        <s v="SIM KITE M2M 4FF"/>
        <s v="USIM MAXI"/>
        <s v="HALF SIM MOVISTAR"/>
        <s v="HALFSIM TUENTI"/>
        <s v="SIMCARD PORTABILIDAD PREPAGO"/>
        <s v="SIMCARD M2M IDEMIA (OBERTHUR)"/>
        <s v="USIM TUENTI (blister)"/>
        <s v="USIM TUENTI PREPAGO NUMERADA (CELOFÁN)"/>
        <s v="Usim Tuenti Prepago Blíster Numerada $ 5.00"/>
        <s v="Usim Tuenti Prepago Blíster Numerada $ 10.00"/>
        <s v="Usim Tuenti Prepago Blíster Numerada $ 15.00"/>
        <s v="Usim Tuenti Prepago Blíster Numerada $ 20.00"/>
        <s v="Usim Tuenti Prepago Celofán Numerada $ 10.00"/>
        <s v="Usim Tuenti Prepago Celofán Numerada $ 20.00"/>
        <s v="USIM AKI"/>
        <s v="MICROSIM 3FF PREPAGO PROMO SALDO $0 (NUMERA) 128K"/>
        <s v="SIMCARDS HOMOLOGACION"/>
        <s v="TUENTI VIRGEN REPOSICION 5.00"/>
        <s v="TUENTI VIRGEN REPOSICION SIN COSTO"/>
        <s v="SIMCARD DESTRUCCIÓN"/>
        <s v="HALFSIM M2M 2FF LTE SIN AUTENTICAR"/>
        <s v="HALFSIM M2M 3FF LTE SIN AUTENTICAR"/>
      </sharedItems>
    </cacheField>
    <cacheField name="SCL 2" uniqueList="1" numFmtId="0" sqlType="0" hierarchy="0" level="0" databaseField="1">
      <sharedItems count="37" containsInteger="1" containsMixedTypes="1" containsNumber="1" minValue="1" maxValue="162146">
        <n v="162092"/>
        <n v="714"/>
        <n v="1534"/>
        <n v="113950"/>
        <n v="84948"/>
        <n v="96946"/>
        <n v="140948"/>
        <n v="162089"/>
        <n v="162090"/>
        <n v="2747"/>
        <n v="2748"/>
        <n v="2749"/>
        <n v="2750"/>
        <n v="2751"/>
        <n v="2752"/>
        <n v="162046"/>
        <n v="162048"/>
        <n v="162119"/>
        <n v="162121"/>
        <n v="162142"/>
        <n v="162146"/>
        <n v="162047"/>
        <n v="81944"/>
        <n v="98948"/>
        <n v="105944"/>
        <n v="162082"/>
        <n v="162084"/>
        <n v="162086"/>
        <n v="162113"/>
        <n v="162120"/>
        <n v="1"/>
        <n v="162114"/>
        <s v="(en blanco)"/>
        <e v="#N/A"/>
        <n v="2324"/>
        <n v="162143"/>
        <n v="162144"/>
      </sharedItems>
    </cacheField>
    <cacheField name="DISPONIBILIDAD" uniqueList="1" numFmtId="0" sqlType="0" hierarchy="0" level="0" databaseField="1">
      <sharedItems count="2">
        <s v="STOCK DISPONIBLE"/>
        <s v="N/A"/>
      </sharedItems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Richard Sanchez" refreshedDate="44042.43849108796" createdVersion="6" refreshedVersion="6" minRefreshableVersion="3" recordCount="669" r:id="rId1">
  <cacheSource type="worksheet">
    <worksheetSource ref="A1:P670" sheet="DESPACHOS 20 DIAS"/>
  </cacheSource>
  <cacheFields count="16">
    <cacheField name="FECHA" uniqueList="1" numFmtId="14" sqlType="0" hierarchy="0" level="0" databaseField="1">
      <sharedItems count="0" containsDate="1" containsNonDate="0" containsSemiMixedTypes="0" containsString="0" minDate="2020-07-02T00:00:00" maxDate="2020-07-30T00:00:00"/>
    </cacheField>
    <cacheField name="PEDIDO" uniqueList="1" numFmtId="49" sqlType="0" hierarchy="0" level="0" databaseField="1">
      <sharedItems count="0" containsInteger="1" containsMixedTypes="1" containsNumber="1" minValue="34730527" maxValue="34731542"/>
    </cacheField>
    <cacheField name="CLAVE PIA" uniqueList="1" numFmtId="49" sqlType="0" hierarchy="0" level="0" databaseField="1">
      <sharedItems count="0" containsInteger="1" containsNumber="1" containsSemiMixedTypes="0" containsString="0" minValue="1398" maxValue="3114"/>
    </cacheField>
    <cacheField name="CLAVE CLIENTE" uniqueList="1" numFmtId="49" sqlType="0" hierarchy="0" level="0" databaseField="1">
      <sharedItems count="0"/>
    </cacheField>
    <cacheField name="DESCRIPCION" uniqueList="1" numFmtId="0" sqlType="0" hierarchy="0" level="0" databaseField="1">
      <sharedItems count="0"/>
    </cacheField>
    <cacheField name="CANTIDAD" uniqueList="1" numFmtId="0" sqlType="0" hierarchy="0" level="0" databaseField="1">
      <sharedItems count="0" containsInteger="1" containsNumber="1" containsSemiMixedTypes="0" containsString="0" minValue="1" maxValue="6500"/>
    </cacheField>
    <cacheField name="VALORADO" uniqueList="1" numFmtId="44" sqlType="0" hierarchy="0" level="0" databaseField="1">
      <sharedItems count="0" containsNumber="1" containsSemiMixedTypes="0" containsString="0" minValue="0" maxValue="9490"/>
    </cacheField>
    <cacheField name="PMP" uniqueList="1" numFmtId="0" sqlType="0" hierarchy="0" level="0" databaseField="1">
      <sharedItems count="0" containsNumber="1" containsSemiMixedTypes="0" containsString="0" minValue="0" maxValue="1.67"/>
    </cacheField>
    <cacheField name="CODIGO DESPACHO" uniqueList="1" numFmtId="44" sqlType="0" hierarchy="0" level="0" databaseField="1">
      <sharedItems count="0"/>
    </cacheField>
    <cacheField name="CLIENTE" uniqueList="1" numFmtId="0" sqlType="0" hierarchy="0" level="0" databaseField="1">
      <sharedItems count="0"/>
    </cacheField>
    <cacheField name="RUC" uniqueList="1" numFmtId="44" sqlType="0" hierarchy="0" level="0" databaseField="1">
      <sharedItems count="0" containsInteger="1" containsMixedTypes="1" containsNumber="1" minValue="1234567890" maxValue="1234567890"/>
    </cacheField>
    <cacheField name="CIUDAD" uniqueList="1" numFmtId="0" sqlType="0" hierarchy="0" level="0" databaseField="1">
      <sharedItems count="0"/>
    </cacheField>
    <cacheField name="CANAL" uniqueList="1" numFmtId="0" sqlType="0" hierarchy="0" level="0" databaseField="1">
      <sharedItems count="0"/>
    </cacheField>
    <cacheField name="CANAL 2" uniqueList="1" numFmtId="0" sqlType="0" hierarchy="0" level="0" databaseField="1">
      <sharedItems count="2">
        <s v="CANAL INDIRECTO"/>
        <s v="CANAL DIRECTO"/>
      </sharedItems>
    </cacheField>
    <cacheField name="DESCRIPCION SCL 2" uniqueList="1" numFmtId="0" sqlType="0" hierarchy="0" level="0" databaseField="1">
      <sharedItems count="30">
        <s v="USIM MULTISIM MOVISTAR"/>
        <s v="CHIP PREPAGO $3 NUMERADO"/>
        <s v="HALF SIM MOVISTAR"/>
        <s v="Usim Tuenti Prepago Celofán Numerada $ 5.00"/>
        <s v="Usim Tuenti Prepago Celofán Numerada $5 SinSticker"/>
        <s v="USIM TUENTI PREPAGO (CELOFÁN)"/>
        <s v="SIM KITE M2M 3FF HIGH TEMP"/>
        <s v="SIM KITE M2M 4FF"/>
        <s v="CHIP PREPAGO $5 NUMERADO"/>
        <s v="CHIP PREPAGO $5 AUTOSERVICIO"/>
        <s v="Halfsim Tuenti Prepago Celofán Numerada $ 5.00"/>
        <s v="Usim Tuenti Prepago Blíster Numerada $ 10.00"/>
        <s v="Usim Tuenti Prepago Blíster Numerada $ 5.00"/>
        <s v="Usim Tuenti Prepago Blíster Numerada $ 20.00"/>
        <s v="SIM KITE M2M 2FF STANDARD"/>
        <s v="USIM MAXI"/>
        <s v="USIM AKI"/>
        <s v="HALFSIM M2M 2FF LTE SIN AUTENTICAR"/>
        <s v="HALFSIM M2M 3FF LTE SIN AUTENTICAR"/>
        <s v="HALFSIM TUENTI"/>
        <s v="SIMCARD M2M 2FF LTE"/>
        <s v="USIM CHIP PREPAGO WIFI MOVIL $5 AUTOSERVICIO"/>
        <s v="Halfsim Tuenti Prepago Celofán Numerada $10.00"/>
        <s v="Halfsim Tuenti Prepago Celofán Numerada $20.00"/>
        <s v="Halfsim Tuenti Prepago Celofán Numerada $10.00 "/>
        <s v="HALFSIM TUENTI CELOFAN PORTABILIDAD"/>
        <s v="SIMCARD M2M POSPAGO GEMALTO"/>
        <s v="USIM TUENTI PREPAGO NUMERADA (CELOFÁN)"/>
        <s v="Halfsim Tuenti Prepago Celofán Numerada $25.00"/>
        <s v="HalfsimTuenti PrepagoCelofanNumerada $5sin sticker"/>
      </sharedItems>
    </cacheField>
    <cacheField name="SCL 2" uniqueList="1" numFmtId="0" sqlType="0" hierarchy="0" level="0" databaseField="1">
      <sharedItems count="0" containsInteger="1" containsNumber="1" containsSemiMixedTypes="0" containsString="0" minValue="1534" maxValue="162146"/>
    </cacheField>
  </cacheFields>
</pivotCacheDefinition>
</file>

<file path=xl/pivotCache/pivotCacheRecords1.xml><?xml version="1.0" encoding="utf-8"?>
<pivotCacheRecords xmlns="http://schemas.openxmlformats.org/spreadsheetml/2006/main" count="98">
  <r>
    <x v="0"/>
    <n v="162092"/>
    <n v="2804"/>
    <s v="CHIP PREPAGO $3 NUMERADO"/>
    <n v="39994"/>
    <x v="0"/>
    <x v="0"/>
    <x v="0"/>
    <x v="0"/>
  </r>
  <r>
    <x v="1"/>
    <n v="714"/>
    <n v="1485"/>
    <s v="SIMCARD 2FF PREPAGO 128K"/>
    <n v="25"/>
    <x v="0"/>
    <x v="1"/>
    <x v="1"/>
    <x v="0"/>
  </r>
  <r>
    <x v="1"/>
    <n v="1534"/>
    <n v="1398"/>
    <s v="SIMCARD M2M POSPAGO GEMALTO"/>
    <n v="23463"/>
    <x v="0"/>
    <x v="2"/>
    <x v="2"/>
    <x v="0"/>
  </r>
  <r>
    <x v="1"/>
    <n v="82944"/>
    <n v="1692"/>
    <s v="USIM GENERICA SIN AUTENTICAR"/>
    <n v="8"/>
    <x v="0"/>
    <x v="3"/>
    <x v="3"/>
    <x v="0"/>
  </r>
  <r>
    <x v="1"/>
    <n v="84948"/>
    <n v="1651"/>
    <s v="USIM TUENTI PREPAGO (CELOFAN)"/>
    <n v="1"/>
    <x v="0"/>
    <x v="4"/>
    <x v="4"/>
    <x v="0"/>
  </r>
  <r>
    <x v="1"/>
    <n v="96946"/>
    <n v="1674"/>
    <s v="SUPER CHIP AUTOSERVICIOS INTERNET(numeradas)"/>
    <n v="1541"/>
    <x v="0"/>
    <x v="5"/>
    <x v="5"/>
    <x v="0"/>
  </r>
  <r>
    <x v="1"/>
    <n v="113950"/>
    <n v="2400"/>
    <s v="Usim Tuenti Prepago Celofán Numerada $ 5.00"/>
    <n v="12056"/>
    <x v="0"/>
    <x v="6"/>
    <x v="3"/>
    <x v="0"/>
  </r>
  <r>
    <x v="1"/>
    <n v="113950"/>
    <n v="2416"/>
    <s v="Usim Tuenti Prepago Celofán Numerada $5 SinSticker"/>
    <n v="2309"/>
    <x v="0"/>
    <x v="7"/>
    <x v="3"/>
    <x v="0"/>
  </r>
  <r>
    <x v="1"/>
    <n v="113950"/>
    <n v="2511"/>
    <s v="Usim Tuenti Prepago Celofán Numerada Freemium$3.00"/>
    <n v="774"/>
    <x v="0"/>
    <x v="8"/>
    <x v="3"/>
    <x v="0"/>
  </r>
  <r>
    <x v="1"/>
    <n v="140948"/>
    <n v="1888"/>
    <s v="USIM PREPAGO NUMERADA BLISTER AUTOSERVICIOS TURIST"/>
    <n v="5"/>
    <x v="0"/>
    <x v="9"/>
    <x v="6"/>
    <x v="0"/>
  </r>
  <r>
    <x v="1"/>
    <n v="162089"/>
    <n v="2801"/>
    <s v="CHIP PREPAGO $5 AUTOSERVICIO"/>
    <n v="2940"/>
    <x v="0"/>
    <x v="10"/>
    <x v="7"/>
    <x v="0"/>
  </r>
  <r>
    <x v="1"/>
    <n v="162090"/>
    <n v="2802"/>
    <s v="CHIP PREPAGO $5 NUMERADO"/>
    <n v="9259"/>
    <x v="0"/>
    <x v="11"/>
    <x v="8"/>
    <x v="0"/>
  </r>
  <r>
    <x v="1"/>
    <n v="162092"/>
    <n v="2804"/>
    <s v="CHIP PREPAGO $3 NUMERADO"/>
    <n v="60414"/>
    <x v="0"/>
    <x v="0"/>
    <x v="0"/>
    <x v="0"/>
  </r>
  <r>
    <x v="1"/>
    <n v="162113"/>
    <n v="2747"/>
    <s v="USIM NUMERADA MAXIPLUS"/>
    <n v="15520"/>
    <x v="0"/>
    <x v="12"/>
    <x v="9"/>
    <x v="0"/>
  </r>
  <r>
    <x v="1"/>
    <n v="162113"/>
    <n v="2748"/>
    <s v="USIM PORTABILIDAD MAXIPLUS"/>
    <n v="5524"/>
    <x v="0"/>
    <x v="13"/>
    <x v="10"/>
    <x v="0"/>
  </r>
  <r>
    <x v="1"/>
    <n v="162113"/>
    <n v="2749"/>
    <s v="USIM REPOSICION MAXIPLUS"/>
    <n v="842"/>
    <x v="0"/>
    <x v="14"/>
    <x v="11"/>
    <x v="0"/>
  </r>
  <r>
    <x v="1"/>
    <n v="162114"/>
    <n v="2750"/>
    <s v="USIM NUMERADA AKIMOVIL"/>
    <n v="483"/>
    <x v="0"/>
    <x v="15"/>
    <x v="12"/>
    <x v="0"/>
  </r>
  <r>
    <x v="1"/>
    <n v="162114"/>
    <n v="2751"/>
    <s v="USIM PORTABILIDAD AKIMOVIL"/>
    <n v="2624"/>
    <x v="0"/>
    <x v="16"/>
    <x v="13"/>
    <x v="0"/>
  </r>
  <r>
    <x v="1"/>
    <n v="162114"/>
    <n v="2752"/>
    <s v="USIM REPOSICION AKIMOVIL"/>
    <n v="592"/>
    <x v="0"/>
    <x v="17"/>
    <x v="14"/>
    <x v="0"/>
  </r>
  <r>
    <x v="1"/>
    <n v="162115"/>
    <n v="2665"/>
    <s v="SIMCARD M2M 2FF LTE"/>
    <n v="398"/>
    <x v="0"/>
    <x v="18"/>
    <x v="15"/>
    <x v="0"/>
  </r>
  <r>
    <x v="1"/>
    <n v="162116"/>
    <n v="2666"/>
    <s v="SIMCARD M2M 4FF LTE"/>
    <n v="2755"/>
    <x v="0"/>
    <x v="19"/>
    <x v="16"/>
    <x v="0"/>
  </r>
  <r>
    <x v="1"/>
    <n v="162119"/>
    <n v="2905"/>
    <s v="ESIM EVOUCHERS CODE QR"/>
    <n v="129"/>
    <x v="0"/>
    <x v="20"/>
    <x v="17"/>
    <x v="0"/>
  </r>
  <r>
    <x v="1"/>
    <n v="162121"/>
    <n v="3114"/>
    <s v="HALFSIM TUENTI CELOFAN PORTABILIDAD"/>
    <n v="8584"/>
    <x v="0"/>
    <x v="21"/>
    <x v="18"/>
    <x v="0"/>
  </r>
  <r>
    <x v="1"/>
    <n v="162121"/>
    <n v="3115"/>
    <s v="HALFSIM TUENTI CELOFAN REPOSICION"/>
    <n v="3998"/>
    <x v="0"/>
    <x v="22"/>
    <x v="18"/>
    <x v="0"/>
  </r>
  <r>
    <x v="1"/>
    <n v="162142"/>
    <n v="3084"/>
    <s v="Halfsim Tuenti Prepago Celofán Numerada $ 5.00"/>
    <n v="24787"/>
    <x v="0"/>
    <x v="23"/>
    <x v="19"/>
    <x v="0"/>
  </r>
  <r>
    <x v="1"/>
    <n v="162142"/>
    <n v="3091"/>
    <s v="HalfsimTuenti PrepagoCelofanNumerada $5sin sticker"/>
    <n v="17361"/>
    <x v="0"/>
    <x v="24"/>
    <x v="19"/>
    <x v="0"/>
  </r>
  <r>
    <x v="1"/>
    <n v="162142"/>
    <n v="3092"/>
    <s v="Halfsim Tuenti Prepago Celofán Numerada $10.00"/>
    <n v="1422"/>
    <x v="0"/>
    <x v="25"/>
    <x v="19"/>
    <x v="0"/>
  </r>
  <r>
    <x v="1"/>
    <n v="162142"/>
    <n v="3093"/>
    <s v="Halfsim Tuenti Prepago Celofán Numerada $20.00"/>
    <n v="963"/>
    <x v="0"/>
    <x v="26"/>
    <x v="19"/>
    <x v="0"/>
  </r>
  <r>
    <x v="1"/>
    <n v="162142"/>
    <n v="3101"/>
    <s v="Halfsim Tuenti Prepago Celofán Numerada $25.00"/>
    <n v="978"/>
    <x v="0"/>
    <x v="27"/>
    <x v="19"/>
    <x v="0"/>
  </r>
  <r>
    <x v="1"/>
    <n v="162146"/>
    <n v="3022"/>
    <s v="USIM MULTISIM MOVISTAR"/>
    <n v="70818"/>
    <x v="0"/>
    <x v="28"/>
    <x v="20"/>
    <x v="0"/>
  </r>
  <r>
    <x v="1"/>
    <n v="162148"/>
    <n v="3021"/>
    <s v="SIMCARD M2M 3FF LTE"/>
    <n v="9126"/>
    <x v="0"/>
    <x v="29"/>
    <x v="21"/>
    <x v="0"/>
  </r>
  <r>
    <x v="2"/>
    <n v="81944"/>
    <n v="1599"/>
    <s v="USIM MULTISIM POSPAGO"/>
    <n v="928"/>
    <x v="1"/>
    <x v="30"/>
    <x v="22"/>
    <x v="1"/>
  </r>
  <r>
    <x v="3"/>
    <n v="81944"/>
    <n v="1599"/>
    <s v="USIM MULTISIM POSPAGO"/>
    <n v="5"/>
    <x v="1"/>
    <x v="30"/>
    <x v="22"/>
    <x v="1"/>
  </r>
  <r>
    <x v="4"/>
    <n v="162146"/>
    <n v="3022"/>
    <s v="USIM MULTISIM MOVISTAR"/>
    <n v="155"/>
    <x v="1"/>
    <x v="28"/>
    <x v="20"/>
    <x v="1"/>
  </r>
  <r>
    <x v="5"/>
    <n v="98948"/>
    <n v="1593"/>
    <s v="SIMCARD PREPAGO MOVISTAR AUTOSERVICIOS"/>
    <n v="56"/>
    <x v="0"/>
    <x v="31"/>
    <x v="23"/>
    <x v="0"/>
  </r>
  <r>
    <x v="5"/>
    <n v="98948"/>
    <n v="1645"/>
    <s v="SIM SUPER CHIP AUTOSERVICIOS (numeradas)"/>
    <n v="96"/>
    <x v="0"/>
    <x v="31"/>
    <x v="23"/>
    <x v="0"/>
  </r>
  <r>
    <x v="5"/>
    <n v="105944"/>
    <n v="2897"/>
    <s v="DISTRIBUCION NUMERADA"/>
    <n v="22773"/>
    <x v="0"/>
    <x v="32"/>
    <x v="24"/>
    <x v="0"/>
  </r>
  <r>
    <x v="5"/>
    <n v="162082"/>
    <n v="2761"/>
    <s v="SIM KITE M2M 2FF STANDARD"/>
    <n v="10000"/>
    <x v="0"/>
    <x v="33"/>
    <x v="25"/>
    <x v="0"/>
  </r>
  <r>
    <x v="5"/>
    <n v="162084"/>
    <n v="2763"/>
    <s v="SIM KITE M2M 3FF HIGH TEMP"/>
    <n v="5000"/>
    <x v="0"/>
    <x v="34"/>
    <x v="26"/>
    <x v="0"/>
  </r>
  <r>
    <x v="5"/>
    <n v="162086"/>
    <n v="2765"/>
    <s v="SIM KITE M2M 4FF"/>
    <n v="2500"/>
    <x v="0"/>
    <x v="35"/>
    <x v="27"/>
    <x v="0"/>
  </r>
  <r>
    <x v="5"/>
    <n v="162113"/>
    <n v="2745"/>
    <s v="USIM MAXI"/>
    <n v="29840"/>
    <x v="0"/>
    <x v="36"/>
    <x v="28"/>
    <x v="0"/>
  </r>
  <r>
    <x v="5"/>
    <n v="162115"/>
    <n v="2665"/>
    <s v="SIMCARD M2M 2FF LTE"/>
    <n v="9996"/>
    <x v="0"/>
    <x v="18"/>
    <x v="15"/>
    <x v="0"/>
  </r>
  <r>
    <x v="5"/>
    <n v="162120"/>
    <n v="2924"/>
    <s v="HALF SIM MOVISTAR"/>
    <n v="494922"/>
    <x v="0"/>
    <x v="37"/>
    <x v="29"/>
    <x v="0"/>
  </r>
  <r>
    <x v="5"/>
    <n v="162121"/>
    <n v="2925"/>
    <s v="HALFSIM TUENTI"/>
    <n v="99990"/>
    <x v="0"/>
    <x v="38"/>
    <x v="18"/>
    <x v="0"/>
  </r>
  <r>
    <x v="5"/>
    <n v="162146"/>
    <n v="3022"/>
    <s v="USIM MULTISIM MOVISTAR"/>
    <n v="92378"/>
    <x v="0"/>
    <x v="28"/>
    <x v="20"/>
    <x v="0"/>
  </r>
  <r>
    <x v="6"/>
    <n v="1"/>
    <n v="1067"/>
    <s v="SIMCARD PORTABILIDAD PREPAGO"/>
    <n v="42"/>
    <x v="1"/>
    <x v="39"/>
    <x v="30"/>
    <x v="1"/>
  </r>
  <r>
    <x v="6"/>
    <n v="714"/>
    <n v="1485"/>
    <s v="SIMCARD 2FF PREPAGO 128K"/>
    <n v="48"/>
    <x v="1"/>
    <x v="1"/>
    <x v="1"/>
    <x v="1"/>
  </r>
  <r>
    <x v="6"/>
    <n v="1534"/>
    <n v="1398"/>
    <s v="SIMCARD M2M POSPAGO GEMALTO"/>
    <n v="16"/>
    <x v="1"/>
    <x v="2"/>
    <x v="2"/>
    <x v="1"/>
  </r>
  <r>
    <x v="6"/>
    <n v="1534"/>
    <n v="2058"/>
    <s v="SIMCARD M2M IDEMIA (OBERTHUR)"/>
    <n v="19"/>
    <x v="1"/>
    <x v="40"/>
    <x v="2"/>
    <x v="1"/>
  </r>
  <r>
    <x v="6"/>
    <n v="82944"/>
    <n v="1692"/>
    <s v="USIM GENERICA SIN AUTENTICAR"/>
    <n v="184"/>
    <x v="1"/>
    <x v="3"/>
    <x v="3"/>
    <x v="1"/>
  </r>
  <r>
    <x v="6"/>
    <n v="84948"/>
    <n v="1648"/>
    <s v="USIM TUENTI (blister)"/>
    <n v="495"/>
    <x v="1"/>
    <x v="41"/>
    <x v="4"/>
    <x v="1"/>
  </r>
  <r>
    <x v="6"/>
    <n v="84948"/>
    <n v="1651"/>
    <s v="USIM TUENTI PREPAGO (CELOFAN)"/>
    <n v="9248"/>
    <x v="1"/>
    <x v="4"/>
    <x v="4"/>
    <x v="1"/>
  </r>
  <r>
    <x v="6"/>
    <n v="84948"/>
    <n v="1807"/>
    <s v="USIM PREPAGO TUENTI CELOFAN NO NUMERADA PORTABILID"/>
    <n v="315"/>
    <x v="1"/>
    <x v="4"/>
    <x v="4"/>
    <x v="1"/>
  </r>
  <r>
    <x v="6"/>
    <n v="84948"/>
    <n v="1808"/>
    <s v="USIM PREPAGO TUENTI BLISTER NO NUMERADA PORTABILID"/>
    <n v="476"/>
    <x v="1"/>
    <x v="41"/>
    <x v="4"/>
    <x v="1"/>
  </r>
  <r>
    <x v="6"/>
    <n v="96946"/>
    <n v="1674"/>
    <s v="SUPER CHIP AUTOSERVICIOS INTERNET(numeradas)"/>
    <n v="1"/>
    <x v="1"/>
    <x v="5"/>
    <x v="5"/>
    <x v="1"/>
  </r>
  <r>
    <x v="6"/>
    <n v="98948"/>
    <n v="1645"/>
    <s v="SIM SUPER CHIP AUTOSERVICIOS (numeradas)"/>
    <n v="1"/>
    <x v="1"/>
    <x v="31"/>
    <x v="23"/>
    <x v="1"/>
  </r>
  <r>
    <x v="6"/>
    <n v="98948"/>
    <n v="1887"/>
    <s v="USIM PREPAGO NUMERADA COMBO BLISTER AUTOSERVICIO R"/>
    <n v="311"/>
    <x v="1"/>
    <x v="31"/>
    <x v="23"/>
    <x v="1"/>
  </r>
  <r>
    <x v="6"/>
    <n v="105944"/>
    <n v="2897"/>
    <s v="DISTRIBUCION NUMERADA"/>
    <n v="1"/>
    <x v="1"/>
    <x v="32"/>
    <x v="24"/>
    <x v="1"/>
  </r>
  <r>
    <x v="6"/>
    <n v="113950"/>
    <n v="1652"/>
    <s v="USIM TUENTI PREPAGO NUMERADA (CELOFAN)"/>
    <n v="44"/>
    <x v="1"/>
    <x v="42"/>
    <x v="3"/>
    <x v="1"/>
  </r>
  <r>
    <x v="6"/>
    <n v="113950"/>
    <n v="2396"/>
    <s v="Usim Tuenti Prepago Blíster Numerada $ 5.00"/>
    <n v="44"/>
    <x v="1"/>
    <x v="43"/>
    <x v="3"/>
    <x v="1"/>
  </r>
  <r>
    <x v="6"/>
    <n v="113950"/>
    <n v="2397"/>
    <s v="Usim Tuenti Prepago Blíster Numerada $ 10.00"/>
    <n v="11"/>
    <x v="1"/>
    <x v="44"/>
    <x v="3"/>
    <x v="1"/>
  </r>
  <r>
    <x v="6"/>
    <n v="113950"/>
    <n v="2398"/>
    <s v="Usim Tuenti Prepago Blíster Numerada $ 15.00"/>
    <n v="386"/>
    <x v="1"/>
    <x v="45"/>
    <x v="3"/>
    <x v="1"/>
  </r>
  <r>
    <x v="6"/>
    <n v="113950"/>
    <n v="2399"/>
    <s v="Usim Tuenti Prepago Blíster Numerada $ 20.00"/>
    <n v="1"/>
    <x v="1"/>
    <x v="46"/>
    <x v="3"/>
    <x v="1"/>
  </r>
  <r>
    <x v="6"/>
    <n v="113950"/>
    <n v="2400"/>
    <s v="Usim Tuenti Prepago Celofán Numerada $ 5.00"/>
    <n v="4"/>
    <x v="1"/>
    <x v="6"/>
    <x v="3"/>
    <x v="1"/>
  </r>
  <r>
    <x v="6"/>
    <n v="113950"/>
    <n v="2401"/>
    <s v="Usim Tuenti Prepago Celofán Numerada $ 10.00"/>
    <n v="794"/>
    <x v="1"/>
    <x v="47"/>
    <x v="3"/>
    <x v="1"/>
  </r>
  <r>
    <x v="6"/>
    <n v="113950"/>
    <n v="2403"/>
    <s v="Usim Tuenti Prepago Celofán Numerada $ 20.00"/>
    <n v="10"/>
    <x v="1"/>
    <x v="48"/>
    <x v="3"/>
    <x v="1"/>
  </r>
  <r>
    <x v="6"/>
    <n v="113950"/>
    <n v="2416"/>
    <s v="Usim Tuenti Prepago Celofán Numerada $5 SinSticker"/>
    <n v="8"/>
    <x v="1"/>
    <x v="7"/>
    <x v="3"/>
    <x v="1"/>
  </r>
  <r>
    <x v="6"/>
    <n v="113950"/>
    <n v="2511"/>
    <s v="Usim Tuenti Prepago Celofán Numerada Freemium$3.00"/>
    <n v="2"/>
    <x v="1"/>
    <x v="8"/>
    <x v="3"/>
    <x v="1"/>
  </r>
  <r>
    <x v="6"/>
    <n v="140948"/>
    <n v="1888"/>
    <s v="USIM PREPAGO NUMERADA BLISTER AUTOSERVICIOS TURIST"/>
    <n v="1"/>
    <x v="1"/>
    <x v="9"/>
    <x v="6"/>
    <x v="1"/>
  </r>
  <r>
    <x v="6"/>
    <n v="162089"/>
    <n v="2801"/>
    <s v="CHIP PREPAGO $5 AUTOSERVICIO"/>
    <n v="547"/>
    <x v="1"/>
    <x v="10"/>
    <x v="7"/>
    <x v="1"/>
  </r>
  <r>
    <x v="6"/>
    <n v="162092"/>
    <n v="2804"/>
    <s v="CHIP PREPAGO $3 NUMERADO"/>
    <n v="47"/>
    <x v="1"/>
    <x v="0"/>
    <x v="0"/>
    <x v="1"/>
  </r>
  <r>
    <x v="6"/>
    <n v="162114"/>
    <n v="2746"/>
    <s v="USIM AKI"/>
    <n v="1"/>
    <x v="1"/>
    <x v="49"/>
    <x v="31"/>
    <x v="1"/>
  </r>
  <r>
    <x v="6"/>
    <n v="162115"/>
    <n v="2665"/>
    <s v="SIMCARD M2M 2FF LTE"/>
    <n v="8"/>
    <x v="1"/>
    <x v="18"/>
    <x v="15"/>
    <x v="1"/>
  </r>
  <r>
    <x v="6"/>
    <n v="162116"/>
    <n v="2666"/>
    <s v="SIMCARD M2M 4FF LTE"/>
    <n v="8"/>
    <x v="1"/>
    <x v="19"/>
    <x v="16"/>
    <x v="1"/>
  </r>
  <r>
    <x v="6"/>
    <n v="162119"/>
    <n v="2905"/>
    <s v="ESIM EVOUCHERS CODE QR"/>
    <n v="2"/>
    <x v="1"/>
    <x v="20"/>
    <x v="17"/>
    <x v="1"/>
  </r>
  <r>
    <x v="6"/>
    <n v="162146"/>
    <n v="3022"/>
    <s v="USIM MULTISIM MOVISTAR"/>
    <n v="10195"/>
    <x v="1"/>
    <x v="28"/>
    <x v="20"/>
    <x v="1"/>
  </r>
  <r>
    <x v="6"/>
    <n v="162148"/>
    <n v="3021"/>
    <s v="SIMCARD M2M 3FF LTE"/>
    <n v="4"/>
    <x v="1"/>
    <x v="29"/>
    <x v="21"/>
    <x v="1"/>
  </r>
  <r>
    <x v="6"/>
    <s v="(en blanco)"/>
    <n v="1541"/>
    <s v="MICROSIM 3FF PREPAGO PROMO SALDO $0 (NUMERA) 128K"/>
    <n v="1999"/>
    <x v="1"/>
    <x v="50"/>
    <x v="32"/>
    <x v="1"/>
  </r>
  <r>
    <x v="6"/>
    <s v="(en blanco)"/>
    <n v="2743"/>
    <s v="SIMCARDS HOMOLOGACION"/>
    <n v="54"/>
    <x v="1"/>
    <x v="51"/>
    <x v="33"/>
    <x v="1"/>
  </r>
  <r>
    <x v="6"/>
    <s v="n/a"/>
    <n v="672"/>
    <s v="TUENTI VIRGEN REPOSICION 5.00"/>
    <n v="94"/>
    <x v="1"/>
    <x v="52"/>
    <x v="33"/>
    <x v="1"/>
  </r>
  <r>
    <x v="6"/>
    <s v="n/a"/>
    <n v="673"/>
    <s v="TUENTI VIRGEN REPOSICION SIN COSTO"/>
    <n v="1275"/>
    <x v="1"/>
    <x v="53"/>
    <x v="33"/>
    <x v="1"/>
  </r>
  <r>
    <x v="6"/>
    <s v="n/a"/>
    <n v="2324"/>
    <s v="SIMCARD DESTRUCCIÓN"/>
    <n v="6"/>
    <x v="1"/>
    <x v="54"/>
    <x v="34"/>
    <x v="1"/>
  </r>
  <r>
    <x v="7"/>
    <n v="162082"/>
    <n v="2761"/>
    <s v="SIM KITE M2M 2FF STANDARD"/>
    <n v="25000"/>
    <x v="0"/>
    <x v="33"/>
    <x v="25"/>
    <x v="0"/>
  </r>
  <r>
    <x v="7"/>
    <n v="162084"/>
    <n v="2763"/>
    <s v="SIM KITE M2M 3FF HIGH TEMP"/>
    <n v="10000"/>
    <x v="0"/>
    <x v="34"/>
    <x v="26"/>
    <x v="0"/>
  </r>
  <r>
    <x v="7"/>
    <n v="162086"/>
    <n v="2765"/>
    <s v="SIM KITE M2M 4FF"/>
    <n v="5000"/>
    <x v="0"/>
    <x v="35"/>
    <x v="27"/>
    <x v="0"/>
  </r>
  <r>
    <x v="7"/>
    <n v="162113"/>
    <n v="2745"/>
    <s v="USIM MAXI"/>
    <n v="149991"/>
    <x v="0"/>
    <x v="36"/>
    <x v="28"/>
    <x v="0"/>
  </r>
  <r>
    <x v="7"/>
    <n v="162114"/>
    <n v="2746"/>
    <s v="USIM AKI"/>
    <n v="149991"/>
    <x v="0"/>
    <x v="49"/>
    <x v="31"/>
    <x v="0"/>
  </r>
  <r>
    <x v="7"/>
    <n v="162120"/>
    <n v="2924"/>
    <s v="HALF SIM MOVISTAR"/>
    <n v="179969"/>
    <x v="0"/>
    <x v="37"/>
    <x v="29"/>
    <x v="0"/>
  </r>
  <r>
    <x v="7"/>
    <n v="162121"/>
    <n v="2925"/>
    <s v="HALFSIM TUENTI"/>
    <n v="245986"/>
    <x v="0"/>
    <x v="38"/>
    <x v="18"/>
    <x v="0"/>
  </r>
  <r>
    <x v="7"/>
    <n v="162143"/>
    <n v="3005"/>
    <s v="HALFSIM M2M 2FF LTE SIN AUTENTICAR"/>
    <n v="29996"/>
    <x v="0"/>
    <x v="55"/>
    <x v="35"/>
    <x v="0"/>
  </r>
  <r>
    <x v="7"/>
    <n v="162144"/>
    <n v="3006"/>
    <s v="HALFSIM M2M 3FF LTE SIN AUTENTICAR"/>
    <n v="24996"/>
    <x v="0"/>
    <x v="56"/>
    <x v="36"/>
    <x v="0"/>
  </r>
  <r>
    <x v="8"/>
    <n v="1534"/>
    <n v="1398"/>
    <s v="SIMCARD M2M POSPAGO GEMALTO"/>
    <n v="3849"/>
    <x v="0"/>
    <x v="2"/>
    <x v="2"/>
    <x v="0"/>
  </r>
  <r>
    <x v="8"/>
    <n v="113950"/>
    <n v="2400"/>
    <s v="Usim Tuenti Prepago Celofán Numerada $ 5.00"/>
    <n v="12"/>
    <x v="0"/>
    <x v="6"/>
    <x v="3"/>
    <x v="0"/>
  </r>
  <r>
    <x v="8"/>
    <n v="162082"/>
    <n v="2761"/>
    <s v="SIM KITE M2M 2FF STANDARD"/>
    <n v="5179"/>
    <x v="0"/>
    <x v="33"/>
    <x v="25"/>
    <x v="0"/>
  </r>
  <r>
    <x v="8"/>
    <n v="162084"/>
    <n v="2763"/>
    <s v="SIM KITE M2M 3FF HIGH TEMP"/>
    <n v="4975"/>
    <x v="0"/>
    <x v="34"/>
    <x v="26"/>
    <x v="0"/>
  </r>
  <r>
    <x v="8"/>
    <n v="162086"/>
    <n v="2765"/>
    <s v="SIM KITE M2M 4FF"/>
    <n v="2498"/>
    <x v="0"/>
    <x v="35"/>
    <x v="27"/>
    <x v="0"/>
  </r>
  <r>
    <x v="8"/>
    <n v="162115"/>
    <n v="2665"/>
    <s v="SIMCARD M2M 2FF LTE"/>
    <n v="2273"/>
    <x v="0"/>
    <x v="18"/>
    <x v="15"/>
    <x v="0"/>
  </r>
  <r>
    <x v="8"/>
    <n v="162116"/>
    <n v="2666"/>
    <s v="SIMCARD M2M 4FF LTE"/>
    <n v="206"/>
    <x v="0"/>
    <x v="19"/>
    <x v="16"/>
    <x v="0"/>
  </r>
</pivotCacheRecords>
</file>

<file path=xl/pivotCache/pivotCacheRecords2.xml><?xml version="1.0" encoding="utf-8"?>
<pivotCacheRecords xmlns="http://schemas.openxmlformats.org/spreadsheetml/2006/main" count="101">
  <r>
    <x v="0"/>
    <n v="162092"/>
    <n v="2804"/>
    <s v="CHIP PREPAGO $3 NUMERADO"/>
    <n v="39994"/>
    <x v="0"/>
    <x v="0"/>
    <x v="0"/>
    <x v="0"/>
  </r>
  <r>
    <x v="1"/>
    <n v="714"/>
    <n v="1485"/>
    <s v="SIMCARD 2FF PREPAGO 128K"/>
    <n v="25"/>
    <x v="0"/>
    <x v="1"/>
    <x v="1"/>
    <x v="0"/>
  </r>
  <r>
    <x v="1"/>
    <n v="1534"/>
    <n v="1398"/>
    <s v="SIMCARD M2M POSPAGO GEMALTO"/>
    <n v="23463"/>
    <x v="0"/>
    <x v="2"/>
    <x v="2"/>
    <x v="0"/>
  </r>
  <r>
    <x v="1"/>
    <n v="82944"/>
    <n v="1692"/>
    <s v="USIM GENERICA SIN AUTENTICAR"/>
    <n v="8"/>
    <x v="0"/>
    <x v="3"/>
    <x v="3"/>
    <x v="0"/>
  </r>
  <r>
    <x v="1"/>
    <n v="84948"/>
    <n v="1651"/>
    <s v="USIM TUENTI PREPAGO (CELOFAN)"/>
    <n v="1"/>
    <x v="0"/>
    <x v="4"/>
    <x v="4"/>
    <x v="0"/>
  </r>
  <r>
    <x v="1"/>
    <n v="96946"/>
    <n v="1674"/>
    <s v="SUPER CHIP AUTOSERVICIOS INTERNET(numeradas)"/>
    <n v="1541"/>
    <x v="0"/>
    <x v="5"/>
    <x v="5"/>
    <x v="0"/>
  </r>
  <r>
    <x v="1"/>
    <n v="113950"/>
    <n v="2400"/>
    <s v="Usim Tuenti Prepago Celofán Numerada $ 5.00"/>
    <n v="12056"/>
    <x v="0"/>
    <x v="6"/>
    <x v="3"/>
    <x v="0"/>
  </r>
  <r>
    <x v="1"/>
    <n v="113950"/>
    <n v="2416"/>
    <s v="Usim Tuenti Prepago Celofán Numerada $5 SinSticker"/>
    <n v="2309"/>
    <x v="0"/>
    <x v="7"/>
    <x v="3"/>
    <x v="0"/>
  </r>
  <r>
    <x v="1"/>
    <n v="113950"/>
    <n v="2511"/>
    <s v="Usim Tuenti Prepago Celofán Numerada Freemium$3.00"/>
    <n v="774"/>
    <x v="0"/>
    <x v="8"/>
    <x v="3"/>
    <x v="0"/>
  </r>
  <r>
    <x v="1"/>
    <n v="140948"/>
    <n v="1888"/>
    <s v="USIM PREPAGO NUMERADA BLISTER AUTOSERVICIOS TURIST"/>
    <n v="5"/>
    <x v="0"/>
    <x v="9"/>
    <x v="6"/>
    <x v="0"/>
  </r>
  <r>
    <x v="1"/>
    <n v="162089"/>
    <n v="2801"/>
    <s v="CHIP PREPAGO $5 AUTOSERVICIO"/>
    <n v="2940"/>
    <x v="0"/>
    <x v="10"/>
    <x v="7"/>
    <x v="0"/>
  </r>
  <r>
    <x v="1"/>
    <n v="162090"/>
    <n v="2802"/>
    <s v="CHIP PREPAGO $5 NUMERADO"/>
    <n v="9259"/>
    <x v="0"/>
    <x v="11"/>
    <x v="8"/>
    <x v="0"/>
  </r>
  <r>
    <x v="1"/>
    <n v="162092"/>
    <n v="2804"/>
    <s v="CHIP PREPAGO $3 NUMERADO"/>
    <n v="60414"/>
    <x v="0"/>
    <x v="0"/>
    <x v="0"/>
    <x v="0"/>
  </r>
  <r>
    <x v="1"/>
    <n v="162113"/>
    <n v="2747"/>
    <s v="USIM NUMERADA MAXIPLUS"/>
    <n v="15520"/>
    <x v="0"/>
    <x v="12"/>
    <x v="9"/>
    <x v="0"/>
  </r>
  <r>
    <x v="1"/>
    <n v="162113"/>
    <n v="2748"/>
    <s v="USIM PORTABILIDAD MAXIPLUS"/>
    <n v="5524"/>
    <x v="0"/>
    <x v="13"/>
    <x v="10"/>
    <x v="0"/>
  </r>
  <r>
    <x v="1"/>
    <n v="162113"/>
    <n v="2749"/>
    <s v="USIM REPOSICION MAXIPLUS"/>
    <n v="842"/>
    <x v="0"/>
    <x v="14"/>
    <x v="11"/>
    <x v="0"/>
  </r>
  <r>
    <x v="1"/>
    <n v="162114"/>
    <n v="2750"/>
    <s v="USIM NUMERADA AKIMOVIL"/>
    <n v="483"/>
    <x v="0"/>
    <x v="15"/>
    <x v="12"/>
    <x v="0"/>
  </r>
  <r>
    <x v="1"/>
    <n v="162114"/>
    <n v="2751"/>
    <s v="USIM PORTABILIDAD AKIMOVIL"/>
    <n v="2624"/>
    <x v="0"/>
    <x v="16"/>
    <x v="13"/>
    <x v="0"/>
  </r>
  <r>
    <x v="1"/>
    <n v="162114"/>
    <n v="2752"/>
    <s v="USIM REPOSICION AKIMOVIL"/>
    <n v="592"/>
    <x v="0"/>
    <x v="17"/>
    <x v="14"/>
    <x v="0"/>
  </r>
  <r>
    <x v="1"/>
    <n v="162115"/>
    <n v="2665"/>
    <s v="SIMCARD M2M 2FF LTE"/>
    <n v="398"/>
    <x v="0"/>
    <x v="18"/>
    <x v="15"/>
    <x v="0"/>
  </r>
  <r>
    <x v="1"/>
    <n v="162116"/>
    <n v="2666"/>
    <s v="SIMCARD M2M 4FF LTE"/>
    <n v="2755"/>
    <x v="0"/>
    <x v="19"/>
    <x v="16"/>
    <x v="0"/>
  </r>
  <r>
    <x v="1"/>
    <n v="162119"/>
    <n v="2905"/>
    <s v="ESIM EVOUCHERS CODE QR"/>
    <n v="129"/>
    <x v="0"/>
    <x v="20"/>
    <x v="17"/>
    <x v="0"/>
  </r>
  <r>
    <x v="1"/>
    <n v="162121"/>
    <n v="3114"/>
    <s v="HALFSIM TUENTI CELOFAN PORTABILIDAD"/>
    <n v="8584"/>
    <x v="0"/>
    <x v="21"/>
    <x v="18"/>
    <x v="0"/>
  </r>
  <r>
    <x v="1"/>
    <n v="162121"/>
    <n v="3115"/>
    <s v="HALFSIM TUENTI CELOFAN REPOSICION"/>
    <n v="3998"/>
    <x v="0"/>
    <x v="22"/>
    <x v="18"/>
    <x v="0"/>
  </r>
  <r>
    <x v="1"/>
    <n v="162142"/>
    <n v="3084"/>
    <s v="Halfsim Tuenti Prepago Celofán Numerada $ 5.00"/>
    <n v="24787"/>
    <x v="0"/>
    <x v="23"/>
    <x v="19"/>
    <x v="0"/>
  </r>
  <r>
    <x v="1"/>
    <n v="162142"/>
    <n v="3091"/>
    <s v="HalfsimTuenti PrepagoCelofanNumerada $5sin sticker"/>
    <n v="17361"/>
    <x v="0"/>
    <x v="24"/>
    <x v="19"/>
    <x v="0"/>
  </r>
  <r>
    <x v="1"/>
    <n v="162142"/>
    <n v="3092"/>
    <s v="Halfsim Tuenti Prepago Celofán Numerada $10.00"/>
    <n v="1422"/>
    <x v="0"/>
    <x v="25"/>
    <x v="19"/>
    <x v="0"/>
  </r>
  <r>
    <x v="1"/>
    <n v="162142"/>
    <n v="3093"/>
    <s v="Halfsim Tuenti Prepago Celofán Numerada $20.00"/>
    <n v="963"/>
    <x v="0"/>
    <x v="26"/>
    <x v="19"/>
    <x v="0"/>
  </r>
  <r>
    <x v="1"/>
    <n v="162142"/>
    <n v="3101"/>
    <s v="Halfsim Tuenti Prepago Celofán Numerada $25.00"/>
    <n v="978"/>
    <x v="0"/>
    <x v="27"/>
    <x v="19"/>
    <x v="0"/>
  </r>
  <r>
    <x v="1"/>
    <n v="162146"/>
    <n v="3022"/>
    <s v="USIM MULTISIM MOVISTAR"/>
    <n v="70818"/>
    <x v="0"/>
    <x v="28"/>
    <x v="20"/>
    <x v="0"/>
  </r>
  <r>
    <x v="1"/>
    <n v="162148"/>
    <n v="3021"/>
    <s v="SIMCARD M2M 3FF LTE"/>
    <n v="9126"/>
    <x v="0"/>
    <x v="29"/>
    <x v="21"/>
    <x v="0"/>
  </r>
  <r>
    <x v="2"/>
    <n v="81944"/>
    <n v="1599"/>
    <s v="USIM MULTISIM POSPAGO"/>
    <n v="928"/>
    <x v="1"/>
    <x v="30"/>
    <x v="22"/>
    <x v="1"/>
  </r>
  <r>
    <x v="3"/>
    <n v="81944"/>
    <n v="1599"/>
    <s v="USIM MULTISIM POSPAGO"/>
    <n v="5"/>
    <x v="1"/>
    <x v="30"/>
    <x v="22"/>
    <x v="1"/>
  </r>
  <r>
    <x v="4"/>
    <n v="162146"/>
    <n v="3022"/>
    <s v="USIM MULTISIM MOVISTAR"/>
    <n v="155"/>
    <x v="1"/>
    <x v="28"/>
    <x v="20"/>
    <x v="1"/>
  </r>
  <r>
    <x v="5"/>
    <n v="98948"/>
    <n v="1593"/>
    <s v="SIMCARD PREPAGO MOVISTAR AUTOSERVICIOS"/>
    <n v="56"/>
    <x v="0"/>
    <x v="31"/>
    <x v="23"/>
    <x v="0"/>
  </r>
  <r>
    <x v="5"/>
    <n v="98948"/>
    <n v="1645"/>
    <s v="SIM SUPER CHIP AUTOSERVICIOS (numeradas)"/>
    <n v="96"/>
    <x v="0"/>
    <x v="31"/>
    <x v="23"/>
    <x v="0"/>
  </r>
  <r>
    <x v="5"/>
    <n v="105944"/>
    <n v="2897"/>
    <s v="DISTRIBUCION NUMERADA"/>
    <n v="22773"/>
    <x v="0"/>
    <x v="32"/>
    <x v="24"/>
    <x v="0"/>
  </r>
  <r>
    <x v="5"/>
    <n v="162082"/>
    <n v="2761"/>
    <s v="SIM KITE M2M 2FF STANDARD"/>
    <n v="10000"/>
    <x v="0"/>
    <x v="33"/>
    <x v="25"/>
    <x v="0"/>
  </r>
  <r>
    <x v="5"/>
    <n v="162084"/>
    <n v="2763"/>
    <s v="SIM KITE M2M 3FF HIGH TEMP"/>
    <n v="5000"/>
    <x v="0"/>
    <x v="34"/>
    <x v="26"/>
    <x v="0"/>
  </r>
  <r>
    <x v="5"/>
    <n v="162086"/>
    <n v="2765"/>
    <s v="SIM KITE M2M 4FF"/>
    <n v="2500"/>
    <x v="0"/>
    <x v="35"/>
    <x v="27"/>
    <x v="0"/>
  </r>
  <r>
    <x v="5"/>
    <n v="162113"/>
    <n v="2745"/>
    <s v="USIM MAXI"/>
    <n v="29840"/>
    <x v="0"/>
    <x v="36"/>
    <x v="28"/>
    <x v="0"/>
  </r>
  <r>
    <x v="5"/>
    <n v="162115"/>
    <n v="2665"/>
    <s v="SIMCARD M2M 2FF LTE"/>
    <n v="9996"/>
    <x v="0"/>
    <x v="18"/>
    <x v="15"/>
    <x v="0"/>
  </r>
  <r>
    <x v="5"/>
    <n v="162120"/>
    <n v="2924"/>
    <s v="HALF SIM MOVISTAR"/>
    <n v="494922"/>
    <x v="0"/>
    <x v="37"/>
    <x v="29"/>
    <x v="0"/>
  </r>
  <r>
    <x v="5"/>
    <n v="162121"/>
    <n v="2925"/>
    <s v="HALFSIM TUENTI"/>
    <n v="99990"/>
    <x v="0"/>
    <x v="38"/>
    <x v="18"/>
    <x v="0"/>
  </r>
  <r>
    <x v="5"/>
    <n v="162146"/>
    <n v="3022"/>
    <s v="USIM MULTISIM MOVISTAR"/>
    <n v="92378"/>
    <x v="0"/>
    <x v="28"/>
    <x v="20"/>
    <x v="0"/>
  </r>
  <r>
    <x v="6"/>
    <n v="1"/>
    <n v="1067"/>
    <s v="SIMCARD PORTABILIDAD PREPAGO"/>
    <n v="42"/>
    <x v="1"/>
    <x v="39"/>
    <x v="30"/>
    <x v="1"/>
  </r>
  <r>
    <x v="6"/>
    <n v="714"/>
    <n v="1485"/>
    <s v="SIMCARD 2FF PREPAGO 128K"/>
    <n v="48"/>
    <x v="1"/>
    <x v="1"/>
    <x v="1"/>
    <x v="1"/>
  </r>
  <r>
    <x v="6"/>
    <n v="1534"/>
    <n v="1398"/>
    <s v="SIMCARD M2M POSPAGO GEMALTO"/>
    <n v="16"/>
    <x v="1"/>
    <x v="2"/>
    <x v="2"/>
    <x v="1"/>
  </r>
  <r>
    <x v="6"/>
    <n v="1534"/>
    <n v="2058"/>
    <s v="SIMCARD M2M IDEMIA (OBERTHUR)"/>
    <n v="19"/>
    <x v="1"/>
    <x v="40"/>
    <x v="2"/>
    <x v="1"/>
  </r>
  <r>
    <x v="6"/>
    <n v="82944"/>
    <n v="1692"/>
    <s v="USIM GENERICA SIN AUTENTICAR"/>
    <n v="184"/>
    <x v="1"/>
    <x v="3"/>
    <x v="3"/>
    <x v="1"/>
  </r>
  <r>
    <x v="6"/>
    <n v="84948"/>
    <n v="1648"/>
    <s v="USIM TUENTI (blister)"/>
    <n v="495"/>
    <x v="1"/>
    <x v="41"/>
    <x v="4"/>
    <x v="1"/>
  </r>
  <r>
    <x v="6"/>
    <n v="84948"/>
    <n v="1651"/>
    <s v="USIM TUENTI PREPAGO (CELOFAN)"/>
    <n v="9248"/>
    <x v="1"/>
    <x v="4"/>
    <x v="4"/>
    <x v="1"/>
  </r>
  <r>
    <x v="6"/>
    <n v="84948"/>
    <n v="1807"/>
    <s v="USIM PREPAGO TUENTI CELOFAN NO NUMERADA PORTABILID"/>
    <n v="315"/>
    <x v="1"/>
    <x v="4"/>
    <x v="4"/>
    <x v="1"/>
  </r>
  <r>
    <x v="6"/>
    <n v="84948"/>
    <n v="1808"/>
    <s v="USIM PREPAGO TUENTI BLISTER NO NUMERADA PORTABILID"/>
    <n v="476"/>
    <x v="1"/>
    <x v="41"/>
    <x v="4"/>
    <x v="1"/>
  </r>
  <r>
    <x v="6"/>
    <n v="96946"/>
    <n v="1674"/>
    <s v="SUPER CHIP AUTOSERVICIOS INTERNET(numeradas)"/>
    <n v="1"/>
    <x v="1"/>
    <x v="5"/>
    <x v="5"/>
    <x v="1"/>
  </r>
  <r>
    <x v="6"/>
    <n v="98948"/>
    <n v="1645"/>
    <s v="SIM SUPER CHIP AUTOSERVICIOS (numeradas)"/>
    <n v="1"/>
    <x v="1"/>
    <x v="31"/>
    <x v="23"/>
    <x v="1"/>
  </r>
  <r>
    <x v="6"/>
    <n v="98948"/>
    <n v="1887"/>
    <s v="USIM PREPAGO NUMERADA COMBO BLISTER AUTOSERVICIO R"/>
    <n v="311"/>
    <x v="1"/>
    <x v="31"/>
    <x v="23"/>
    <x v="1"/>
  </r>
  <r>
    <x v="6"/>
    <n v="105944"/>
    <n v="2897"/>
    <s v="DISTRIBUCION NUMERADA"/>
    <n v="1"/>
    <x v="1"/>
    <x v="32"/>
    <x v="24"/>
    <x v="1"/>
  </r>
  <r>
    <x v="6"/>
    <n v="113950"/>
    <n v="1652"/>
    <s v="USIM TUENTI PREPAGO NUMERADA (CELOFAN)"/>
    <n v="44"/>
    <x v="1"/>
    <x v="42"/>
    <x v="3"/>
    <x v="1"/>
  </r>
  <r>
    <x v="6"/>
    <n v="113950"/>
    <n v="2396"/>
    <s v="Usim Tuenti Prepago Blíster Numerada $ 5.00"/>
    <n v="44"/>
    <x v="1"/>
    <x v="43"/>
    <x v="3"/>
    <x v="1"/>
  </r>
  <r>
    <x v="6"/>
    <n v="113950"/>
    <n v="2397"/>
    <s v="Usim Tuenti Prepago Blíster Numerada $ 10.00"/>
    <n v="11"/>
    <x v="1"/>
    <x v="44"/>
    <x v="3"/>
    <x v="1"/>
  </r>
  <r>
    <x v="6"/>
    <n v="113950"/>
    <n v="2398"/>
    <s v="Usim Tuenti Prepago Blíster Numerada $ 15.00"/>
    <n v="386"/>
    <x v="1"/>
    <x v="45"/>
    <x v="3"/>
    <x v="1"/>
  </r>
  <r>
    <x v="6"/>
    <n v="113950"/>
    <n v="2399"/>
    <s v="Usim Tuenti Prepago Blíster Numerada $ 20.00"/>
    <n v="1"/>
    <x v="1"/>
    <x v="46"/>
    <x v="3"/>
    <x v="1"/>
  </r>
  <r>
    <x v="6"/>
    <n v="113950"/>
    <n v="2400"/>
    <s v="Usim Tuenti Prepago Celofán Numerada $ 5.00"/>
    <n v="4"/>
    <x v="1"/>
    <x v="6"/>
    <x v="3"/>
    <x v="1"/>
  </r>
  <r>
    <x v="6"/>
    <n v="113950"/>
    <n v="2401"/>
    <s v="Usim Tuenti Prepago Celofán Numerada $ 10.00"/>
    <n v="794"/>
    <x v="1"/>
    <x v="47"/>
    <x v="3"/>
    <x v="1"/>
  </r>
  <r>
    <x v="6"/>
    <n v="113950"/>
    <n v="2403"/>
    <s v="Usim Tuenti Prepago Celofán Numerada $ 20.00"/>
    <n v="10"/>
    <x v="1"/>
    <x v="48"/>
    <x v="3"/>
    <x v="1"/>
  </r>
  <r>
    <x v="6"/>
    <n v="113950"/>
    <n v="2416"/>
    <s v="Usim Tuenti Prepago Celofán Numerada $5 SinSticker"/>
    <n v="8"/>
    <x v="1"/>
    <x v="7"/>
    <x v="3"/>
    <x v="1"/>
  </r>
  <r>
    <x v="6"/>
    <n v="113950"/>
    <n v="2511"/>
    <s v="Usim Tuenti Prepago Celofán Numerada Freemium$3.00"/>
    <n v="2"/>
    <x v="1"/>
    <x v="8"/>
    <x v="3"/>
    <x v="1"/>
  </r>
  <r>
    <x v="6"/>
    <n v="140948"/>
    <n v="1888"/>
    <s v="USIM PREPAGO NUMERADA BLISTER AUTOSERVICIOS TURIST"/>
    <n v="1"/>
    <x v="1"/>
    <x v="9"/>
    <x v="6"/>
    <x v="1"/>
  </r>
  <r>
    <x v="6"/>
    <n v="162089"/>
    <n v="2801"/>
    <s v="CHIP PREPAGO $5 AUTOSERVICIO"/>
    <n v="547"/>
    <x v="1"/>
    <x v="10"/>
    <x v="7"/>
    <x v="1"/>
  </r>
  <r>
    <x v="6"/>
    <n v="162092"/>
    <n v="2804"/>
    <s v="CHIP PREPAGO $3 NUMERADO"/>
    <n v="47"/>
    <x v="1"/>
    <x v="0"/>
    <x v="0"/>
    <x v="1"/>
  </r>
  <r>
    <x v="6"/>
    <n v="162114"/>
    <n v="2746"/>
    <s v="USIM AKI"/>
    <n v="1"/>
    <x v="1"/>
    <x v="49"/>
    <x v="31"/>
    <x v="1"/>
  </r>
  <r>
    <x v="6"/>
    <n v="162115"/>
    <n v="2665"/>
    <s v="SIMCARD M2M 2FF LTE"/>
    <n v="8"/>
    <x v="1"/>
    <x v="18"/>
    <x v="15"/>
    <x v="1"/>
  </r>
  <r>
    <x v="6"/>
    <n v="162116"/>
    <n v="2666"/>
    <s v="SIMCARD M2M 4FF LTE"/>
    <n v="8"/>
    <x v="1"/>
    <x v="19"/>
    <x v="16"/>
    <x v="1"/>
  </r>
  <r>
    <x v="6"/>
    <n v="162119"/>
    <n v="2905"/>
    <s v="ESIM EVOUCHERS CODE QR"/>
    <n v="2"/>
    <x v="1"/>
    <x v="20"/>
    <x v="17"/>
    <x v="1"/>
  </r>
  <r>
    <x v="6"/>
    <n v="162146"/>
    <n v="3022"/>
    <s v="USIM MULTISIM MOVISTAR"/>
    <n v="10195"/>
    <x v="1"/>
    <x v="28"/>
    <x v="20"/>
    <x v="1"/>
  </r>
  <r>
    <x v="6"/>
    <n v="162148"/>
    <n v="3021"/>
    <s v="SIMCARD M2M 3FF LTE"/>
    <n v="4"/>
    <x v="1"/>
    <x v="29"/>
    <x v="21"/>
    <x v="1"/>
  </r>
  <r>
    <x v="6"/>
    <s v="(en blanco)"/>
    <n v="1541"/>
    <s v="MICROSIM 3FF PREPAGO PROMO SALDO $0 (NUMERA) 128K"/>
    <n v="1999"/>
    <x v="1"/>
    <x v="50"/>
    <x v="32"/>
    <x v="1"/>
  </r>
  <r>
    <x v="6"/>
    <s v="(en blanco)"/>
    <n v="2743"/>
    <s v="SIMCARDS HOMOLOGACION"/>
    <n v="54"/>
    <x v="1"/>
    <x v="51"/>
    <x v="33"/>
    <x v="1"/>
  </r>
  <r>
    <x v="6"/>
    <s v="n/a"/>
    <n v="672"/>
    <s v="TUENTI VIRGEN REPOSICION 5.00"/>
    <n v="94"/>
    <x v="1"/>
    <x v="52"/>
    <x v="33"/>
    <x v="1"/>
  </r>
  <r>
    <x v="6"/>
    <s v="n/a"/>
    <n v="673"/>
    <s v="TUENTI VIRGEN REPOSICION SIN COSTO"/>
    <n v="1275"/>
    <x v="1"/>
    <x v="53"/>
    <x v="33"/>
    <x v="1"/>
  </r>
  <r>
    <x v="6"/>
    <s v="n/a"/>
    <n v="2324"/>
    <s v="SIMCARD DESTRUCCIÓN"/>
    <n v="6"/>
    <x v="1"/>
    <x v="54"/>
    <x v="34"/>
    <x v="1"/>
  </r>
  <r>
    <x v="7"/>
    <n v="162082"/>
    <n v="2761"/>
    <s v="SIM KITE M2M 2FF STANDARD"/>
    <n v="25000"/>
    <x v="0"/>
    <x v="33"/>
    <x v="25"/>
    <x v="0"/>
  </r>
  <r>
    <x v="7"/>
    <n v="162084"/>
    <n v="2763"/>
    <s v="SIM KITE M2M 3FF HIGH TEMP"/>
    <n v="10000"/>
    <x v="0"/>
    <x v="34"/>
    <x v="26"/>
    <x v="0"/>
  </r>
  <r>
    <x v="7"/>
    <n v="162086"/>
    <n v="2765"/>
    <s v="SIM KITE M2M 4FF"/>
    <n v="5000"/>
    <x v="0"/>
    <x v="35"/>
    <x v="27"/>
    <x v="0"/>
  </r>
  <r>
    <x v="7"/>
    <n v="162113"/>
    <n v="2745"/>
    <s v="USIM MAXI"/>
    <n v="149991"/>
    <x v="0"/>
    <x v="36"/>
    <x v="28"/>
    <x v="0"/>
  </r>
  <r>
    <x v="7"/>
    <n v="162114"/>
    <n v="2746"/>
    <s v="USIM AKI"/>
    <n v="149991"/>
    <x v="0"/>
    <x v="49"/>
    <x v="31"/>
    <x v="0"/>
  </r>
  <r>
    <x v="7"/>
    <n v="162120"/>
    <n v="2924"/>
    <s v="HALF SIM MOVISTAR"/>
    <n v="179969"/>
    <x v="0"/>
    <x v="37"/>
    <x v="29"/>
    <x v="0"/>
  </r>
  <r>
    <x v="7"/>
    <n v="162121"/>
    <n v="2925"/>
    <s v="HALFSIM TUENTI"/>
    <n v="245986"/>
    <x v="0"/>
    <x v="38"/>
    <x v="18"/>
    <x v="0"/>
  </r>
  <r>
    <x v="7"/>
    <n v="162143"/>
    <n v="3005"/>
    <s v="HALFSIM M2M 2FF LTE SIN AUTENTICAR"/>
    <n v="29996"/>
    <x v="0"/>
    <x v="55"/>
    <x v="35"/>
    <x v="0"/>
  </r>
  <r>
    <x v="7"/>
    <n v="162144"/>
    <n v="3006"/>
    <s v="HALFSIM M2M 3FF LTE SIN AUTENTICAR"/>
    <n v="24996"/>
    <x v="0"/>
    <x v="56"/>
    <x v="36"/>
    <x v="0"/>
  </r>
  <r>
    <x v="8"/>
    <n v="1534"/>
    <n v="1398"/>
    <s v="SIMCARD M2M POSPAGO GEMALTO"/>
    <n v="3849"/>
    <x v="0"/>
    <x v="2"/>
    <x v="2"/>
    <x v="0"/>
  </r>
  <r>
    <x v="8"/>
    <n v="113950"/>
    <n v="2400"/>
    <s v="Usim Tuenti Prepago Celofán Numerada $ 5.00"/>
    <n v="12"/>
    <x v="0"/>
    <x v="6"/>
    <x v="3"/>
    <x v="0"/>
  </r>
  <r>
    <x v="8"/>
    <n v="162082"/>
    <n v="2761"/>
    <s v="SIM KITE M2M 2FF STANDARD"/>
    <n v="5179"/>
    <x v="0"/>
    <x v="33"/>
    <x v="25"/>
    <x v="0"/>
  </r>
  <r>
    <x v="8"/>
    <n v="162084"/>
    <n v="2763"/>
    <s v="SIM KITE M2M 3FF HIGH TEMP"/>
    <n v="4975"/>
    <x v="0"/>
    <x v="34"/>
    <x v="26"/>
    <x v="0"/>
  </r>
  <r>
    <x v="8"/>
    <n v="162086"/>
    <n v="2765"/>
    <s v="SIM KITE M2M 4FF"/>
    <n v="2498"/>
    <x v="0"/>
    <x v="35"/>
    <x v="27"/>
    <x v="0"/>
  </r>
  <r>
    <x v="8"/>
    <n v="162115"/>
    <n v="2665"/>
    <s v="SIMCARD M2M 2FF LTE"/>
    <n v="2273"/>
    <x v="0"/>
    <x v="18"/>
    <x v="15"/>
    <x v="0"/>
  </r>
  <r>
    <x v="8"/>
    <n v="162116"/>
    <n v="2666"/>
    <s v="SIMCARD M2M 4FF LTE"/>
    <n v="206"/>
    <x v="0"/>
    <x v="19"/>
    <x v="16"/>
    <x v="0"/>
  </r>
  <r>
    <x v="8"/>
    <n v="162119"/>
    <n v="2905"/>
    <s v="ESIM EVOUCHERS CODE QR"/>
    <n v="266"/>
    <x v="0"/>
    <x v="20"/>
    <x v="17"/>
    <x v="0"/>
  </r>
  <r>
    <x v="8"/>
    <n v="162146"/>
    <n v="3022"/>
    <s v="USIM MULTISIM MOVISTAR"/>
    <n v="10209"/>
    <x v="0"/>
    <x v="28"/>
    <x v="20"/>
    <x v="0"/>
  </r>
  <r>
    <x v="8"/>
    <n v="162148"/>
    <n v="3021"/>
    <s v="SIMCARD M2M 3FF LTE"/>
    <n v="1417"/>
    <x v="0"/>
    <x v="29"/>
    <x v="21"/>
    <x v="0"/>
  </r>
</pivotCacheRecords>
</file>

<file path=xl/pivotCache/pivotCacheRecords3.xml><?xml version="1.0" encoding="utf-8"?>
<pivotCacheRecords xmlns="http://schemas.openxmlformats.org/spreadsheetml/2006/main" count="669">
  <r>
    <d v="2020-07-02T00:00:00"/>
    <n v="34730527"/>
    <n v="3022"/>
    <s v="162146"/>
    <s v="USIM MULTISIM MOVISTAR"/>
    <n v="11"/>
    <n v="9.790000000000001"/>
    <n v="0.89"/>
    <s v="N/A"/>
    <s v="GACELA DELIVERY"/>
    <s v="992970545001"/>
    <s v="GUAYAQUIL"/>
    <s v="Cliente Final"/>
    <x v="0"/>
    <x v="0"/>
    <n v="162146"/>
  </r>
  <r>
    <d v="2020-07-02T00:00:00"/>
    <n v="34730529"/>
    <n v="3022"/>
    <s v="162146"/>
    <s v="USIM MULTISIM MOVISTAR"/>
    <n v="46"/>
    <n v="40.94"/>
    <n v="0.89"/>
    <s v="SINCODIGO"/>
    <s v="URBANO EXPRESS (TELEFONICA)"/>
    <s v="1791256115001"/>
    <s v="QUITO"/>
    <s v="Cliente Final"/>
    <x v="0"/>
    <x v="0"/>
    <n v="162146"/>
  </r>
  <r>
    <d v="2020-07-02T00:00:00"/>
    <n v="34730535"/>
    <n v="2804"/>
    <s v="162092"/>
    <s v="CHIP PREPAGO $3 NUMERADO"/>
    <n v="500"/>
    <n v="270"/>
    <n v="0.54"/>
    <s v="MOVINDMACMOV7478"/>
    <s v="MOVIPHONE EL ORO"/>
    <s v="0391007160001"/>
    <s v="AZOGUES"/>
    <s v="Indirecto"/>
    <x v="0"/>
    <x v="1"/>
    <n v="162092"/>
  </r>
  <r>
    <d v="2020-07-02T00:00:00"/>
    <n v="34730536"/>
    <n v="2804"/>
    <s v="162092"/>
    <s v="CHIP PREPAGO $3 NUMERADO"/>
    <n v="1000"/>
    <n v="540"/>
    <n v="0.54"/>
    <s v="MHAZOTRO"/>
    <s v="MOVIPHONE CIA. LTDA. (AZOGUES)"/>
    <s v="0391007160001"/>
    <s v="AZOGUES"/>
    <s v="Indirecto"/>
    <x v="0"/>
    <x v="1"/>
    <n v="162092"/>
  </r>
  <r>
    <d v="2020-07-02T00:00:00"/>
    <n v="34730537"/>
    <n v="3022"/>
    <s v="162146"/>
    <s v="USIM MULTISIM MOVISTAR"/>
    <n v="100"/>
    <n v="89"/>
    <n v="0.89"/>
    <s v="MHAZOTRO"/>
    <s v="MOVIPHONE CIA. LTDA. (AZOGUES)"/>
    <s v="0391007160001"/>
    <s v="AZOGUES"/>
    <s v="Indirecto"/>
    <x v="0"/>
    <x v="0"/>
    <n v="162146"/>
  </r>
  <r>
    <d v="2020-07-02T00:00:00"/>
    <n v="34730539"/>
    <n v="3022"/>
    <s v="162146"/>
    <s v="USIM MULTISIM MOVISTAR"/>
    <n v="150"/>
    <n v="133.5"/>
    <n v="0.89"/>
    <s v="SERNEGGUASER5658"/>
    <s v="NTEC CHONE"/>
    <s v="1792971322001 "/>
    <s v="CHONE"/>
    <s v="Indirecto"/>
    <x v="0"/>
    <x v="0"/>
    <n v="162146"/>
  </r>
  <r>
    <d v="2020-07-02T00:00:00"/>
    <n v="34730545"/>
    <n v="3022"/>
    <s v="162146"/>
    <s v="USIM MULTISIM MOVISTAR"/>
    <n v="200"/>
    <n v="178"/>
    <n v="0.89"/>
    <s v="FANINDMORFAN4098"/>
    <s v="FANNY CECILIA DOMINGUEZ CARDENAS SIMCARDS"/>
    <s v="1400382360001"/>
    <s v="MACAS"/>
    <s v="Indirecto"/>
    <x v="0"/>
    <x v="0"/>
    <n v="162146"/>
  </r>
  <r>
    <d v="2020-07-02T00:00:00"/>
    <n v="34730547"/>
    <n v="2804"/>
    <s v="162092"/>
    <s v="CHIP PREPAGO $3 NUMERADO"/>
    <n v="3500"/>
    <n v="1890"/>
    <n v="0.54"/>
    <s v="ECUZONGUAECU9300"/>
    <s v="TELECOS GYE"/>
    <s v="1791415728001"/>
    <s v="GUAYAQUIL"/>
    <s v="Indirecto"/>
    <x v="0"/>
    <x v="1"/>
    <n v="162092"/>
  </r>
  <r>
    <d v="2020-07-02T00:00:00"/>
    <n v="34730548"/>
    <n v="3022"/>
    <s v="162146"/>
    <s v="USIM MULTISIM MOVISTAR"/>
    <n v="100"/>
    <n v="89"/>
    <n v="0.89"/>
    <s v="N/A"/>
    <s v="SPEEDMOBILITY S. A."/>
    <s v="0993027049001"/>
    <s v="GUAYAQUIL"/>
    <s v="Indirecto"/>
    <x v="0"/>
    <x v="0"/>
    <n v="162146"/>
  </r>
  <r>
    <d v="2020-07-02T00:00:00"/>
    <n v="34730550"/>
    <n v="2924"/>
    <s v="162120"/>
    <s v="HALF SIM MOVISTAR"/>
    <n v="1"/>
    <n v="0.51"/>
    <n v="0.51"/>
    <s v="N/A"/>
    <s v="OTECEL ECOPARK"/>
    <s v="0992378786001"/>
    <s v="QUITO"/>
    <s v="Directo"/>
    <x v="1"/>
    <x v="2"/>
    <n v="162120"/>
  </r>
  <r>
    <d v="2020-07-02T00:00:00"/>
    <n v="34730551"/>
    <n v="3022"/>
    <s v="162146"/>
    <s v="USIM MULTISIM MOVISTAR"/>
    <n v="100"/>
    <n v="89"/>
    <n v="0.89"/>
    <s v="SOLNEGGUASOL9240"/>
    <s v="SOLUCIONES DITELCO"/>
    <s v="0925680670001"/>
    <s v="GUAYAQUIL"/>
    <s v="Indirecto"/>
    <x v="0"/>
    <x v="0"/>
    <n v="162146"/>
  </r>
  <r>
    <d v="2020-07-02T00:00:00"/>
    <n v="34730552"/>
    <n v="3022"/>
    <s v="162146"/>
    <s v="USIM MULTISIM MOVISTAR"/>
    <n v="152"/>
    <n v="135.28"/>
    <n v="0.89"/>
    <s v="SINCODIGO"/>
    <s v="URBANO EXPRESS (TELEFONICA)"/>
    <s v="1791256115001"/>
    <s v="QUITO"/>
    <s v="Cliente Final"/>
    <x v="0"/>
    <x v="0"/>
    <n v="162146"/>
  </r>
  <r>
    <d v="2020-07-02T00:00:00"/>
    <n v="34730553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02T00:00:00"/>
    <n v="34730554"/>
    <n v="3022"/>
    <s v="162146"/>
    <s v="USIM MULTISIM MOVISTAR"/>
    <n v="5"/>
    <n v="4.45"/>
    <n v="0.89"/>
    <s v="N/A"/>
    <s v="GACELA DELIVERY"/>
    <s v="992970545001"/>
    <s v="GUAYAQUIL"/>
    <s v="Cliente Final"/>
    <x v="0"/>
    <x v="0"/>
    <n v="162146"/>
  </r>
  <r>
    <d v="2020-07-02T00:00:00"/>
    <n v="34730557"/>
    <n v="3022"/>
    <s v="162146"/>
    <s v="USIM MULTISIM MOVISTAR"/>
    <n v="100"/>
    <n v="89"/>
    <n v="0.89"/>
    <s v="QH"/>
    <s v="CAV QUICENTRO"/>
    <s v="1791256115001"/>
    <s v="QUITO"/>
    <s v="Directo"/>
    <x v="1"/>
    <x v="0"/>
    <n v="162146"/>
  </r>
  <r>
    <d v="2020-07-02T00:00:00"/>
    <n v="34730540"/>
    <n v="2400"/>
    <s v="113950"/>
    <s v="Usim Tuenti Prepago Celofán Numerada $ 5.00"/>
    <n v="500"/>
    <n v="395"/>
    <n v="0.79"/>
    <s v="SOLZONLOJSOL4499"/>
    <s v="SOLUMOVECSA TUENTI-QUITO"/>
    <s v="1792504015001"/>
    <s v="QUITO"/>
    <s v="Indirecto"/>
    <x v="0"/>
    <x v="3"/>
    <n v="113950"/>
  </r>
  <r>
    <d v="2020-07-02T00:00:00"/>
    <n v="34730541"/>
    <n v="2400"/>
    <s v="113950"/>
    <s v="Usim Tuenti Prepago Celofán Numerada $ 5.00"/>
    <n v="400"/>
    <n v="316"/>
    <n v="0.79"/>
    <s v="SOLZONPASZON4678"/>
    <s v="SOLUMOVECSA TUENTI-PUYO"/>
    <s v="1792504015001"/>
    <s v="PUYO"/>
    <s v="Indirecto"/>
    <x v="0"/>
    <x v="3"/>
    <n v="113950"/>
  </r>
  <r>
    <d v="2020-07-02T00:00:00"/>
    <n v="34730543"/>
    <n v="2416"/>
    <s v="113950"/>
    <s v="Usim Tuenti Prepago Celofán Numerada $5 SinSticker"/>
    <n v="300"/>
    <n v="237"/>
    <n v="0.79"/>
    <s v="N/A"/>
    <s v="PLUS4G TUENTI (LA LIBERTAD)"/>
    <s v="0992984074001"/>
    <s v="LA LIBERTAD"/>
    <s v="Indirecto"/>
    <x v="0"/>
    <x v="4"/>
    <n v="113950"/>
  </r>
  <r>
    <d v="2020-07-02T00:00:00"/>
    <n v="34730544"/>
    <n v="2416"/>
    <s v="113950"/>
    <s v="Usim Tuenti Prepago Celofán Numerada $5 SinSticker"/>
    <n v="598"/>
    <n v="472.42"/>
    <n v="0.79"/>
    <s v="N/A"/>
    <s v="PLUS4G TUENTI (GUAYAQUIL)"/>
    <s v="0992984074001"/>
    <s v="GUAYAQUIL"/>
    <s v="Indirecto"/>
    <x v="0"/>
    <x v="4"/>
    <n v="113950"/>
  </r>
  <r>
    <d v="2020-07-02T00:00:00"/>
    <n v="34730546"/>
    <n v="1807"/>
    <s v="84948"/>
    <s v="USIM PREPAGO TUENTI CELOFAN NO NUMERADA PORTABILID"/>
    <n v="100"/>
    <n v="103"/>
    <n v="1.03"/>
    <s v="SAMINDMANSAM7280"/>
    <s v="SAMSEB MOBILE MANTA TUENTI"/>
    <s v="1313889774001"/>
    <s v="MANTA"/>
    <s v="Indirecto"/>
    <x v="0"/>
    <x v="5"/>
    <n v="84948"/>
  </r>
  <r>
    <d v="2020-07-02T00:00:00"/>
    <n v="34730546"/>
    <n v="2416"/>
    <s v="113950"/>
    <s v="Usim Tuenti Prepago Celofán Numerada $5 SinSticker"/>
    <n v="200"/>
    <n v="158"/>
    <n v="0.79"/>
    <s v="SAMINDMANSAM7280"/>
    <s v="SAMSEB MOBILE MANTA TUENTI"/>
    <s v="1313889774001"/>
    <s v="MANTA"/>
    <s v="Indirecto"/>
    <x v="0"/>
    <x v="4"/>
    <n v="113950"/>
  </r>
  <r>
    <d v="2020-07-02T00:00:00"/>
    <n v="34730549"/>
    <n v="1807"/>
    <s v="84948"/>
    <s v="USIM PREPAGO TUENTI CELOFAN NO NUMERADA PORTABILID"/>
    <n v="300"/>
    <n v="309"/>
    <n v="1.03"/>
    <s v="4ULROTRO"/>
    <s v="ANDREA CECILIA ARIAS SALAZAR (TUENTI - QUEVEDO)"/>
    <s v="1205871443001"/>
    <s v="QUEVEDO"/>
    <s v="Indirecto"/>
    <x v="0"/>
    <x v="5"/>
    <n v="84948"/>
  </r>
  <r>
    <d v="2020-07-03T00:00:00"/>
    <n v="34730560"/>
    <n v="3022"/>
    <s v="162146"/>
    <s v="USIM MULTISIM MOVISTAR"/>
    <n v="217"/>
    <n v="193.13"/>
    <n v="0.89"/>
    <s v="SINCODIGO"/>
    <s v="URBANO EXPRESS (TELEFONICA)"/>
    <s v="1791256115001"/>
    <s v="QUITO"/>
    <s v="Cliente Final"/>
    <x v="0"/>
    <x v="0"/>
    <n v="162146"/>
  </r>
  <r>
    <d v="2020-07-03T00:00:00"/>
    <n v="34730563"/>
    <n v="3022"/>
    <s v="162146"/>
    <s v="USIM MULTISIM MOVISTAR"/>
    <n v="94"/>
    <n v="83.66"/>
    <n v="0.89"/>
    <s v="SINCODIGO"/>
    <s v="URBANO EXPRESS (TELEFONICA)"/>
    <s v="1791256115001"/>
    <s v="QUITO"/>
    <s v="Cliente Final"/>
    <x v="0"/>
    <x v="0"/>
    <n v="162146"/>
  </r>
  <r>
    <d v="2020-07-03T00:00:00"/>
    <n v="34730563"/>
    <n v="2763"/>
    <s v="162084"/>
    <s v="SIM KITE M2M 3FF HIGH TEMP"/>
    <n v="1"/>
    <n v="1.45"/>
    <n v="1.45"/>
    <s v="SINCODIGO"/>
    <s v="URBANO EXPRESS (TELEFONICA)"/>
    <s v="1791256115001"/>
    <s v="QUITO"/>
    <s v="Cliente Final"/>
    <x v="0"/>
    <x v="6"/>
    <n v="162084"/>
  </r>
  <r>
    <d v="2020-07-03T00:00:00"/>
    <n v="34730563"/>
    <n v="2765"/>
    <s v="162086"/>
    <s v="SIM KITE M2M 4FF"/>
    <n v="4"/>
    <n v="1.92"/>
    <n v="0.48"/>
    <s v="SINCODIGO"/>
    <s v="URBANO EXPRESS (TELEFONICA)"/>
    <s v="1791256115001"/>
    <s v="QUITO"/>
    <s v="Cliente Final"/>
    <x v="0"/>
    <x v="7"/>
    <n v="162086"/>
  </r>
  <r>
    <d v="2020-07-03T00:00:00"/>
    <n v="34730564"/>
    <n v="3022"/>
    <s v="162146"/>
    <s v="USIM MULTISIM MOVISTAR"/>
    <n v="6"/>
    <n v="5.34"/>
    <n v="0.89"/>
    <s v="SINCODIGO"/>
    <s v="URBANO EXPRESS (TELEFONICA)"/>
    <s v="1791256115001"/>
    <s v="QUITO"/>
    <s v="Cliente Final"/>
    <x v="0"/>
    <x v="0"/>
    <n v="162146"/>
  </r>
  <r>
    <d v="2020-07-03T00:00:00"/>
    <n v="34730565"/>
    <n v="3022"/>
    <s v="162146"/>
    <s v="USIM MULTISIM MOVISTAR"/>
    <n v="6"/>
    <n v="5.34"/>
    <n v="0.89"/>
    <s v="N/A"/>
    <s v="GACELA DELIVERY"/>
    <s v="992970545001"/>
    <s v="GUAYAQUIL"/>
    <s v="Cliente Final"/>
    <x v="0"/>
    <x v="0"/>
    <n v="162146"/>
  </r>
  <r>
    <d v="2020-07-03T00:00:00"/>
    <n v="34730567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03T00:00:00"/>
    <n v="34730568"/>
    <n v="3022"/>
    <s v="162146"/>
    <s v="USIM MULTISIM MOVISTAR"/>
    <n v="100"/>
    <n v="89"/>
    <n v="0.89"/>
    <s v="9PQUOTRO"/>
    <s v="JUANA EDITH DEL CARMEN ANDRANGO VACA"/>
    <s v="1707877161001"/>
    <s v="QUITO"/>
    <s v="Indirecto"/>
    <x v="0"/>
    <x v="0"/>
    <n v="162146"/>
  </r>
  <r>
    <d v="2020-07-03T00:00:00"/>
    <n v="34730569"/>
    <n v="2802"/>
    <s v="162090"/>
    <s v="CHIP PREPAGO $5 NUMERADO"/>
    <n v="100"/>
    <n v="54"/>
    <n v="0.54"/>
    <s v="YUEOOTRO"/>
    <s v="LUIS ENRIQUE ABAD RUIZ"/>
    <s v="0703759753001"/>
    <s v="ZARUMA"/>
    <s v="Indirecto"/>
    <x v="0"/>
    <x v="8"/>
    <n v="162090"/>
  </r>
  <r>
    <d v="2020-07-03T00:00:00"/>
    <n v="34730579"/>
    <n v="2804"/>
    <s v="162092"/>
    <s v="CHIP PREPAGO $3 NUMERADO"/>
    <n v="500"/>
    <n v="270"/>
    <n v="0.54"/>
    <s v="DISZONGUADIS9320"/>
    <s v="DISTRIMARKET ZONIFICACION GUAYAQUIL"/>
    <s v="1792141850001"/>
    <s v="GUAYAQUIL"/>
    <s v="Indirecto"/>
    <x v="0"/>
    <x v="1"/>
    <n v="162092"/>
  </r>
  <r>
    <d v="2020-07-03T00:00:00"/>
    <n v="34730581"/>
    <n v="2801"/>
    <s v="162089"/>
    <s v="CHIP PREPAGO $5 AUTOSERVICIO"/>
    <n v="8"/>
    <n v="4.28"/>
    <n v="0.535"/>
    <s v="4SQUOTRO"/>
    <s v="TIECONE S.A. (RETAIL)"/>
    <s v="1792239710001"/>
    <s v="QUITO"/>
    <s v="Retail"/>
    <x v="0"/>
    <x v="9"/>
    <n v="162089"/>
  </r>
  <r>
    <d v="2020-07-03T00:00:00"/>
    <n v="34730582"/>
    <n v="2801"/>
    <s v="162089"/>
    <s v="CHIP PREPAGO $5 AUTOSERVICIO"/>
    <n v="52"/>
    <n v="27.82"/>
    <n v="0.535"/>
    <s v="WUQUOTRO"/>
    <s v="ECONOFARM S.A.RETAIL"/>
    <s v="1791715772001"/>
    <s v="QUITO"/>
    <s v="Retail"/>
    <x v="0"/>
    <x v="9"/>
    <n v="162089"/>
  </r>
  <r>
    <d v="2020-07-03T00:00:00"/>
    <n v="34730583"/>
    <n v="2801"/>
    <s v="162089"/>
    <s v="CHIP PREPAGO $5 AUTOSERVICIO"/>
    <n v="18"/>
    <n v="9.630000000000001"/>
    <n v="0.535"/>
    <s v="VWQUOTRO"/>
    <s v="FARCOMED S.A.RETAIL"/>
    <s v="1790710319001"/>
    <s v="QUITO"/>
    <s v="Retail"/>
    <x v="0"/>
    <x v="9"/>
    <n v="162089"/>
  </r>
  <r>
    <d v="2020-07-03T00:00:00"/>
    <n v="34730566"/>
    <n v="2416"/>
    <s v="113950"/>
    <s v="Usim Tuenti Prepago Celofán Numerada $5 SinSticker"/>
    <n v="100"/>
    <n v="79"/>
    <n v="0.79"/>
    <s v="NANINDMACNAN3598"/>
    <s v="DONNYS ROBERTO FEIJOO SALAZAR (NANOMAX) TUENTI"/>
    <s v="0703178723001"/>
    <s v="MACHALA"/>
    <s v="Indirecto"/>
    <x v="0"/>
    <x v="4"/>
    <n v="113950"/>
  </r>
  <r>
    <d v="2020-07-03T00:00:00"/>
    <n v="34730573"/>
    <n v="1807"/>
    <s v="84948"/>
    <s v="USIM PREPAGO TUENTI CELOFAN NO NUMERADA PORTABILID"/>
    <n v="500"/>
    <n v="515"/>
    <n v="1.03"/>
    <s v=""/>
    <s v="TARSISINVEST (TUENTI)"/>
    <s v="0992862459001"/>
    <s v="GUAYAQUIL"/>
    <s v="Indirecto"/>
    <x v="0"/>
    <x v="5"/>
    <n v="84948"/>
  </r>
  <r>
    <d v="2020-07-03T00:00:00"/>
    <n v="34730574"/>
    <n v="2416"/>
    <s v="113950"/>
    <s v="Usim Tuenti Prepago Celofán Numerada $5 SinSticker"/>
    <n v="2"/>
    <n v="1.58"/>
    <n v="0.79"/>
    <s v="OTEINDGUATUE2938"/>
    <s v="TUENTI PRUEBAS GUAYAQUIL"/>
    <s v="0000000000065"/>
    <s v="GUAYAQUIL"/>
    <s v="Indirecto"/>
    <x v="0"/>
    <x v="4"/>
    <n v="113950"/>
  </r>
  <r>
    <d v="2020-07-03T00:00:00"/>
    <n v="34730574"/>
    <n v="3084"/>
    <s v="162142"/>
    <s v="Halfsim Tuenti Prepago Celofán Numerada $ 5.00"/>
    <n v="2"/>
    <n v="1.14"/>
    <n v="0.57"/>
    <s v="OTEINDGUATUE2938"/>
    <s v="TUENTI PRUEBAS GUAYAQUIL"/>
    <s v="0000000000065"/>
    <s v="GUAYAQUIL"/>
    <s v="Indirecto"/>
    <x v="0"/>
    <x v="10"/>
    <n v="162142"/>
  </r>
  <r>
    <d v="2020-07-03T00:00:00"/>
    <n v="34730575"/>
    <n v="3084"/>
    <s v="162142"/>
    <s v="Halfsim Tuenti Prepago Celofán Numerada $ 5.00"/>
    <n v="7"/>
    <n v="3.99"/>
    <n v="0.57"/>
    <s v="OTEINDGUATUE2938"/>
    <s v="TUENTI PRUEBAS GUAYAQUIL"/>
    <s v="0000000000065"/>
    <s v="GUAYAQUIL"/>
    <s v="Indirecto"/>
    <x v="0"/>
    <x v="10"/>
    <n v="162142"/>
  </r>
  <r>
    <d v="2020-07-03T00:00:00"/>
    <n v="34730576"/>
    <n v="1807"/>
    <s v="84948"/>
    <s v="USIM PREPAGO TUENTI CELOFAN NO NUMERADA PORTABILID"/>
    <n v="250"/>
    <n v="257.5"/>
    <n v="1.03"/>
    <s v="9JIBOTRO"/>
    <s v="TRUJILLO MANOSALVAS EVELYN PAOLA (TUENTI)"/>
    <s v="0401360201001"/>
    <s v="IBARRA"/>
    <s v="Indirecto"/>
    <x v="0"/>
    <x v="5"/>
    <n v="84948"/>
  </r>
  <r>
    <d v="2020-07-03T00:00:00"/>
    <n v="34730576"/>
    <n v="2416"/>
    <s v="113950"/>
    <s v="Usim Tuenti Prepago Celofán Numerada $5 SinSticker"/>
    <n v="300"/>
    <n v="237"/>
    <n v="0.79"/>
    <s v="9JIBOTRO"/>
    <s v="TRUJILLO MANOSALVAS EVELYN PAOLA (TUENTI)"/>
    <s v="0401360201001"/>
    <s v="IBARRA"/>
    <s v="Indirecto"/>
    <x v="0"/>
    <x v="4"/>
    <n v="113950"/>
  </r>
  <r>
    <d v="2020-07-03T00:00:00"/>
    <n v="34730577"/>
    <n v="1807"/>
    <s v="84948"/>
    <s v="USIM PREPAGO TUENTI CELOFAN NO NUMERADA PORTABILID"/>
    <n v="200"/>
    <n v="206"/>
    <n v="1.03"/>
    <s v="CONZONCUECON8259"/>
    <s v="CONSULNECT S.A. TUENTI"/>
    <s v="0993229164001"/>
    <s v="CUENCA"/>
    <s v="Indirecto"/>
    <x v="0"/>
    <x v="5"/>
    <n v="84948"/>
  </r>
  <r>
    <d v="2020-07-03T00:00:00"/>
    <n v="34730577"/>
    <n v="2416"/>
    <s v="113950"/>
    <s v="Usim Tuenti Prepago Celofán Numerada $5 SinSticker"/>
    <n v="400"/>
    <n v="316"/>
    <n v="0.79"/>
    <s v="CONZONCUECON8259"/>
    <s v="CONSULNECT S.A. TUENTI"/>
    <s v="0993229164001"/>
    <s v="CUENCA"/>
    <s v="Indirecto"/>
    <x v="0"/>
    <x v="4"/>
    <n v="113950"/>
  </r>
  <r>
    <d v="2020-07-03T00:00:00"/>
    <n v="34730578"/>
    <n v="1807"/>
    <s v="84948"/>
    <s v="USIM PREPAGO TUENTI CELOFAN NO NUMERADA PORTABILID"/>
    <n v="200"/>
    <n v="206"/>
    <n v="1.03"/>
    <s v="2GQUOTRO"/>
    <s v="PRILANTEC - UIO (TUENTI)"/>
    <s v="1792412501001"/>
    <s v="QUITO"/>
    <s v="Indirecto"/>
    <x v="0"/>
    <x v="5"/>
    <n v="84948"/>
  </r>
  <r>
    <d v="2020-07-03T00:00:00"/>
    <n v="34730578"/>
    <n v="2416"/>
    <s v="113950"/>
    <s v="Usim Tuenti Prepago Celofán Numerada $5 SinSticker"/>
    <n v="200"/>
    <n v="158"/>
    <n v="0.79"/>
    <s v="2GQUOTRO"/>
    <s v="PRILANTEC - UIO (TUENTI)"/>
    <s v="1792412501001"/>
    <s v="QUITO"/>
    <s v="Indirecto"/>
    <x v="0"/>
    <x v="4"/>
    <n v="113950"/>
  </r>
  <r>
    <d v="2020-07-03T00:00:00"/>
    <n v="34730580"/>
    <n v="2397"/>
    <s v="113950"/>
    <s v="Usim Tuenti Prepago Blíster Numerada $ 10.00"/>
    <n v="19"/>
    <n v="20.71"/>
    <n v="1.09"/>
    <s v="WUQUOTRO"/>
    <s v="ECONOFARM S.A. TUENTI"/>
    <s v="1791715772001"/>
    <s v="QUITO"/>
    <s v="Retail"/>
    <x v="0"/>
    <x v="11"/>
    <n v="113950"/>
  </r>
  <r>
    <d v="2020-07-03T00:00:00"/>
    <n v="34730585"/>
    <n v="2397"/>
    <s v="113950"/>
    <s v="Usim Tuenti Prepago Blíster Numerada $ 10.00"/>
    <n v="45"/>
    <n v="49.05"/>
    <n v="1.09"/>
    <s v="NWGYOTRO"/>
    <s v="DISTRIBUIDORA FARMACEUTICA ECUATORIANA GUAYAQUIL T"/>
    <s v="0990858322001"/>
    <s v="GUAYAQUIL"/>
    <s v="Indirecto"/>
    <x v="0"/>
    <x v="11"/>
    <n v="113950"/>
  </r>
  <r>
    <d v="2020-07-03T00:00:00"/>
    <n v="34730585"/>
    <n v="2396"/>
    <s v="113950"/>
    <s v="Usim Tuenti Prepago Blíster Numerada $ 5.00"/>
    <n v="2100"/>
    <n v="2289"/>
    <n v="1.09"/>
    <s v="NWGYOTRO"/>
    <s v="DISTRIBUIDORA FARMACEUTICA ECUATORIANA GUAYAQUIL T"/>
    <s v="0990858322001"/>
    <s v="GUAYAQUIL"/>
    <s v="Indirecto"/>
    <x v="0"/>
    <x v="12"/>
    <n v="113950"/>
  </r>
  <r>
    <d v="2020-07-03T00:00:00"/>
    <n v="34730585"/>
    <n v="2399"/>
    <s v="113950"/>
    <s v="Usim Tuenti Prepago Blíster Numerada $ 20.00"/>
    <n v="12"/>
    <n v="13.08"/>
    <n v="1.09"/>
    <s v="NWGYOTRO"/>
    <s v="DISTRIBUIDORA FARMACEUTICA ECUATORIANA GUAYAQUIL T"/>
    <s v="0990858322001"/>
    <s v="GUAYAQUIL"/>
    <s v="Indirecto"/>
    <x v="0"/>
    <x v="13"/>
    <n v="113950"/>
  </r>
  <r>
    <d v="2020-07-03T00:00:00"/>
    <n v="34730586"/>
    <n v="2397"/>
    <s v="113950"/>
    <s v="Usim Tuenti Prepago Blíster Numerada $ 10.00"/>
    <n v="10"/>
    <n v="10.9"/>
    <n v="1.09"/>
    <s v="DFQUOTRO"/>
    <s v="DISTRIBUIDORA FARMACEUTICA ECUATORIANA QUITO (TUEN"/>
    <s v="0990858322001"/>
    <s v="QUITO"/>
    <s v="Indirecto"/>
    <x v="0"/>
    <x v="11"/>
    <n v="113950"/>
  </r>
  <r>
    <d v="2020-07-03T00:00:00"/>
    <n v="34730586"/>
    <n v="2396"/>
    <s v="113950"/>
    <s v="Usim Tuenti Prepago Blíster Numerada $ 5.00"/>
    <n v="200"/>
    <n v="218"/>
    <n v="1.09"/>
    <s v="DFQUOTRO"/>
    <s v="DISTRIBUIDORA FARMACEUTICA ECUATORIANA QUITO (TUEN"/>
    <s v="0990858322001"/>
    <s v="QUITO"/>
    <s v="Indirecto"/>
    <x v="0"/>
    <x v="12"/>
    <n v="113950"/>
  </r>
  <r>
    <d v="2020-07-03T00:00:00"/>
    <n v="34730586"/>
    <n v="2399"/>
    <s v="113950"/>
    <s v="Usim Tuenti Prepago Blíster Numerada $ 20.00"/>
    <n v="4"/>
    <n v="4.36"/>
    <n v="1.09"/>
    <s v="DFQUOTRO"/>
    <s v="DISTRIBUIDORA FARMACEUTICA ECUATORIANA QUITO (TUEN"/>
    <s v="0990858322001"/>
    <s v="QUITO"/>
    <s v="Indirecto"/>
    <x v="0"/>
    <x v="13"/>
    <n v="113950"/>
  </r>
  <r>
    <d v="2020-07-06T00:00:00"/>
    <n v="34730588"/>
    <n v="3022"/>
    <s v="162146"/>
    <s v="USIM MULTISIM MOVISTAR"/>
    <n v="14"/>
    <n v="12.46"/>
    <n v="0.89"/>
    <s v="N/A"/>
    <s v="GACELA DELIVERY"/>
    <s v="992970545001"/>
    <s v="GUAYAQUIL"/>
    <s v="Cliente Final"/>
    <x v="0"/>
    <x v="0"/>
    <n v="162146"/>
  </r>
  <r>
    <d v="2020-07-06T00:00:00"/>
    <n v="34730590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6T00:00:00"/>
    <n v="34730591"/>
    <n v="3022"/>
    <s v="162146"/>
    <s v="USIM MULTISIM MOVISTAR"/>
    <n v="238"/>
    <n v="211.82"/>
    <n v="0.89"/>
    <s v="SINCODIGO"/>
    <s v="URBANO EXPRESS (TELEFONICA)"/>
    <s v="1791256115001"/>
    <s v="QUITO"/>
    <s v="Cliente Final"/>
    <x v="0"/>
    <x v="0"/>
    <n v="162146"/>
  </r>
  <r>
    <d v="2020-07-06T00:00:00"/>
    <n v="34730591"/>
    <n v="2761"/>
    <s v="162082"/>
    <s v="SIM KITE M2M 2FF STANDARD"/>
    <n v="40"/>
    <n v="58.4"/>
    <n v="1.46"/>
    <s v="SINCODIGO"/>
    <s v="URBANO EXPRESS (TELEFONICA)"/>
    <s v="1791256115001"/>
    <s v="QUITO"/>
    <s v="Cliente Final"/>
    <x v="0"/>
    <x v="14"/>
    <n v="162082"/>
  </r>
  <r>
    <d v="2020-07-06T00:00:00"/>
    <n v="34730591"/>
    <n v="2763"/>
    <s v="162084"/>
    <s v="SIM KITE M2M 3FF HIGH TEMP"/>
    <n v="10"/>
    <n v="14.5"/>
    <n v="1.45"/>
    <s v="SINCODIGO"/>
    <s v="URBANO EXPRESS (TELEFONICA)"/>
    <s v="1791256115001"/>
    <s v="QUITO"/>
    <s v="Cliente Final"/>
    <x v="0"/>
    <x v="6"/>
    <n v="162084"/>
  </r>
  <r>
    <d v="2020-07-06T00:00:00"/>
    <n v="34730592"/>
    <n v="3022"/>
    <s v="162146"/>
    <s v="USIM MULTISIM MOVISTAR"/>
    <n v="1"/>
    <n v="0.89"/>
    <n v="0.89"/>
    <s v="CARINDSANCAR5638"/>
    <s v="VASQUEZ ALVAREZ CARLOS EDUARDO SANTO DOMINGO"/>
    <s v="1002793451001"/>
    <s v="SANTO DOMINGO"/>
    <s v="Indirecto"/>
    <x v="0"/>
    <x v="0"/>
    <n v="162146"/>
  </r>
  <r>
    <d v="2020-07-06T00:00:00"/>
    <n v="34730593"/>
    <n v="3022"/>
    <s v="162146"/>
    <s v="USIM MULTISIM MOVISTAR"/>
    <n v="50"/>
    <n v="44.5"/>
    <n v="0.89"/>
    <s v="JULNEGQUIVIP8518"/>
    <s v="VIPSOLUCIONES"/>
    <s v="1716840986001"/>
    <s v="QUITO"/>
    <s v="Indirecto"/>
    <x v="0"/>
    <x v="0"/>
    <n v="162146"/>
  </r>
  <r>
    <d v="2020-07-06T00:00:00"/>
    <n v="34730594"/>
    <n v="3022"/>
    <s v="162146"/>
    <s v="USIM MULTISIM MOVISTAR"/>
    <n v="100"/>
    <n v="89"/>
    <n v="0.89"/>
    <s v="N/A"/>
    <s v="NORPHONE TULCAN"/>
    <s v="1091717898001"/>
    <s v="TULCAN"/>
    <s v="Indirecto"/>
    <x v="0"/>
    <x v="0"/>
    <n v="162146"/>
  </r>
  <r>
    <d v="2020-07-06T00:00:00"/>
    <n v="34730595"/>
    <n v="2804"/>
    <s v="162092"/>
    <s v="CHIP PREPAGO $3 NUMERADO"/>
    <n v="1000"/>
    <n v="540"/>
    <n v="0.54"/>
    <s v="NPIBOTRO"/>
    <s v="NORPHONE CIA. LTDA. (IBARRA)"/>
    <s v="1091717898001"/>
    <s v="IBARRA"/>
    <s v="Indirecto"/>
    <x v="0"/>
    <x v="1"/>
    <n v="162092"/>
  </r>
  <r>
    <d v="2020-07-06T00:00:00"/>
    <n v="34730598"/>
    <n v="2804"/>
    <s v="162092"/>
    <s v="CHIP PREPAGO $3 NUMERADO"/>
    <n v="1500"/>
    <n v="810"/>
    <n v="0.54"/>
    <s v="NPAMOTRO"/>
    <s v="NORPHONE AMBATO"/>
    <s v="1091717898001"/>
    <s v="AMBATO"/>
    <s v="Indirecto"/>
    <x v="0"/>
    <x v="1"/>
    <n v="162092"/>
  </r>
  <r>
    <d v="2020-07-06T00:00:00"/>
    <n v="34730601"/>
    <n v="3022"/>
    <s v="162146"/>
    <s v="USIM MULTISIM MOVISTAR"/>
    <n v="150"/>
    <n v="133.5"/>
    <n v="0.89"/>
    <s v="NPCYOTRO"/>
    <s v="NORPHONE (CAYAMBE)"/>
    <s v="1091717898001"/>
    <s v="CAYAMBE"/>
    <s v="Indirecto"/>
    <x v="0"/>
    <x v="0"/>
    <n v="162146"/>
  </r>
  <r>
    <d v="2020-07-06T00:00:00"/>
    <n v="34730602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06T00:00:00"/>
    <n v="34730603"/>
    <n v="3022"/>
    <s v="162146"/>
    <s v="USIM MULTISIM MOVISTAR"/>
    <n v="400"/>
    <n v="356"/>
    <n v="0.89"/>
    <s v="NORINDQUICAV7304"/>
    <s v="CAVS AE NORPHONE EL CONDADO SIMCARDS"/>
    <s v="1091717898001"/>
    <s v="QUITO"/>
    <s v="Indirecto"/>
    <x v="0"/>
    <x v="0"/>
    <n v="162146"/>
  </r>
  <r>
    <d v="2020-07-06T00:00:00"/>
    <n v="34730604"/>
    <n v="3022"/>
    <s v="162146"/>
    <s v="USIM MULTISIM MOVISTAR"/>
    <n v="65"/>
    <n v="57.85"/>
    <n v="0.89"/>
    <s v="SINCODIGO"/>
    <s v="URBANO EXPRESS (TELEFONICA)"/>
    <s v="1791256115001"/>
    <s v="QUITO"/>
    <s v="Cliente Final"/>
    <x v="0"/>
    <x v="0"/>
    <n v="162146"/>
  </r>
  <r>
    <d v="2020-07-06T00:00:00"/>
    <n v="34730605"/>
    <n v="3022"/>
    <s v="162146"/>
    <s v="USIM MULTISIM MOVISTAR"/>
    <n v="50"/>
    <n v="44.5"/>
    <n v="0.89"/>
    <s v="NELNEGGUANEL9218"/>
    <s v="NELLY GEOCONDA ARÈVALO COELLO"/>
    <s v="0930348537001"/>
    <s v="GUAYAQUIL"/>
    <s v="Indirecto"/>
    <x v="0"/>
    <x v="0"/>
    <n v="162146"/>
  </r>
  <r>
    <d v="2020-07-06T00:00:00"/>
    <n v="34730606"/>
    <n v="3022"/>
    <s v="162146"/>
    <s v="USIM MULTISIM MOVISTAR"/>
    <n v="100"/>
    <n v="89"/>
    <n v="0.89"/>
    <s v="RMCNEGQUIRMC5500"/>
    <s v="RM Comunicaciones "/>
    <s v="1715966204001"/>
    <s v="QUITO"/>
    <s v="Indirecto"/>
    <x v="0"/>
    <x v="0"/>
    <n v="162146"/>
  </r>
  <r>
    <d v="2020-07-06T00:00:00"/>
    <n v="34730607"/>
    <n v="3022"/>
    <s v="162146"/>
    <s v="USIM MULTISIM MOVISTAR"/>
    <n v="200"/>
    <n v="178"/>
    <n v="0.89"/>
    <s v="NLEOOTRO"/>
    <s v="DANICELL CIA LTDA"/>
    <s v="0791758629001"/>
    <s v="MACHALA"/>
    <s v="Indirecto"/>
    <x v="0"/>
    <x v="0"/>
    <n v="162146"/>
  </r>
  <r>
    <d v="2020-07-06T00:00:00"/>
    <n v="34730611"/>
    <n v="3022"/>
    <s v="162146"/>
    <s v="USIM MULTISIM MOVISTAR"/>
    <n v="8"/>
    <n v="7.12"/>
    <n v="0.89"/>
    <s v="SINCODIGO"/>
    <s v="URBANO EXPRESS (TELEFONICA)"/>
    <s v="1791256115001"/>
    <s v="QUITO"/>
    <s v="Cliente Final"/>
    <x v="0"/>
    <x v="0"/>
    <n v="162146"/>
  </r>
  <r>
    <d v="2020-07-06T00:00:00"/>
    <n v="34730612"/>
    <n v="3022"/>
    <s v="162146"/>
    <s v="USIM MULTISIM MOVISTAR"/>
    <n v="20"/>
    <n v="17.8"/>
    <n v="0.89"/>
    <s v="SINCODIGO"/>
    <s v="URBANO EXPRESS (TELEFONICA)"/>
    <s v="1791256115001"/>
    <s v="QUITO"/>
    <s v="Cliente Final"/>
    <x v="0"/>
    <x v="0"/>
    <n v="162146"/>
  </r>
  <r>
    <d v="2020-07-06T00:00:00"/>
    <n v="34730613"/>
    <n v="3022"/>
    <s v="162146"/>
    <s v="USIM MULTISIM MOVISTAR"/>
    <n v="6"/>
    <n v="5.34"/>
    <n v="0.89"/>
    <s v="N/A"/>
    <s v="GACELA DELIVERY"/>
    <s v="992970545001"/>
    <s v="GUAYAQUIL"/>
    <s v="Cliente Final"/>
    <x v="0"/>
    <x v="0"/>
    <n v="162146"/>
  </r>
  <r>
    <d v="2020-07-06T00:00:00"/>
    <n v="34730615"/>
    <n v="3022"/>
    <s v="162146"/>
    <s v="USIM MULTISIM MOVISTAR"/>
    <n v="500"/>
    <n v="445"/>
    <n v="0.89"/>
    <s v="BANNEGQUIBAN5717"/>
    <s v="BANGARA S.A "/>
    <s v="0992117192001"/>
    <s v="QUITO"/>
    <s v="Indirecto"/>
    <x v="0"/>
    <x v="0"/>
    <n v="162146"/>
  </r>
  <r>
    <d v="2020-07-06T00:00:00"/>
    <n v="34730616"/>
    <n v="2804"/>
    <s v="162092"/>
    <s v="CHIP PREPAGO $3 NUMERADO"/>
    <n v="700"/>
    <n v="378"/>
    <n v="0.54"/>
    <s v="JNSDOTRO"/>
    <s v="DISTRIMARKET S.A. (STO. DOMINGO)"/>
    <s v="1792141850001"/>
    <s v="SANTO DOMINGO"/>
    <s v="Indirecto"/>
    <x v="0"/>
    <x v="1"/>
    <n v="162092"/>
  </r>
  <r>
    <d v="2020-07-06T00:00:00"/>
    <n v="34730617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06T00:00:00"/>
    <n v="34730596"/>
    <n v="2396"/>
    <s v="113950"/>
    <s v="Usim Tuenti Prepago Blíster Numerada $ 5.00"/>
    <n v="2000"/>
    <n v="2180"/>
    <n v="1.09"/>
    <s v="DISINDQUIUIO2978"/>
    <s v="DISTRIMARKET ZONIFICACION UIO TUENTI"/>
    <s v="1792141850001"/>
    <s v="QUITO"/>
    <s v="Indirecto"/>
    <x v="0"/>
    <x v="12"/>
    <n v="113950"/>
  </r>
  <r>
    <d v="2020-07-06T00:00:00"/>
    <n v="34730597"/>
    <n v="2396"/>
    <s v="113950"/>
    <s v="Usim Tuenti Prepago Blíster Numerada $ 5.00"/>
    <n v="300"/>
    <n v="327"/>
    <n v="1.09"/>
    <s v="DESINDTULDIS5539"/>
    <s v="DISTRIMARKET ZONIFICACION CARCHI-TUENTI"/>
    <s v="1792141850001"/>
    <s v="tulcan "/>
    <s v="Indirecto"/>
    <x v="0"/>
    <x v="12"/>
    <n v="113950"/>
  </r>
  <r>
    <d v="2020-07-06T00:00:00"/>
    <n v="34730599"/>
    <n v="2396"/>
    <s v="113950"/>
    <s v="Usim Tuenti Prepago Blíster Numerada $ 5.00"/>
    <n v="300"/>
    <n v="327"/>
    <n v="1.09"/>
    <s v="DISINDIBADIS5478"/>
    <s v="DISTRIMARKET ZONIFICACION IMBABURA-TUENTI"/>
    <s v="1792141850001"/>
    <s v="IBARRA"/>
    <s v="Indirecto"/>
    <x v="0"/>
    <x v="12"/>
    <n v="113950"/>
  </r>
  <r>
    <d v="2020-07-06T00:00:00"/>
    <n v="34730600"/>
    <n v="2396"/>
    <s v="113950"/>
    <s v="Usim Tuenti Prepago Blíster Numerada $ 5.00"/>
    <n v="800"/>
    <n v="872.0000000000001"/>
    <n v="1.09"/>
    <s v="DISINDSANDIS2858"/>
    <s v="DISTRIMARKET ZONIFICACION SANTO DOMINGO TUENTI"/>
    <s v="1792141850001"/>
    <s v="SANTO DOMINGO"/>
    <s v="Indirecto"/>
    <x v="0"/>
    <x v="12"/>
    <n v="113950"/>
  </r>
  <r>
    <d v="2020-07-06T00:00:00"/>
    <n v="34730608"/>
    <n v="1807"/>
    <s v="84948"/>
    <s v="USIM PREPAGO TUENTI CELOFAN NO NUMERADA PORTABILID"/>
    <n v="300"/>
    <n v="309"/>
    <n v="1.03"/>
    <s v="FASINDQUIFAS3498"/>
    <s v="FASTMOVIL CIA.LTDA TUENTI"/>
    <s v="1792837340001"/>
    <s v="QUITO"/>
    <s v="Indirecto"/>
    <x v="0"/>
    <x v="5"/>
    <n v="84948"/>
  </r>
  <r>
    <d v="2020-07-06T00:00:00"/>
    <n v="34730609"/>
    <n v="2416"/>
    <s v="113950"/>
    <s v="Usim Tuenti Prepago Celofán Numerada $5 SinSticker"/>
    <n v="250"/>
    <n v="197.5"/>
    <n v="0.79"/>
    <s v="9KQUOTRO"/>
    <s v="LOPEZ RAMIREZ CARLOS PATRICIO (TUENTI)"/>
    <s v="1712771458001"/>
    <s v="QUITO"/>
    <s v="Indirecto"/>
    <x v="0"/>
    <x v="4"/>
    <n v="113950"/>
  </r>
  <r>
    <d v="2020-07-06T00:00:00"/>
    <n v="34730610"/>
    <n v="2396"/>
    <s v="113950"/>
    <s v="Usim Tuenti Prepago Blíster Numerada $ 5.00"/>
    <n v="2000"/>
    <n v="2180"/>
    <n v="1.09"/>
    <s v="SOLZONLOJSOL4478"/>
    <s v="SOLUMOVECSA TUENTI-GUAYAQUIL"/>
    <s v="1792504015001"/>
    <s v="GUAYAQUIL"/>
    <s v="Indirecto"/>
    <x v="0"/>
    <x v="12"/>
    <n v="113950"/>
  </r>
  <r>
    <d v="2020-07-06T00:00:00"/>
    <n v="34730614"/>
    <n v="1807"/>
    <s v="84948"/>
    <s v="USIM PREPAGO TUENTI CELOFAN NO NUMERADA PORTABILID"/>
    <n v="200"/>
    <n v="206"/>
    <n v="1.03"/>
    <s v="N/A"/>
    <s v="MUESMUERAN IMBAQUINGO MARIA LUPE (TUENTI)"/>
    <s v="1706498415001"/>
    <s v="QUITO"/>
    <s v="Indirecto"/>
    <x v="0"/>
    <x v="5"/>
    <n v="84948"/>
  </r>
  <r>
    <d v="2020-07-07T00:00:00"/>
    <n v="34730647"/>
    <n v="3022"/>
    <s v="162146"/>
    <s v="USIM MULTISIM MOVISTAR"/>
    <n v="15"/>
    <n v="13.35"/>
    <n v="0.89"/>
    <s v="N/A"/>
    <s v="GACELA DELIVERY"/>
    <s v="992970545001"/>
    <s v="GUAYAQUIL"/>
    <s v="Cliente Final"/>
    <x v="0"/>
    <x v="0"/>
    <n v="162146"/>
  </r>
  <r>
    <d v="2020-07-07T00:00:00"/>
    <n v="34730648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07T00:00:00"/>
    <n v="34730649"/>
    <n v="3022"/>
    <s v="162146"/>
    <s v="USIM MULTISIM MOVISTAR"/>
    <n v="149"/>
    <n v="132.61"/>
    <n v="0.89"/>
    <s v="SINCODIGO"/>
    <s v="URBANO EXPRESS (TELEFONICA)"/>
    <s v="1791256115001"/>
    <s v="QUITO"/>
    <s v="Cliente Final"/>
    <x v="0"/>
    <x v="0"/>
    <n v="162146"/>
  </r>
  <r>
    <d v="2020-07-07T00:00:00"/>
    <n v="34730650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7T00:00:00"/>
    <n v="34730651"/>
    <n v="3022"/>
    <s v="162146"/>
    <s v="USIM MULTISIM MOVISTAR"/>
    <n v="600"/>
    <n v="534"/>
    <n v="0.89"/>
    <s v="SININDGUASIN1499"/>
    <s v="SINERGIA CONTACT CENTER SINENTCONT S.A."/>
    <s v="0992937807001"/>
    <s v="GUAYAQUIL"/>
    <s v="Indirecto"/>
    <x v="0"/>
    <x v="0"/>
    <n v="162146"/>
  </r>
  <r>
    <d v="2020-07-07T00:00:00"/>
    <n v="34730652"/>
    <n v="3022"/>
    <s v="162146"/>
    <s v="USIM MULTISIM MOVISTAR"/>
    <n v="2000"/>
    <n v="1780"/>
    <n v="0.89"/>
    <s v="CYQUOTRO"/>
    <s v="SERVICIOS CYBERCELL S.A. ( QUITO )"/>
    <s v="1791413962001"/>
    <s v="QUITO"/>
    <s v="Indirecto"/>
    <x v="0"/>
    <x v="0"/>
    <n v="162146"/>
  </r>
  <r>
    <d v="2020-07-07T00:00:00"/>
    <n v="34730653"/>
    <n v="3022"/>
    <s v="162146"/>
    <s v="USIM MULTISIM MOVISTAR"/>
    <n v="200"/>
    <n v="178"/>
    <n v="0.89"/>
    <s v="NTEINDSANNTE6518"/>
    <s v="NTEC SANTO DOMINGO SIM CARD Y TARJETAS"/>
    <s v="1792971322001 "/>
    <s v="SANTO DOMINGO"/>
    <s v="Indirecto"/>
    <x v="0"/>
    <x v="0"/>
    <n v="162146"/>
  </r>
  <r>
    <d v="2020-07-07T00:00:00"/>
    <n v="34730656"/>
    <n v="3022"/>
    <s v="162146"/>
    <s v="USIM MULTISIM MOVISTAR"/>
    <n v="100"/>
    <n v="89"/>
    <n v="0.89"/>
    <s v="BOPNEGGUABOP6058"/>
    <s v="BOPACORP S.A."/>
    <s v="0993203912001"/>
    <s v="GUAYAQUIL"/>
    <s v="Indirecto"/>
    <x v="0"/>
    <x v="0"/>
    <n v="162146"/>
  </r>
  <r>
    <d v="2020-07-07T00:00:00"/>
    <n v="34730659"/>
    <n v="3022"/>
    <s v="162146"/>
    <s v="USIM MULTISIM MOVISTAR"/>
    <n v="400"/>
    <n v="356"/>
    <n v="0.89"/>
    <s v="PACINDGUAPAC9458"/>
    <s v="PACKTRON S.A GYE"/>
    <s v="1792416345001"/>
    <s v="GUAYAQUIL"/>
    <s v="Indirecto"/>
    <x v="0"/>
    <x v="0"/>
    <n v="162146"/>
  </r>
  <r>
    <d v="2020-07-07T00:00:00"/>
    <n v="34730660"/>
    <n v="2804"/>
    <s v="162092"/>
    <s v="CHIP PREPAGO $3 NUMERADO"/>
    <n v="3000"/>
    <n v="1620"/>
    <n v="0.54"/>
    <s v="SOLZONGUASOL2718"/>
    <s v="SOLUMOVECSA ZONIFICACION GUAYAQUIL"/>
    <s v="1792504015001"/>
    <s v="GUAYAQUIL"/>
    <s v="Indirecto"/>
    <x v="0"/>
    <x v="1"/>
    <n v="162092"/>
  </r>
  <r>
    <d v="2020-07-07T00:00:00"/>
    <n v="34730664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7T00:00:00"/>
    <n v="34730665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07T00:00:00"/>
    <n v="34730668"/>
    <n v="3022"/>
    <s v="162146"/>
    <s v="USIM MULTISIM MOVISTAR"/>
    <n v="367"/>
    <n v="326.63"/>
    <n v="0.89"/>
    <s v="SINCODIGO"/>
    <s v="URBANO EXPRESS (TELEFONICA)"/>
    <s v="1791256115001"/>
    <s v="QUITO"/>
    <s v="Cliente Final"/>
    <x v="0"/>
    <x v="0"/>
    <n v="162146"/>
  </r>
  <r>
    <d v="2020-07-07T00:00:00"/>
    <n v="34730668"/>
    <n v="2765"/>
    <s v="162086"/>
    <s v="SIM KITE M2M 4FF"/>
    <n v="1"/>
    <n v="0.48"/>
    <n v="0.48"/>
    <s v="SINCODIGO"/>
    <s v="URBANO EXPRESS (TELEFONICA)"/>
    <s v="1791256115001"/>
    <s v="QUITO"/>
    <s v="Cliente Final"/>
    <x v="0"/>
    <x v="7"/>
    <n v="162086"/>
  </r>
  <r>
    <d v="2020-07-07T00:00:00"/>
    <n v="34730683"/>
    <n v="2802"/>
    <s v="162090"/>
    <s v="CHIP PREPAGO $5 NUMERADO"/>
    <n v="200"/>
    <n v="108"/>
    <n v="0.54"/>
    <s v="PACINDQUIPAC9138"/>
    <s v="PACKTRON S.A. UIO"/>
    <s v="1792416345001"/>
    <s v="QUITO"/>
    <s v="Indirecto"/>
    <x v="0"/>
    <x v="8"/>
    <n v="162090"/>
  </r>
  <r>
    <d v="2020-07-07T00:00:00"/>
    <n v="34730684"/>
    <n v="3022"/>
    <s v="162146"/>
    <s v="USIM MULTISIM MOVISTAR"/>
    <n v="100"/>
    <n v="89"/>
    <n v="0.89"/>
    <s v="IDENEGPORIDE7700"/>
    <s v="IDEAS ECUADOR"/>
    <s v="1312552399001 "/>
    <s v="MANTA"/>
    <s v="Indirecto"/>
    <x v="0"/>
    <x v="0"/>
    <n v="162146"/>
  </r>
  <r>
    <d v="2020-07-07T00:00:00"/>
    <n v="34730687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07T00:00:00"/>
    <n v="34730688"/>
    <n v="3022"/>
    <s v="162146"/>
    <s v="USIM MULTISIM MOVISTAR"/>
    <n v="2000"/>
    <n v="1780"/>
    <n v="0.89"/>
    <s v="BUSINDQUIBUS7238"/>
    <s v="BUSINESSCORPORATION QUITO"/>
    <s v="1792614422001"/>
    <s v="QUITO"/>
    <s v="Indirecto"/>
    <x v="0"/>
    <x v="0"/>
    <n v="162146"/>
  </r>
  <r>
    <d v="2020-07-07T00:00:00"/>
    <n v="34730689"/>
    <n v="3022"/>
    <s v="162146"/>
    <s v="USIM MULTISIM MOVISTAR"/>
    <n v="100"/>
    <n v="89"/>
    <n v="0.89"/>
    <s v="CPG"/>
    <s v="CAV POLICENTRO"/>
    <s v="1791256115001"/>
    <s v="GUAYAQUIL"/>
    <s v="Directo"/>
    <x v="1"/>
    <x v="0"/>
    <n v="162146"/>
  </r>
  <r>
    <d v="2020-07-07T00:00:00"/>
    <n v="34730691"/>
    <n v="3022"/>
    <s v="162146"/>
    <s v="USIM MULTISIM MOVISTAR"/>
    <n v="200"/>
    <n v="178"/>
    <n v="0.89"/>
    <s v="QH"/>
    <s v="CAV QUICENTRO"/>
    <s v="1791256115001"/>
    <s v="QUITO"/>
    <s v="Directo"/>
    <x v="1"/>
    <x v="0"/>
    <n v="162146"/>
  </r>
  <r>
    <d v="2020-07-07T00:00:00"/>
    <n v="34730654"/>
    <n v="2416"/>
    <s v="113950"/>
    <s v="Usim Tuenti Prepago Celofán Numerada $5 SinSticker"/>
    <n v="150"/>
    <n v="118.5"/>
    <n v="0.79"/>
    <s v="6OMNOTRO"/>
    <s v="TONY ENRIQUE DELGADO CEDE¥O MANTA (TUENTI)"/>
    <s v="1308368222001"/>
    <s v="MANTA"/>
    <s v="Indirecto"/>
    <x v="0"/>
    <x v="4"/>
    <n v="113950"/>
  </r>
  <r>
    <d v="2020-07-07T00:00:00"/>
    <n v="34730655"/>
    <n v="2416"/>
    <s v="113950"/>
    <s v="Usim Tuenti Prepago Celofán Numerada $5 SinSticker"/>
    <n v="500"/>
    <n v="395"/>
    <n v="0.79"/>
    <s v=""/>
    <s v="TARSISINVEST (TUENTI)"/>
    <s v="0992862459001"/>
    <s v="GUAYAQUIL"/>
    <s v="Indirecto"/>
    <x v="0"/>
    <x v="4"/>
    <n v="113950"/>
  </r>
  <r>
    <d v="2020-07-07T00:00:00"/>
    <n v="34730657"/>
    <n v="2416"/>
    <s v="113950"/>
    <s v="Usim Tuenti Prepago Celofán Numerada $5 SinSticker"/>
    <n v="300"/>
    <n v="237"/>
    <n v="0.79"/>
    <s v="9JIBOTRO"/>
    <s v="TRUJILLO MANOSALVAS EVELYN PAOLA (TUENTI)"/>
    <s v="0401360201001"/>
    <s v="IBARRA"/>
    <s v="Indirecto"/>
    <x v="0"/>
    <x v="4"/>
    <n v="113950"/>
  </r>
  <r>
    <d v="2020-07-07T00:00:00"/>
    <n v="34730658"/>
    <n v="1807"/>
    <s v="84948"/>
    <s v="USIM PREPAGO TUENTI CELOFAN NO NUMERADA PORTABILID"/>
    <n v="100"/>
    <n v="103"/>
    <n v="1.03"/>
    <s v="NATINDMACNAT5998"/>
    <s v="NATALY MATUTE TUENTI"/>
    <s v="0704053982001"/>
    <s v="MACHALA"/>
    <s v="Indirecto"/>
    <x v="0"/>
    <x v="5"/>
    <n v="84948"/>
  </r>
  <r>
    <d v="2020-07-07T00:00:00"/>
    <n v="34730658"/>
    <n v="2416"/>
    <s v="113950"/>
    <s v="Usim Tuenti Prepago Celofán Numerada $5 SinSticker"/>
    <n v="200"/>
    <n v="158"/>
    <n v="0.79"/>
    <s v="NATINDMACNAT5998"/>
    <s v="NATALY MATUTE TUENTI"/>
    <s v="0704053982001"/>
    <s v="MACHALA"/>
    <s v="Indirecto"/>
    <x v="0"/>
    <x v="4"/>
    <n v="113950"/>
  </r>
  <r>
    <d v="2020-07-07T00:00:00"/>
    <n v="34730661"/>
    <n v="2396"/>
    <s v="113950"/>
    <s v="Usim Tuenti Prepago Blíster Numerada $ 5.00"/>
    <n v="800"/>
    <n v="872.0000000000001"/>
    <n v="1.09"/>
    <s v="SOLZONLOJSOL4482"/>
    <s v="SOLUMOVECSA TUENTI-MACHALA"/>
    <s v="1792504015001"/>
    <s v="MACHALA"/>
    <s v="Indirecto"/>
    <x v="0"/>
    <x v="12"/>
    <n v="113950"/>
  </r>
  <r>
    <d v="2020-07-07T00:00:00"/>
    <n v="34730662"/>
    <n v="2396"/>
    <s v="113950"/>
    <s v="Usim Tuenti Prepago Blíster Numerada $ 5.00"/>
    <n v="2000"/>
    <n v="2180"/>
    <n v="1.09"/>
    <s v="SOLZONLOJSOL4497"/>
    <s v="SOLUMOVECSA TUENTI-MANTA"/>
    <s v="1792504015001"/>
    <s v="MANTA"/>
    <s v="Indirecto"/>
    <x v="0"/>
    <x v="12"/>
    <n v="113950"/>
  </r>
  <r>
    <d v="2020-07-07T00:00:00"/>
    <n v="34730686"/>
    <n v="1807"/>
    <s v="84948"/>
    <s v="USIM PREPAGO TUENTI CELOFAN NO NUMERADA PORTABILID"/>
    <n v="100"/>
    <n v="103"/>
    <n v="1.03"/>
    <s v="EWOINDCHIEWO7278"/>
    <s v="EWOLF LUTION TUENTI"/>
    <s v="0923980858001"/>
    <s v="SANTO DOMINGO/CHIGUILPE"/>
    <s v="Indirecto"/>
    <x v="0"/>
    <x v="5"/>
    <n v="84948"/>
  </r>
  <r>
    <d v="2020-07-07T00:00:00"/>
    <n v="34730686"/>
    <n v="2416"/>
    <s v="113950"/>
    <s v="Usim Tuenti Prepago Celofán Numerada $5 SinSticker"/>
    <n v="200"/>
    <n v="158"/>
    <n v="0.79"/>
    <s v="EWOINDCHIEWO7278"/>
    <s v="EWOLF LUTION TUENTI"/>
    <s v="0923980858001"/>
    <s v="SANTO DOMINGO/CHIGUILPE"/>
    <s v="Indirecto"/>
    <x v="0"/>
    <x v="4"/>
    <n v="113950"/>
  </r>
  <r>
    <d v="2020-07-08T00:00:00"/>
    <n v="34730695"/>
    <n v="3022"/>
    <s v="162146"/>
    <s v="USIM MULTISIM MOVISTAR"/>
    <n v="13"/>
    <n v="11.57"/>
    <n v="0.89"/>
    <s v="N/A"/>
    <s v="GACELA DELIVERY"/>
    <s v="992970545001"/>
    <s v="GUAYAQUIL"/>
    <s v="Cliente Final"/>
    <x v="0"/>
    <x v="0"/>
    <n v="162146"/>
  </r>
  <r>
    <d v="2020-07-08T00:00:00"/>
    <n v="34730696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08T00:00:00"/>
    <n v="34730698"/>
    <n v="3022"/>
    <s v="162146"/>
    <s v="USIM MULTISIM MOVISTAR"/>
    <n v="94"/>
    <n v="83.66"/>
    <n v="0.89"/>
    <s v="SINCODIGO"/>
    <s v="URBANO EXPRESS (TELEFONICA)"/>
    <s v="1791256115001"/>
    <s v="QUITO"/>
    <s v="Cliente Final"/>
    <x v="0"/>
    <x v="0"/>
    <n v="162146"/>
  </r>
  <r>
    <d v="2020-07-08T00:00:00"/>
    <n v="34730703"/>
    <n v="3022"/>
    <s v="162146"/>
    <s v="USIM MULTISIM MOVISTAR"/>
    <n v="100"/>
    <n v="89"/>
    <n v="0.89"/>
    <s v="NORINDQUICAV7307"/>
    <s v="CAVS AE NORPHONE EL JARDIN SIMCARDS"/>
    <s v="1091717898001"/>
    <s v="QUITO"/>
    <s v="Indirecto"/>
    <x v="0"/>
    <x v="0"/>
    <n v="162146"/>
  </r>
  <r>
    <d v="2020-07-08T00:00:00"/>
    <n v="34730704"/>
    <n v="3022"/>
    <s v="162146"/>
    <s v="USIM MULTISIM MOVISTAR"/>
    <n v="100"/>
    <n v="89"/>
    <n v="0.89"/>
    <s v="NORINDGUANOR9018"/>
    <s v="NORPHONE C.C. Riocentro Norte SIMCARDS"/>
    <s v="1091717898001"/>
    <s v="GUAYAQUIL"/>
    <s v="Indirecto"/>
    <x v="0"/>
    <x v="0"/>
    <n v="162146"/>
  </r>
  <r>
    <d v="2020-07-08T00:00:00"/>
    <n v="34730706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08T00:00:00"/>
    <n v="34730707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08T00:00:00"/>
    <n v="34730708"/>
    <n v="2804"/>
    <s v="162092"/>
    <s v="CHIP PREPAGO $3 NUMERADO"/>
    <n v="500"/>
    <n v="270"/>
    <n v="0.54"/>
    <s v="MOVINDLOJMOV7480"/>
    <s v="MOVIPHONE LOJA Y ZAMORA"/>
    <s v="0391007160001"/>
    <s v="AZOGUES"/>
    <s v="Indirecto"/>
    <x v="0"/>
    <x v="1"/>
    <n v="162092"/>
  </r>
  <r>
    <d v="2020-07-08T00:00:00"/>
    <n v="34730709"/>
    <n v="2804"/>
    <s v="162092"/>
    <s v="CHIP PREPAGO $3 NUMERADO"/>
    <n v="500"/>
    <n v="270"/>
    <n v="0.54"/>
    <s v="MOVINDMACMOV7478"/>
    <s v="MOVIPHONE EL ORO"/>
    <s v="0391007160001"/>
    <s v="AZOGUES"/>
    <s v="Indirecto"/>
    <x v="0"/>
    <x v="1"/>
    <n v="162092"/>
  </r>
  <r>
    <d v="2020-07-08T00:00:00"/>
    <n v="34730714"/>
    <n v="2804"/>
    <s v="162092"/>
    <s v="CHIP PREPAGO $3 NUMERADO"/>
    <n v="3000"/>
    <n v="1620"/>
    <n v="0.54"/>
    <s v="NPQUOTRO"/>
    <s v="NORPHONE (QUITO)"/>
    <s v="1091717898001"/>
    <s v="QUITO"/>
    <s v="Indirecto"/>
    <x v="0"/>
    <x v="1"/>
    <n v="162092"/>
  </r>
  <r>
    <d v="2020-07-08T00:00:00"/>
    <n v="34730715"/>
    <n v="2804"/>
    <s v="162092"/>
    <s v="CHIP PREPAGO $3 NUMERADO"/>
    <n v="1500"/>
    <n v="810"/>
    <n v="0.54"/>
    <s v="NPAMOTRO"/>
    <s v="NORPHONE AMBATO"/>
    <s v="1091717898001"/>
    <s v="AMBATO"/>
    <s v="Indirecto"/>
    <x v="0"/>
    <x v="1"/>
    <n v="162092"/>
  </r>
  <r>
    <d v="2020-07-08T00:00:00"/>
    <n v="34730716"/>
    <n v="2804"/>
    <s v="162092"/>
    <s v="CHIP PREPAGO $3 NUMERADO"/>
    <n v="1200"/>
    <n v="648"/>
    <n v="0.54"/>
    <s v="NPIBOTRO"/>
    <s v="NORPHONE CIA. LTDA. (IBARRA)"/>
    <s v="1091717898001"/>
    <s v="IBARRA"/>
    <s v="Indirecto"/>
    <x v="0"/>
    <x v="1"/>
    <n v="162092"/>
  </r>
  <r>
    <d v="2020-07-08T00:00:00"/>
    <n v="34730717"/>
    <n v="3022"/>
    <s v="162146"/>
    <s v="USIM MULTISIM MOVISTAR"/>
    <n v="50"/>
    <n v="44.5"/>
    <n v="0.89"/>
    <s v="SYKNEGQUISYK0321"/>
    <s v="ESTEFANIA ALEJANDRA IPIALES VELA"/>
    <s v="1721767471001"/>
    <s v="QUITO"/>
    <s v="Indirecto"/>
    <x v="0"/>
    <x v="0"/>
    <n v="162146"/>
  </r>
  <r>
    <d v="2020-07-08T00:00:00"/>
    <n v="34730718"/>
    <n v="3022"/>
    <s v="162146"/>
    <s v="USIM MULTISIM MOVISTAR"/>
    <n v="400"/>
    <n v="356"/>
    <n v="0.89"/>
    <s v="HIGYOTRO"/>
    <s v="CESAR ROMERO (GUAYAQUIL)"/>
    <s v="1303164253001"/>
    <s v="GUAYAQUIL"/>
    <s v="Indirecto"/>
    <x v="0"/>
    <x v="0"/>
    <n v="162146"/>
  </r>
  <r>
    <d v="2020-07-08T00:00:00"/>
    <n v="34730719"/>
    <n v="3022"/>
    <s v="162146"/>
    <s v="USIM MULTISIM MOVISTAR"/>
    <n v="50"/>
    <n v="44.5"/>
    <n v="0.89"/>
    <s v="PRONEGGUAPRO9200"/>
    <s v="PROFESSIONAL CONTACT CENTER Y BPO PCC&amp;BPO S.A."/>
    <s v="0993232122001"/>
    <s v="GUAYAQUIL"/>
    <s v="Indirecto"/>
    <x v="0"/>
    <x v="0"/>
    <n v="162146"/>
  </r>
  <r>
    <d v="2020-07-08T00:00:00"/>
    <n v="34730720"/>
    <n v="2801"/>
    <s v="162089"/>
    <s v="CHIP PREPAGO $5 AUTOSERVICIO"/>
    <n v="572"/>
    <n v="306.02"/>
    <n v="0.535"/>
    <s v="GETINDGUAGET4578"/>
    <s v="GETTAREQ RETAIL"/>
    <s v="0992840234001"/>
    <s v="GUAYAQUIL"/>
    <s v="Retail"/>
    <x v="0"/>
    <x v="9"/>
    <n v="162089"/>
  </r>
  <r>
    <d v="2020-07-08T00:00:00"/>
    <n v="34730725"/>
    <n v="3022"/>
    <s v="162146"/>
    <s v="USIM MULTISIM MOVISTAR"/>
    <n v="60"/>
    <n v="53.4"/>
    <n v="0.89"/>
    <s v="MAYNEGCUEMAY5958"/>
    <s v="MAYRA CARRION"/>
    <s v="0105217970001"/>
    <s v="CUENCA"/>
    <s v="Indirecto"/>
    <x v="0"/>
    <x v="0"/>
    <n v="162146"/>
  </r>
  <r>
    <d v="2020-07-08T00:00:00"/>
    <n v="34730726"/>
    <n v="3022"/>
    <s v="162146"/>
    <s v="USIM MULTISIM MOVISTAR"/>
    <n v="160"/>
    <n v="142.4"/>
    <n v="0.89"/>
    <s v="SINCODIGO"/>
    <s v="URBANO EXPRESS (TELEFONICA)"/>
    <s v="1791256115001"/>
    <s v="QUITO"/>
    <s v="Cliente Final"/>
    <x v="0"/>
    <x v="0"/>
    <n v="162146"/>
  </r>
  <r>
    <d v="2020-07-08T00:00:00"/>
    <n v="34730730"/>
    <n v="3022"/>
    <s v="162146"/>
    <s v="USIM MULTISIM MOVISTAR"/>
    <n v="5"/>
    <n v="4.45"/>
    <n v="0.89"/>
    <s v="SINCODIGO"/>
    <s v="URBANO EXPRESS (TELEFONICA)"/>
    <s v="1791256115001"/>
    <s v="QUITO"/>
    <s v="Cliente Final"/>
    <x v="0"/>
    <x v="0"/>
    <n v="162146"/>
  </r>
  <r>
    <d v="2020-07-08T00:00:00"/>
    <n v="34730731"/>
    <n v="3022"/>
    <s v="162146"/>
    <s v="USIM MULTISIM MOVISTAR"/>
    <n v="19"/>
    <n v="16.91"/>
    <n v="0.89"/>
    <s v="N/A"/>
    <s v="GACELA DELIVERY"/>
    <s v="992970545001"/>
    <s v="GUAYAQUIL"/>
    <s v="Cliente Final"/>
    <x v="0"/>
    <x v="0"/>
    <n v="162146"/>
  </r>
  <r>
    <d v="2020-07-08T00:00:00"/>
    <n v="34730732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08T00:00:00"/>
    <n v="34730733"/>
    <n v="3022"/>
    <s v="162146"/>
    <s v="USIM MULTISIM MOVISTAR"/>
    <n v="50"/>
    <n v="44.5"/>
    <n v="0.89"/>
    <s v="9GQUOTRO"/>
    <s v="VERONICA DAYAMARA ESPINOSA ESPINOSA"/>
    <s v="1712735552001"/>
    <s v="QUITO"/>
    <s v="Indirecto"/>
    <x v="0"/>
    <x v="0"/>
    <n v="162146"/>
  </r>
  <r>
    <d v="2020-07-08T00:00:00"/>
    <n v="34730685"/>
    <n v="2396"/>
    <s v="113950"/>
    <s v="Usim Tuenti Prepago Blíster Numerada $ 5.00"/>
    <n v="400"/>
    <n v="436.0000000000001"/>
    <n v="1.09"/>
    <s v="FBQUOTRO"/>
    <s v="FARMAENLANCE CIA.LTDA QUITO TUENTI"/>
    <s v="1791984722001"/>
    <s v="QUITO"/>
    <s v="Retail"/>
    <x v="0"/>
    <x v="12"/>
    <n v="113950"/>
  </r>
  <r>
    <d v="2020-07-08T00:00:00"/>
    <n v="34730705"/>
    <n v="1807"/>
    <s v="84948"/>
    <s v="USIM PREPAGO TUENTI CELOFAN NO NUMERADA PORTABILID"/>
    <n v="116"/>
    <n v="119.48"/>
    <n v="1.03"/>
    <s v="6OMNOTRO"/>
    <s v="TONY ENRIQUE DELGADO CEDE¥O MANTA (TUENTI)"/>
    <s v="1308368222001"/>
    <s v="MANTA"/>
    <s v="Indirecto"/>
    <x v="0"/>
    <x v="5"/>
    <n v="84948"/>
  </r>
  <r>
    <d v="2020-07-08T00:00:00"/>
    <n v="34730705"/>
    <n v="2416"/>
    <s v="113950"/>
    <s v="Usim Tuenti Prepago Celofán Numerada $5 SinSticker"/>
    <n v="200"/>
    <n v="158"/>
    <n v="0.79"/>
    <s v="6OMNOTRO"/>
    <s v="TONY ENRIQUE DELGADO CEDE¥O MANTA (TUENTI)"/>
    <s v="1308368222001"/>
    <s v="MANTA"/>
    <s v="Indirecto"/>
    <x v="0"/>
    <x v="4"/>
    <n v="113950"/>
  </r>
  <r>
    <d v="2020-07-08T00:00:00"/>
    <n v="34730710"/>
    <n v="1807"/>
    <s v="84948"/>
    <s v="USIM PREPAGO TUENTI CELOFAN NO NUMERADA PORTABILID"/>
    <n v="500"/>
    <n v="515"/>
    <n v="1.03"/>
    <s v="8SRBOTRO"/>
    <s v="ALEX GEOVANNY CALLE ALLAICO RIOBAMBA (TUENTI)"/>
    <s v="0604963157001"/>
    <s v="RIOBAMBA"/>
    <s v="Indirecto"/>
    <x v="0"/>
    <x v="5"/>
    <n v="84948"/>
  </r>
  <r>
    <d v="2020-07-08T00:00:00"/>
    <n v="34730710"/>
    <n v="2416"/>
    <s v="113950"/>
    <s v="Usim Tuenti Prepago Celofán Numerada $5 SinSticker"/>
    <n v="500"/>
    <n v="395"/>
    <n v="0.79"/>
    <s v="8SRBOTRO"/>
    <s v="ALEX GEOVANNY CALLE ALLAICO RIOBAMBA (TUENTI)"/>
    <s v="0604963157001"/>
    <s v="RIOBAMBA"/>
    <s v="Indirecto"/>
    <x v="0"/>
    <x v="4"/>
    <n v="113950"/>
  </r>
  <r>
    <d v="2020-07-08T00:00:00"/>
    <n v="34730711"/>
    <n v="2416"/>
    <s v="113950"/>
    <s v="Usim Tuenti Prepago Celofán Numerada $5 SinSticker"/>
    <n v="100"/>
    <n v="79"/>
    <n v="0.79"/>
    <s v="NANINDMACNAN3598"/>
    <s v="DONNYS ROBERTO FEIJOO SALAZAR (NANOMAX) TUENTI"/>
    <s v="0703178723001"/>
    <s v="MACHALA"/>
    <s v="Indirecto"/>
    <x v="0"/>
    <x v="4"/>
    <n v="113950"/>
  </r>
  <r>
    <d v="2020-07-08T00:00:00"/>
    <n v="34730724"/>
    <n v="2396"/>
    <s v="113950"/>
    <s v="Usim Tuenti Prepago Blíster Numerada $ 5.00"/>
    <n v="411"/>
    <n v="447.99"/>
    <n v="1.09"/>
    <s v="2ZGYOTRO"/>
    <s v="GUETTAREQ GYE (TUENTI)"/>
    <s v="0992840234001"/>
    <s v="GUAYAQUIL"/>
    <s v="Indirecto"/>
    <x v="0"/>
    <x v="12"/>
    <n v="113950"/>
  </r>
  <r>
    <d v="2020-07-08T00:00:00"/>
    <n v="34730727"/>
    <n v="1807"/>
    <s v="84948"/>
    <s v="USIM PREPAGO TUENTI CELOFAN NO NUMERADA PORTABILID"/>
    <n v="150"/>
    <n v="154.5"/>
    <n v="1.03"/>
    <s v="PLUINDMACPLU9538"/>
    <s v="PLUS4G  TUENTI MACHALA"/>
    <s v="0992984074001"/>
    <s v="MACHALA"/>
    <s v="Indirecto"/>
    <x v="0"/>
    <x v="5"/>
    <n v="84948"/>
  </r>
  <r>
    <d v="2020-07-08T00:00:00"/>
    <n v="34730727"/>
    <n v="2416"/>
    <s v="113950"/>
    <s v="Usim Tuenti Prepago Celofán Numerada $5 SinSticker"/>
    <n v="415"/>
    <n v="327.85"/>
    <n v="0.79"/>
    <s v="PLUINDMACPLU9538"/>
    <s v="PLUS4G  TUENTI MACHALA"/>
    <s v="0992984074001"/>
    <s v="MACHALA"/>
    <s v="Indirecto"/>
    <x v="0"/>
    <x v="4"/>
    <n v="113950"/>
  </r>
  <r>
    <d v="2020-07-08T00:00:00"/>
    <n v="34730729"/>
    <n v="2396"/>
    <s v="113950"/>
    <s v="Usim Tuenti Prepago Blíster Numerada $ 5.00"/>
    <n v="1000"/>
    <n v="1090"/>
    <n v="1.09"/>
    <s v="TIENDLOMTIA5358"/>
    <s v="TIENDAS INDUSTRIALES LOMAS DE SARGENTILLO (TUENTI)"/>
    <s v="0990017514001"/>
    <s v="GUAYAQUIL"/>
    <s v="Indirecto"/>
    <x v="0"/>
    <x v="12"/>
    <n v="113950"/>
  </r>
  <r>
    <d v="2020-07-08T00:00:00"/>
    <n v="34730735"/>
    <n v="1651"/>
    <s v="84948"/>
    <s v="USIM TUENTI PREPAGO (CELOFAN)"/>
    <n v="3000"/>
    <n v="3090"/>
    <n v="1.03"/>
    <s v="N/A"/>
    <s v="MOVILCELISTICS (TUENTI)"/>
    <s v="1792161037001"/>
    <s v="QUITO"/>
    <s v="Indirecto"/>
    <x v="0"/>
    <x v="5"/>
    <n v="84948"/>
  </r>
  <r>
    <d v="2020-07-09T00:00:00"/>
    <n v="34730736"/>
    <n v="3022"/>
    <s v="162146"/>
    <s v="USIM MULTISIM MOVISTAR"/>
    <n v="6"/>
    <n v="5.34"/>
    <n v="0.89"/>
    <s v="N/A"/>
    <s v="GACELA DELIVERY"/>
    <s v="992970545001"/>
    <s v="GUAYAQUIL"/>
    <s v="Cliente Final"/>
    <x v="0"/>
    <x v="0"/>
    <n v="162146"/>
  </r>
  <r>
    <d v="2020-07-09T00:00:00"/>
    <n v="34730737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09T00:00:00"/>
    <n v="34730738"/>
    <n v="3022"/>
    <s v="162146"/>
    <s v="USIM MULTISIM MOVISTAR"/>
    <n v="88"/>
    <n v="78.32000000000001"/>
    <n v="0.89"/>
    <s v="SINCODIGO"/>
    <s v="URBANO EXPRESS (TELEFONICA)"/>
    <s v="1791256115001"/>
    <s v="QUITO"/>
    <s v="Cliente Final"/>
    <x v="0"/>
    <x v="0"/>
    <n v="162146"/>
  </r>
  <r>
    <d v="2020-07-09T00:00:00"/>
    <n v="34730743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09T00:00:00"/>
    <n v="34730744"/>
    <n v="3022"/>
    <s v="162146"/>
    <s v="USIM MULTISIM MOVISTAR"/>
    <n v="300"/>
    <n v="267"/>
    <n v="0.89"/>
    <s v="NTEINDQUICAV7400"/>
    <s v="CAVS AE NTEC EL PORTAL SIMCARDS"/>
    <s v="1792971322001"/>
    <s v="QUITO"/>
    <s v="Indirecto"/>
    <x v="0"/>
    <x v="0"/>
    <n v="162146"/>
  </r>
  <r>
    <d v="2020-07-09T00:00:00"/>
    <n v="34730745"/>
    <n v="3022"/>
    <s v="162146"/>
    <s v="USIM MULTISIM MOVISTAR"/>
    <n v="300"/>
    <n v="267"/>
    <n v="0.89"/>
    <s v="NTEINDGUANTE6278"/>
    <s v="NTEC Mall del Sol Gye SIMCARDS Y TRAJETAS"/>
    <s v="1792971322001"/>
    <s v="GUAYAQUIL"/>
    <s v="Indirecto"/>
    <x v="0"/>
    <x v="0"/>
    <n v="162146"/>
  </r>
  <r>
    <d v="2020-07-09T00:00:00"/>
    <n v="34730749"/>
    <n v="3022"/>
    <s v="162146"/>
    <s v="USIM MULTISIM MOVISTAR"/>
    <n v="50"/>
    <n v="44.5"/>
    <n v="0.89"/>
    <s v="SELNEGQUISEL4178"/>
    <s v="ESPINOZA RODRIGUEZ VIVIANA CATHERINA"/>
    <s v="1711446805001 "/>
    <s v="QUITO"/>
    <s v="Indirecto"/>
    <x v="0"/>
    <x v="0"/>
    <n v="162146"/>
  </r>
  <r>
    <d v="2020-07-09T00:00:00"/>
    <n v="34730751"/>
    <n v="3022"/>
    <s v="162146"/>
    <s v="USIM MULTISIM MOVISTAR"/>
    <n v="300"/>
    <n v="267"/>
    <n v="0.89"/>
    <s v="SICNEGQUISIC8438"/>
    <s v="SICCEC CIA LTDA"/>
    <s v="1792173043001"/>
    <s v="QUITO"/>
    <s v="Indirecto"/>
    <x v="0"/>
    <x v="0"/>
    <n v="162146"/>
  </r>
  <r>
    <d v="2020-07-09T00:00:00"/>
    <n v="34730754"/>
    <n v="3022"/>
    <s v="162146"/>
    <s v="USIM MULTISIM MOVISTAR"/>
    <n v="250"/>
    <n v="222.5"/>
    <n v="0.89"/>
    <s v="SINCODIGO"/>
    <s v="URBANO EXPRESS (TELEFONICA)"/>
    <s v="1791256115001"/>
    <s v="QUITO"/>
    <s v="Cliente Final"/>
    <x v="0"/>
    <x v="0"/>
    <n v="162146"/>
  </r>
  <r>
    <d v="2020-07-09T00:00:00"/>
    <n v="34730757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09T00:00:00"/>
    <n v="34730759"/>
    <n v="3022"/>
    <s v="162146"/>
    <s v="USIM MULTISIM MOVISTAR"/>
    <n v="7"/>
    <n v="6.23"/>
    <n v="0.89"/>
    <s v="SINCODIGO"/>
    <s v="MOTORIZADO CELISTICS SIMCARDS"/>
    <s v="0000000000001"/>
    <s v="QUITO"/>
    <s v="Cliente Final"/>
    <x v="0"/>
    <x v="0"/>
    <n v="162146"/>
  </r>
  <r>
    <d v="2020-07-09T00:00:00"/>
    <n v="34730759"/>
    <n v="2745"/>
    <s v="162113"/>
    <s v="USIM MAXI"/>
    <n v="9"/>
    <n v="4.95"/>
    <n v="0.55"/>
    <s v="SINCODIGO"/>
    <s v="MOTORIZADO CELISTICS SIMCARDS"/>
    <s v="0000000000001"/>
    <s v="QUITO"/>
    <s v="Cliente Final"/>
    <x v="0"/>
    <x v="15"/>
    <n v="162113"/>
  </r>
  <r>
    <d v="2020-07-09T00:00:00"/>
    <n v="34730759"/>
    <n v="2746"/>
    <s v="162114"/>
    <s v="USIM AKI"/>
    <n v="9"/>
    <n v="4.95"/>
    <n v="0.55"/>
    <s v="SINCODIGO"/>
    <s v="MOTORIZADO CELISTICS SIMCARDS"/>
    <s v="0000000000001"/>
    <s v="QUITO"/>
    <s v="Cliente Final"/>
    <x v="0"/>
    <x v="16"/>
    <n v="162114"/>
  </r>
  <r>
    <d v="2020-07-09T00:00:00"/>
    <n v="34730759"/>
    <n v="3005"/>
    <s v="162143"/>
    <s v="HALFSIM M2M 2FF LTE SIN AUTENTICAR"/>
    <n v="4"/>
    <n v="0"/>
    <n v="0"/>
    <s v="SINCODIGO"/>
    <s v="MOTORIZADO CELISTICS SIMCARDS"/>
    <s v="0000000000001"/>
    <s v="QUITO"/>
    <s v="Cliente Final"/>
    <x v="0"/>
    <x v="17"/>
    <n v="162143"/>
  </r>
  <r>
    <d v="2020-07-09T00:00:00"/>
    <n v="34730759"/>
    <n v="3006"/>
    <s v="162144"/>
    <s v="HALFSIM M2M 3FF LTE SIN AUTENTICAR"/>
    <n v="4"/>
    <n v="0"/>
    <n v="0"/>
    <s v="SINCODIGO"/>
    <s v="MOTORIZADO CELISTICS SIMCARDS"/>
    <s v="0000000000001"/>
    <s v="QUITO"/>
    <s v="Cliente Final"/>
    <x v="0"/>
    <x v="18"/>
    <n v="162144"/>
  </r>
  <r>
    <d v="2020-07-09T00:00:00"/>
    <n v="34730759"/>
    <n v="2925"/>
    <s v="162121"/>
    <s v="HALFSIM TUENTI"/>
    <n v="14"/>
    <n v="7.98"/>
    <n v="0.57"/>
    <s v="SINCODIGO"/>
    <s v="MOTORIZADO CELISTICS SIMCARDS"/>
    <s v="0000000000001"/>
    <s v="QUITO"/>
    <s v="Cliente Final"/>
    <x v="0"/>
    <x v="19"/>
    <n v="162121"/>
  </r>
  <r>
    <d v="2020-07-09T00:00:00"/>
    <n v="34730760"/>
    <n v="3022"/>
    <s v="162146"/>
    <s v="USIM MULTISIM MOVISTAR"/>
    <n v="1000"/>
    <n v="890"/>
    <n v="0.89"/>
    <s v="N/A"/>
    <s v="CELISTICS LA MALTERIA"/>
    <s v="1792161037001"/>
    <s v="LATACUNGA"/>
    <s v="Indirecto"/>
    <x v="0"/>
    <x v="0"/>
    <n v="162146"/>
  </r>
  <r>
    <d v="2020-07-09T00:00:00"/>
    <n v="34730763"/>
    <n v="3022"/>
    <s v="162146"/>
    <s v="USIM MULTISIM MOVISTAR"/>
    <n v="150"/>
    <n v="133.5"/>
    <n v="0.89"/>
    <s v="QUMNOTRO"/>
    <s v="DANNY VASQUEZ"/>
    <s v="1306880897001"/>
    <s v="MANTA"/>
    <s v="Indirecto"/>
    <x v="0"/>
    <x v="0"/>
    <n v="162146"/>
  </r>
  <r>
    <d v="2020-07-09T00:00:00"/>
    <n v="34730766"/>
    <n v="2802"/>
    <s v="162090"/>
    <s v="CHIP PREPAGO $5 NUMERADO"/>
    <n v="200"/>
    <n v="108"/>
    <n v="0.54"/>
    <s v="PACINDQUIPAC9138"/>
    <s v="PACKTRON S.A. UIO"/>
    <s v="1792416345001"/>
    <s v="QUITO"/>
    <s v="Indirecto"/>
    <x v="0"/>
    <x v="8"/>
    <n v="162090"/>
  </r>
  <r>
    <d v="2020-07-09T00:00:00"/>
    <n v="34730750"/>
    <n v="2416"/>
    <s v="113950"/>
    <s v="Usim Tuenti Prepago Celofán Numerada $5 SinSticker"/>
    <n v="100"/>
    <n v="79"/>
    <n v="0.79"/>
    <s v="SOLINDMANSOL5978"/>
    <s v="SOL PARDO TUENTI"/>
    <s v="1308782679001"/>
    <s v="BAHIA DE CARAQUEZ"/>
    <s v="Indirecto"/>
    <x v="0"/>
    <x v="4"/>
    <n v="113950"/>
  </r>
  <r>
    <d v="2020-07-09T00:00:00"/>
    <n v="34730752"/>
    <n v="2397"/>
    <s v="113950"/>
    <s v="Usim Tuenti Prepago Blíster Numerada $ 10.00"/>
    <n v="100"/>
    <n v="109"/>
    <n v="1.09"/>
    <s v="SOLZONLOJSOL4497"/>
    <s v="SOLUMOVECSA TUENTI-MANTA"/>
    <s v="1792504015001"/>
    <s v="MANTA"/>
    <s v="Indirecto"/>
    <x v="0"/>
    <x v="11"/>
    <n v="113950"/>
  </r>
  <r>
    <d v="2020-07-09T00:00:00"/>
    <n v="34730753"/>
    <n v="2416"/>
    <s v="113950"/>
    <s v="Usim Tuenti Prepago Celofán Numerada $5 SinSticker"/>
    <n v="150"/>
    <n v="118.5"/>
    <n v="0.79"/>
    <s v="ROBINDATAROB8460"/>
    <s v="Roberto Guerrero - Tuenti"/>
    <s v="0917818999001"/>
    <s v="ESMERALDAS"/>
    <s v="Indirecto"/>
    <x v="0"/>
    <x v="4"/>
    <n v="113950"/>
  </r>
  <r>
    <d v="2020-07-09T00:00:00"/>
    <n v="34730755"/>
    <n v="2416"/>
    <s v="113950"/>
    <s v="Usim Tuenti Prepago Celofán Numerada $5 SinSticker"/>
    <n v="250"/>
    <n v="197.5"/>
    <n v="0.79"/>
    <s v="9JIBOTRO"/>
    <s v="TRUJILLO MANOSALVAS EVELYN PAOLA (TUENTI)"/>
    <s v="0401360201001"/>
    <s v="IBARRA"/>
    <s v="Indirecto"/>
    <x v="0"/>
    <x v="4"/>
    <n v="113950"/>
  </r>
  <r>
    <d v="2020-07-09T00:00:00"/>
    <n v="34730758"/>
    <n v="1807"/>
    <s v="84948"/>
    <s v="USIM PREPAGO TUENTI CELOFAN NO NUMERADA PORTABILID"/>
    <n v="200"/>
    <n v="206"/>
    <n v="1.03"/>
    <s v="2GQUOTRO"/>
    <s v="PRILANTEC - UIO (TUENTI)"/>
    <s v="1792412501001"/>
    <s v="QUITO"/>
    <s v="Indirecto"/>
    <x v="0"/>
    <x v="5"/>
    <n v="84948"/>
  </r>
  <r>
    <d v="2020-07-09T00:00:00"/>
    <n v="34730758"/>
    <n v="2416"/>
    <s v="113950"/>
    <s v="Usim Tuenti Prepago Celofán Numerada $5 SinSticker"/>
    <n v="200"/>
    <n v="158"/>
    <n v="0.79"/>
    <s v="2GQUOTRO"/>
    <s v="PRILANTEC - UIO (TUENTI)"/>
    <s v="1792412501001"/>
    <s v="QUITO"/>
    <s v="Indirecto"/>
    <x v="0"/>
    <x v="4"/>
    <n v="113950"/>
  </r>
  <r>
    <d v="2020-07-09T00:00:00"/>
    <n v="34730762"/>
    <n v="2400"/>
    <s v="113950"/>
    <s v="Usim Tuenti Prepago Celofán Numerada $ 5.00"/>
    <n v="2000"/>
    <n v="1580"/>
    <n v="0.79"/>
    <s v="TECINDAMBTUE3998"/>
    <s v="TECECAB S.A. TUENTI AMBATO"/>
    <s v="1792306043001"/>
    <s v="AMBATO"/>
    <s v="Indirecto"/>
    <x v="0"/>
    <x v="3"/>
    <n v="113950"/>
  </r>
  <r>
    <d v="2020-07-09T00:00:00"/>
    <n v="34730764"/>
    <n v="2416"/>
    <s v="113950"/>
    <s v="Usim Tuenti Prepago Celofán Numerada $5 SinSticker"/>
    <n v="500"/>
    <n v="395"/>
    <n v="0.79"/>
    <s v="GIAINDMANGIA5900"/>
    <s v="GIAN CARLO RODRIGUEZ (TUENTI-PORTOVIEJO)"/>
    <s v="1309177408001"/>
    <s v=" PORTOVIEJO"/>
    <s v="Indirecto"/>
    <x v="0"/>
    <x v="4"/>
    <n v="113950"/>
  </r>
  <r>
    <d v="2020-07-09T00:00:00"/>
    <n v="34730765"/>
    <n v="1807"/>
    <s v="84948"/>
    <s v="USIM PREPAGO TUENTI CELOFAN NO NUMERADA PORTABILID"/>
    <n v="200"/>
    <n v="206"/>
    <n v="1.03"/>
    <s v="WININDSANWIN6637"/>
    <s v="Winners cell Tuenti"/>
    <s v="1720429685001"/>
    <s v="SANTO DOMINGO"/>
    <s v="Indirecto"/>
    <x v="0"/>
    <x v="5"/>
    <n v="84948"/>
  </r>
  <r>
    <d v="2020-07-09T00:00:00"/>
    <n v="34730765"/>
    <n v="2416"/>
    <s v="113950"/>
    <s v="Usim Tuenti Prepago Celofán Numerada $5 SinSticker"/>
    <n v="200"/>
    <n v="158"/>
    <n v="0.79"/>
    <s v="WININDSANWIN6637"/>
    <s v="Winners cell Tuenti"/>
    <s v="1720429685001"/>
    <s v="SANTO DOMINGO"/>
    <s v="Indirecto"/>
    <x v="0"/>
    <x v="4"/>
    <n v="113950"/>
  </r>
  <r>
    <d v="2020-07-10T00:00:00"/>
    <n v="34730721"/>
    <n v="2801"/>
    <s v="162089"/>
    <s v="CHIP PREPAGO $5 AUTOSERVICIO"/>
    <n v="81"/>
    <n v="43.335"/>
    <n v="0.535"/>
    <s v="VWQUOTRO"/>
    <s v="FARCOMED S.A.RETAIL"/>
    <s v="1790710319001"/>
    <s v="QUITO"/>
    <s v="Retail"/>
    <x v="0"/>
    <x v="9"/>
    <n v="162089"/>
  </r>
  <r>
    <d v="2020-07-10T00:00:00"/>
    <n v="34730722"/>
    <n v="2801"/>
    <s v="162089"/>
    <s v="CHIP PREPAGO $5 AUTOSERVICIO"/>
    <n v="232"/>
    <n v="124.12"/>
    <n v="0.535"/>
    <s v="WUQUOTRO"/>
    <s v="ECONOFARM S.A.RETAIL"/>
    <s v="1791715772001"/>
    <s v="QUITO"/>
    <s v="Retail"/>
    <x v="0"/>
    <x v="9"/>
    <n v="162089"/>
  </r>
  <r>
    <d v="2020-07-10T00:00:00"/>
    <n v="34730723"/>
    <n v="2801"/>
    <s v="162089"/>
    <s v="CHIP PREPAGO $5 AUTOSERVICIO"/>
    <n v="15"/>
    <n v="8.025"/>
    <n v="0.535"/>
    <s v="4SQUOTRO"/>
    <s v="TIECONE S.A. (RETAIL)"/>
    <s v="1792239710001"/>
    <s v="QUITO"/>
    <s v="Retail"/>
    <x v="0"/>
    <x v="9"/>
    <n v="162089"/>
  </r>
  <r>
    <d v="2020-07-10T00:00:00"/>
    <n v="34730817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10T00:00:00"/>
    <n v="34730819"/>
    <n v="3022"/>
    <s v="162146"/>
    <s v="USIM MULTISIM MOVISTAR"/>
    <n v="5"/>
    <n v="4.45"/>
    <n v="0.89"/>
    <s v="SINCODIGO"/>
    <s v="MOTORIZADO CELISTICS SIMCARDS"/>
    <s v="0000000000001"/>
    <s v="QUITO"/>
    <s v="Cliente Final"/>
    <x v="0"/>
    <x v="0"/>
    <n v="162146"/>
  </r>
  <r>
    <d v="2020-07-10T00:00:00"/>
    <n v="34730820"/>
    <n v="3022"/>
    <s v="162146"/>
    <s v="USIM MULTISIM MOVISTAR"/>
    <n v="71"/>
    <n v="63.19"/>
    <n v="0.89"/>
    <s v="SINCODIGO"/>
    <s v="URBANO EXPRESS (TELEFONICA)"/>
    <s v="1791256115001"/>
    <s v="QUITO"/>
    <s v="Cliente Final"/>
    <x v="0"/>
    <x v="0"/>
    <n v="162146"/>
  </r>
  <r>
    <d v="2020-07-10T00:00:00"/>
    <n v="34730828"/>
    <n v="2802"/>
    <s v="162090"/>
    <s v="CHIP PREPAGO $5 NUMERADO"/>
    <n v="50"/>
    <n v="27"/>
    <n v="0.54"/>
    <s v="TXEOOTRO"/>
    <s v="TELEMOVILEXSA (MACHALA)"/>
    <s v="0791725496001"/>
    <s v="MACHALA"/>
    <s v="Indirecto"/>
    <x v="0"/>
    <x v="8"/>
    <n v="162090"/>
  </r>
  <r>
    <d v="2020-07-10T00:00:00"/>
    <n v="34730829"/>
    <n v="3022"/>
    <s v="162146"/>
    <s v="USIM MULTISIM MOVISTAR"/>
    <n v="509"/>
    <n v="453.01"/>
    <n v="0.89"/>
    <s v="SINCODIGO"/>
    <s v="URBANO EXPRESS (TELEFONICA)"/>
    <s v="1791256115001"/>
    <s v="QUITO"/>
    <s v="Cliente Final"/>
    <x v="0"/>
    <x v="0"/>
    <n v="162146"/>
  </r>
  <r>
    <d v="2020-07-10T00:00:00"/>
    <n v="34730829"/>
    <n v="2665"/>
    <s v="162115"/>
    <s v="SIMCARD M2M 2FF LTE"/>
    <n v="1"/>
    <n v="1.19"/>
    <n v="1.19"/>
    <s v="SINCODIGO"/>
    <s v="URBANO EXPRESS (TELEFONICA)"/>
    <s v="1791256115001"/>
    <s v="QUITO"/>
    <s v="Cliente Final"/>
    <x v="0"/>
    <x v="20"/>
    <n v="162046"/>
  </r>
  <r>
    <d v="2020-07-10T00:00:00"/>
    <n v="34730830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0T00:00:00"/>
    <n v="34730832"/>
    <n v="2804"/>
    <s v="162092"/>
    <s v="CHIP PREPAGO $3 NUMERADO"/>
    <n v="1000"/>
    <n v="540"/>
    <n v="0.54"/>
    <s v="CYBINDGUAAEC6197"/>
    <s v="AE CYBERCELL  9 DE OCTUBRE SIMCARDS"/>
    <s v="1791413962001"/>
    <s v="GUAYAQUIL"/>
    <s v="Indirecto"/>
    <x v="0"/>
    <x v="1"/>
    <n v="162092"/>
  </r>
  <r>
    <d v="2020-07-10T00:00:00"/>
    <n v="34730837"/>
    <n v="2804"/>
    <s v="162092"/>
    <s v="CHIP PREPAGO $3 NUMERADO"/>
    <n v="5000"/>
    <n v="2700"/>
    <n v="0.54"/>
    <s v="6CQUOTRO"/>
    <s v="TECECAB S.A"/>
    <s v="1792306043001"/>
    <s v="QUITO"/>
    <s v="Indirecto"/>
    <x v="0"/>
    <x v="1"/>
    <n v="162092"/>
  </r>
  <r>
    <d v="2020-07-10T00:00:00"/>
    <n v="34730843"/>
    <n v="3022"/>
    <s v="162146"/>
    <s v="USIM MULTISIM MOVISTAR"/>
    <n v="100"/>
    <n v="89"/>
    <n v="0.89"/>
    <s v="BLUNEGQUIBLU5498"/>
    <s v="BLUECORE"/>
    <s v="1718581398001"/>
    <s v="QUITO"/>
    <s v="Indirecto"/>
    <x v="0"/>
    <x v="0"/>
    <n v="162146"/>
  </r>
  <r>
    <d v="2020-07-10T00:00:00"/>
    <n v="34730844"/>
    <n v="3022"/>
    <s v="162146"/>
    <s v="USIM MULTISIM MOVISTAR"/>
    <n v="150"/>
    <n v="133.5"/>
    <n v="0.89"/>
    <s v="TELNEGQUITEL5600"/>
    <s v="TELCODIGITAL"/>
    <s v="1792973368001"/>
    <s v="QUITO"/>
    <s v="Indirecto"/>
    <x v="0"/>
    <x v="0"/>
    <n v="162146"/>
  </r>
  <r>
    <d v="2020-07-10T00:00:00"/>
    <n v="34730846"/>
    <n v="3022"/>
    <s v="162146"/>
    <s v="USIM MULTISIM MOVISTAR"/>
    <n v="500"/>
    <n v="445"/>
    <n v="0.89"/>
    <s v="CCS"/>
    <s v="CAV CONDADO SHOPPING"/>
    <s v="1791256115001"/>
    <s v="QUITO"/>
    <s v="Directo"/>
    <x v="1"/>
    <x v="0"/>
    <n v="162146"/>
  </r>
  <r>
    <d v="2020-07-10T00:00:00"/>
    <n v="34730847"/>
    <n v="3022"/>
    <s v="162146"/>
    <s v="USIM MULTISIM MOVISTAR"/>
    <n v="500"/>
    <n v="445"/>
    <n v="0.89"/>
    <s v="CPA"/>
    <s v="CAV PLAZA DE LAS AMERICAS"/>
    <s v="1791256115001"/>
    <s v="QUITO"/>
    <s v="Directo"/>
    <x v="1"/>
    <x v="0"/>
    <n v="162146"/>
  </r>
  <r>
    <d v="2020-07-10T00:00:00"/>
    <n v="34730848"/>
    <n v="3022"/>
    <s v="162146"/>
    <s v="USIM MULTISIM MOVISTAR"/>
    <n v="500"/>
    <n v="445"/>
    <n v="0.89"/>
    <s v="CPS"/>
    <s v="CAV PORTAL SHOPPING"/>
    <s v="1791256115001"/>
    <s v="QUITO "/>
    <s v="Directo"/>
    <x v="1"/>
    <x v="0"/>
    <n v="162146"/>
  </r>
  <r>
    <d v="2020-07-10T00:00:00"/>
    <n v="34730850"/>
    <n v="3022"/>
    <s v="162146"/>
    <s v="USIM MULTISIM MOVISTAR"/>
    <n v="7"/>
    <n v="6.23"/>
    <n v="0.89"/>
    <s v="SINCODIGO"/>
    <s v="MOTORIZADO CELISTICS SIMCARDS"/>
    <s v="0000000000001"/>
    <s v="QUITO"/>
    <s v="Cliente Final"/>
    <x v="0"/>
    <x v="0"/>
    <n v="162146"/>
  </r>
  <r>
    <d v="2020-07-10T00:00:00"/>
    <n v="34730825"/>
    <n v="2396"/>
    <s v="113950"/>
    <s v="Usim Tuenti Prepago Blíster Numerada $ 5.00"/>
    <n v="100"/>
    <n v="109"/>
    <n v="1.09"/>
    <s v="VWQUOTRO"/>
    <s v="FARCOMED QUITO TUENTI"/>
    <s v="1790710319001"/>
    <s v="QUITO"/>
    <s v="Retail"/>
    <x v="0"/>
    <x v="12"/>
    <n v="113950"/>
  </r>
  <r>
    <d v="2020-07-10T00:00:00"/>
    <n v="34730825"/>
    <n v="2399"/>
    <s v="113950"/>
    <s v="Usim Tuenti Prepago Blíster Numerada $ 20.00"/>
    <n v="12"/>
    <n v="13.08"/>
    <n v="1.09"/>
    <s v="VWQUOTRO"/>
    <s v="FARCOMED QUITO TUENTI"/>
    <s v="1790710319001"/>
    <s v="QUITO"/>
    <s v="Retail"/>
    <x v="0"/>
    <x v="13"/>
    <n v="113950"/>
  </r>
  <r>
    <d v="2020-07-10T00:00:00"/>
    <n v="34730826"/>
    <n v="2396"/>
    <s v="113950"/>
    <s v="Usim Tuenti Prepago Blíster Numerada $ 5.00"/>
    <n v="30"/>
    <n v="32.7"/>
    <n v="1.09"/>
    <s v="4IQUOTRO"/>
    <s v="TIECONE S.A. TUENTI"/>
    <s v="1792239710001"/>
    <s v="QUITO"/>
    <s v="Retail"/>
    <x v="0"/>
    <x v="12"/>
    <n v="113950"/>
  </r>
  <r>
    <d v="2020-07-10T00:00:00"/>
    <n v="34730827"/>
    <n v="2397"/>
    <s v="113950"/>
    <s v="Usim Tuenti Prepago Blíster Numerada $ 10.00"/>
    <n v="30"/>
    <n v="32.7"/>
    <n v="1.09"/>
    <s v="WUQUOTRO"/>
    <s v="ECONOFARM S.A. TUENTI"/>
    <s v="1791715772001"/>
    <s v="QUITO"/>
    <s v="Retail"/>
    <x v="0"/>
    <x v="11"/>
    <n v="113950"/>
  </r>
  <r>
    <d v="2020-07-10T00:00:00"/>
    <n v="34730835"/>
    <n v="2400"/>
    <s v="113950"/>
    <s v="Usim Tuenti Prepago Celofán Numerada $ 5.00"/>
    <n v="250"/>
    <n v="197.5"/>
    <n v="0.79"/>
    <s v="N/A"/>
    <s v="MOVILCELISTICS (TUENTI)"/>
    <s v="1792161037001"/>
    <s v="QUITO"/>
    <s v="Indirecto"/>
    <x v="0"/>
    <x v="3"/>
    <n v="113950"/>
  </r>
  <r>
    <d v="2020-07-10T00:00:00"/>
    <n v="34730838"/>
    <n v="1807"/>
    <s v="84948"/>
    <s v="USIM PREPAGO TUENTI CELOFAN NO NUMERADA PORTABILID"/>
    <n v="300"/>
    <n v="309"/>
    <n v="1.03"/>
    <s v=""/>
    <s v="TARSISINVEST (TUENTI)"/>
    <s v="0992862459001"/>
    <s v="GUAYAQUIL"/>
    <s v="Indirecto"/>
    <x v="0"/>
    <x v="5"/>
    <n v="84948"/>
  </r>
  <r>
    <d v="2020-07-10T00:00:00"/>
    <n v="34730838"/>
    <n v="2416"/>
    <s v="113950"/>
    <s v="Usim Tuenti Prepago Celofán Numerada $5 SinSticker"/>
    <n v="1000"/>
    <n v="790"/>
    <n v="0.79"/>
    <s v=""/>
    <s v="TARSISINVEST (TUENTI)"/>
    <s v="0992862459001"/>
    <s v="GUAYAQUIL"/>
    <s v="Indirecto"/>
    <x v="0"/>
    <x v="4"/>
    <n v="113950"/>
  </r>
  <r>
    <d v="2020-07-10T00:00:00"/>
    <n v="34730839"/>
    <n v="2400"/>
    <s v="113950"/>
    <s v="Usim Tuenti Prepago Celofán Numerada $ 5.00"/>
    <n v="3000"/>
    <n v="2370"/>
    <n v="0.79"/>
    <s v="SOLZONLOJSOL4478"/>
    <s v="SOLUMOVECSA TUENTI-GUAYAQUIL"/>
    <s v="1792504015001"/>
    <s v="GUAYAQUIL"/>
    <s v="Indirecto"/>
    <x v="0"/>
    <x v="3"/>
    <n v="113950"/>
  </r>
  <r>
    <d v="2020-07-10T00:00:00"/>
    <n v="34730840"/>
    <n v="2416"/>
    <s v="113950"/>
    <s v="Usim Tuenti Prepago Celofán Numerada $5 SinSticker"/>
    <n v="548"/>
    <n v="432.92"/>
    <n v="0.79"/>
    <s v="N/A"/>
    <s v="PLUS4G TUENTI (GUAYAQUIL)"/>
    <s v="0992984074001"/>
    <s v="GUAYAQUIL"/>
    <s v="Indirecto"/>
    <x v="0"/>
    <x v="4"/>
    <n v="113950"/>
  </r>
  <r>
    <d v="2020-07-10T00:00:00"/>
    <n v="34730841"/>
    <n v="2416"/>
    <s v="113950"/>
    <s v="Usim Tuenti Prepago Celofán Numerada $5 SinSticker"/>
    <n v="300"/>
    <n v="237"/>
    <n v="0.79"/>
    <s v="N/A"/>
    <s v="PLUS4G TUENTI (LA LIBERTAD)"/>
    <s v="0992984074001"/>
    <s v="LA LIBERTAD"/>
    <s v="Indirecto"/>
    <x v="0"/>
    <x v="4"/>
    <n v="113950"/>
  </r>
  <r>
    <d v="2020-07-10T00:00:00"/>
    <n v="34730842"/>
    <n v="2416"/>
    <s v="113950"/>
    <s v="Usim Tuenti Prepago Celofán Numerada $5 SinSticker"/>
    <n v="300"/>
    <n v="237"/>
    <n v="0.79"/>
    <s v="EWOINDCHIEWO7278"/>
    <s v="EWOLF LUTION TUENTI"/>
    <s v="0923980858001"/>
    <s v="SANTO DOMINGO/CHIGUILPE"/>
    <s v="Indirecto"/>
    <x v="0"/>
    <x v="4"/>
    <n v="113950"/>
  </r>
  <r>
    <d v="2020-07-13T00:00:00"/>
    <n v="34730851"/>
    <n v="3022"/>
    <s v="162146"/>
    <s v="USIM MULTISIM MOVISTAR"/>
    <n v="16"/>
    <n v="14.24"/>
    <n v="0.89"/>
    <s v="N/A"/>
    <s v="GACELA DELIVERY"/>
    <s v="992970545001"/>
    <s v="GUAYAQUIL"/>
    <s v="Cliente Final"/>
    <x v="0"/>
    <x v="0"/>
    <n v="162146"/>
  </r>
  <r>
    <d v="2020-07-13T00:00:00"/>
    <n v="34730852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13T00:00:00"/>
    <n v="34730853"/>
    <n v="3022"/>
    <s v="162146"/>
    <s v="USIM MULTISIM MOVISTAR"/>
    <n v="149"/>
    <n v="132.61"/>
    <n v="0.89"/>
    <s v="SINCODIGO"/>
    <s v="URBANO EXPRESS (TELEFONICA)"/>
    <s v="1791256115001"/>
    <s v="QUITO"/>
    <s v="Cliente Final"/>
    <x v="0"/>
    <x v="0"/>
    <n v="162146"/>
  </r>
  <r>
    <d v="2020-07-13T00:00:00"/>
    <n v="34730853"/>
    <n v="2761"/>
    <s v="162082"/>
    <s v="SIM KITE M2M 2FF STANDARD"/>
    <n v="2"/>
    <n v="2.92"/>
    <n v="1.46"/>
    <s v="SINCODIGO"/>
    <s v="URBANO EXPRESS (TELEFONICA)"/>
    <s v="1791256115001"/>
    <s v="QUITO"/>
    <s v="Cliente Final"/>
    <x v="0"/>
    <x v="14"/>
    <n v="162082"/>
  </r>
  <r>
    <d v="2020-07-13T00:00:00"/>
    <n v="34730853"/>
    <n v="2763"/>
    <s v="162084"/>
    <s v="SIM KITE M2M 3FF HIGH TEMP"/>
    <n v="3"/>
    <n v="4.35"/>
    <n v="1.45"/>
    <s v="SINCODIGO"/>
    <s v="URBANO EXPRESS (TELEFONICA)"/>
    <s v="1791256115001"/>
    <s v="QUITO"/>
    <s v="Cliente Final"/>
    <x v="0"/>
    <x v="6"/>
    <n v="162084"/>
  </r>
  <r>
    <d v="2020-07-13T00:00:00"/>
    <n v="34730853"/>
    <n v="2665"/>
    <s v="162115"/>
    <s v="SIMCARD M2M 2FF LTE"/>
    <n v="70"/>
    <n v="83.3"/>
    <n v="1.19"/>
    <s v="SINCODIGO"/>
    <s v="URBANO EXPRESS (TELEFONICA)"/>
    <s v="1791256115001"/>
    <s v="QUITO"/>
    <s v="Cliente Final"/>
    <x v="0"/>
    <x v="20"/>
    <n v="162046"/>
  </r>
  <r>
    <d v="2020-07-13T00:00:00"/>
    <n v="34730854"/>
    <n v="3022"/>
    <s v="162146"/>
    <s v="USIM MULTISIM MOVISTAR"/>
    <n v="5"/>
    <n v="4.45"/>
    <n v="0.89"/>
    <s v="SINCODIGO"/>
    <s v="URBANO EXPRESS (TELEFONICA)"/>
    <s v="1791256115001"/>
    <s v="QUITO"/>
    <s v="Cliente Final"/>
    <x v="0"/>
    <x v="0"/>
    <n v="162146"/>
  </r>
  <r>
    <d v="2020-07-13T00:00:00"/>
    <n v="34730856"/>
    <n v="2804"/>
    <s v="162092"/>
    <s v="CHIP PREPAGO $3 NUMERADO"/>
    <n v="300"/>
    <n v="162"/>
    <n v="0.54"/>
    <s v="N/A"/>
    <s v="OTECEL ECOPARK"/>
    <s v="0992378786001"/>
    <s v="QUITO"/>
    <s v="Directo"/>
    <x v="1"/>
    <x v="1"/>
    <n v="162092"/>
  </r>
  <r>
    <d v="2020-07-13T00:00:00"/>
    <n v="34730857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13T00:00:00"/>
    <n v="34730858"/>
    <n v="2804"/>
    <s v="162092"/>
    <s v="CHIP PREPAGO $3 NUMERADO"/>
    <n v="600"/>
    <n v="324"/>
    <n v="0.54"/>
    <s v="N/A"/>
    <s v="OTECEL ECOPARK"/>
    <s v="0992378786001"/>
    <s v="QUITO"/>
    <s v="Directo"/>
    <x v="1"/>
    <x v="1"/>
    <n v="162092"/>
  </r>
  <r>
    <d v="2020-07-13T00:00:00"/>
    <n v="34730859"/>
    <n v="2804"/>
    <s v="162092"/>
    <s v="CHIP PREPAGO $3 NUMERADO"/>
    <n v="5000"/>
    <n v="2700"/>
    <n v="0.54"/>
    <s v="N/A"/>
    <s v="OTECEL ECOPARK"/>
    <s v="0992378786001"/>
    <s v="QUITO"/>
    <s v="Directo"/>
    <x v="1"/>
    <x v="1"/>
    <n v="162092"/>
  </r>
  <r>
    <d v="2020-07-13T00:00:00"/>
    <n v="34730861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13T00:00:00"/>
    <n v="34730862"/>
    <n v="2804"/>
    <s v="162092"/>
    <s v="CHIP PREPAGO $3 NUMERADO"/>
    <n v="500"/>
    <n v="270"/>
    <n v="0.54"/>
    <s v="HUNINDTENHOM9638"/>
    <s v="HOMENET MUNDOCELL"/>
    <s v="1500953045001"/>
    <s v="TENA"/>
    <s v="Indirecto"/>
    <x v="0"/>
    <x v="1"/>
    <n v="162092"/>
  </r>
  <r>
    <d v="2020-07-13T00:00:00"/>
    <n v="34730863"/>
    <n v="2804"/>
    <s v="162092"/>
    <s v="CHIP PREPAGO $3 NUMERADO"/>
    <n v="500"/>
    <n v="270"/>
    <n v="0.54"/>
    <s v="MAUZONELCMAU9618"/>
    <s v="MAURICIO XAVIER GUERRERO CEVALLOS - EL CARMEN"/>
    <s v="1314663731001"/>
    <s v="EL CARMEN"/>
    <s v="Indirecto"/>
    <x v="0"/>
    <x v="1"/>
    <n v="162092"/>
  </r>
  <r>
    <d v="2020-07-13T00:00:00"/>
    <n v="34730864"/>
    <n v="2804"/>
    <s v="162092"/>
    <s v="CHIP PREPAGO $3 NUMERADO"/>
    <n v="300"/>
    <n v="162"/>
    <n v="0.54"/>
    <s v=""/>
    <s v="JOSE ROSALINO CUENCA TORRES"/>
    <s v="1103747695001"/>
    <s v="LOJA "/>
    <s v="Indirecto"/>
    <x v="0"/>
    <x v="1"/>
    <n v="162092"/>
  </r>
  <r>
    <d v="2020-07-13T00:00:00"/>
    <n v="34730865"/>
    <n v="2804"/>
    <s v="162092"/>
    <s v="CHIP PREPAGO $3 NUMERADO"/>
    <n v="500"/>
    <n v="270"/>
    <n v="0.54"/>
    <s v="DISZONQUIDIS9629"/>
    <s v="DISTRIMARKET ZONIFICACION QUITO"/>
    <s v="1792141850001"/>
    <s v="QUITO"/>
    <s v="Indirecto"/>
    <x v="0"/>
    <x v="1"/>
    <n v="162092"/>
  </r>
  <r>
    <d v="2020-07-13T00:00:00"/>
    <n v="34730870"/>
    <n v="3022"/>
    <s v="162146"/>
    <s v="USIM MULTISIM MOVISTAR"/>
    <n v="102"/>
    <n v="90.78"/>
    <n v="0.89"/>
    <s v="SINCODIGO"/>
    <s v="URBANO EXPRESS (TELEFONICA)"/>
    <s v="1791256115001"/>
    <s v="QUITO"/>
    <s v="Cliente Final"/>
    <x v="0"/>
    <x v="0"/>
    <n v="162146"/>
  </r>
  <r>
    <d v="2020-07-13T00:00:00"/>
    <n v="34730872"/>
    <n v="3022"/>
    <s v="162146"/>
    <s v="USIM MULTISIM MOVISTAR"/>
    <n v="12"/>
    <n v="10.68"/>
    <n v="0.89"/>
    <s v="SINCODIGO"/>
    <s v="URBANO EXPRESS (TELEFONICA)"/>
    <s v="1791256115001"/>
    <s v="QUITO"/>
    <s v="Cliente Final"/>
    <x v="0"/>
    <x v="0"/>
    <n v="162146"/>
  </r>
  <r>
    <d v="2020-07-13T00:00:00"/>
    <n v="34730874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13T00:00:00"/>
    <n v="34730875"/>
    <n v="3022"/>
    <s v="162146"/>
    <s v="USIM MULTISIM MOVISTAR"/>
    <n v="50"/>
    <n v="44.5"/>
    <n v="0.89"/>
    <s v="NORINDAMBPDV9404"/>
    <s v="PDV NORPHONE ISLA SHOPPING AMBATO SIMCARDS"/>
    <s v="1091717898001"/>
    <s v="AMBATO"/>
    <s v="Indirecto"/>
    <x v="0"/>
    <x v="0"/>
    <n v="162146"/>
  </r>
  <r>
    <d v="2020-07-13T00:00:00"/>
    <n v="34730876"/>
    <n v="3022"/>
    <s v="162146"/>
    <s v="USIM MULTISIM MOVISTAR"/>
    <n v="50"/>
    <n v="44.5"/>
    <n v="0.89"/>
    <s v="NORINDRIOPDV9406"/>
    <s v="PDV NORPHONE ISLA SHOPPING RIOBAMBA SIMCARDS"/>
    <s v="1091717898001"/>
    <s v="RIOBAMBA"/>
    <s v="Indirecto"/>
    <x v="0"/>
    <x v="0"/>
    <n v="162146"/>
  </r>
  <r>
    <d v="2020-07-13T00:00:00"/>
    <n v="34730881"/>
    <n v="3022"/>
    <s v="162146"/>
    <s v="USIM MULTISIM MOVISTAR"/>
    <n v="13"/>
    <n v="11.57"/>
    <n v="0.89"/>
    <s v="N/A"/>
    <s v="GACELA DELIVERY"/>
    <s v="992970545001"/>
    <s v="GUAYAQUIL"/>
    <s v="Cliente Final"/>
    <x v="0"/>
    <x v="0"/>
    <n v="162146"/>
  </r>
  <r>
    <d v="2020-07-13T00:00:00"/>
    <n v="34730882"/>
    <n v="3022"/>
    <s v="162146"/>
    <s v="USIM MULTISIM MOVISTAR"/>
    <n v="1000"/>
    <n v="890"/>
    <n v="0.89"/>
    <s v="CELINDQUIAEC731"/>
    <s v="AE CELISTICS CCI SIMCARDS Y TARJETAS"/>
    <s v="1792161037001"/>
    <s v="QUITO"/>
    <s v="Indirecto"/>
    <x v="0"/>
    <x v="0"/>
    <n v="162146"/>
  </r>
  <r>
    <d v="2020-07-13T00:00:00"/>
    <n v="34730883"/>
    <n v="3022"/>
    <s v="162146"/>
    <s v="USIM MULTISIM MOVISTAR"/>
    <n v="1000"/>
    <n v="890"/>
    <n v="0.89"/>
    <s v="CELINDQUIAGE0241"/>
    <s v="CAV AE CELISTICS SAN LUIS SIMCARDS Y TARJETAS"/>
    <s v="1792161037001"/>
    <s v="QUITO"/>
    <s v="Indirecto"/>
    <x v="0"/>
    <x v="0"/>
    <n v="162146"/>
  </r>
  <r>
    <d v="2020-07-13T00:00:00"/>
    <n v="34730884"/>
    <n v="3022"/>
    <s v="162146"/>
    <s v="USIM MULTISIM MOVISTAR"/>
    <n v="500"/>
    <n v="445"/>
    <n v="0.89"/>
    <s v="CELINDQUIAGE0241"/>
    <s v="CAV AE CELISTICS SAN LUIS SIMCARDS Y TARJETAS"/>
    <s v="1792161037001"/>
    <s v="QUITO"/>
    <s v="Indirecto"/>
    <x v="0"/>
    <x v="0"/>
    <n v="162146"/>
  </r>
  <r>
    <d v="2020-07-13T00:00:00"/>
    <n v="34730885"/>
    <n v="2802"/>
    <s v="162090"/>
    <s v="CHIP PREPAGO $5 NUMERADO"/>
    <n v="1000"/>
    <n v="540"/>
    <n v="0.54"/>
    <s v="7NGYOTRO"/>
    <s v="CALLPHONE S.A. RETAIL"/>
    <s v="0992265671001"/>
    <s v="GUAYAQUIL"/>
    <s v="Retail"/>
    <x v="0"/>
    <x v="8"/>
    <n v="162090"/>
  </r>
  <r>
    <d v="2020-07-13T00:00:00"/>
    <n v="34730886"/>
    <n v="3022"/>
    <s v="162146"/>
    <s v="USIM MULTISIM MOVISTAR"/>
    <n v="50"/>
    <n v="44.5"/>
    <n v="0.89"/>
    <s v="COMNEGGUACOM3458"/>
    <s v="COMNETFOR SA"/>
    <s v="0993109762001"/>
    <s v="GUAYAQUIL"/>
    <s v="Indirecto"/>
    <x v="0"/>
    <x v="0"/>
    <n v="162146"/>
  </r>
  <r>
    <d v="2020-07-13T00:00:00"/>
    <n v="34730891"/>
    <n v="3022"/>
    <s v="162146"/>
    <s v="USIM MULTISIM MOVISTAR"/>
    <n v="500"/>
    <n v="445"/>
    <n v="0.89"/>
    <s v="CELINDQUIAGE0251"/>
    <s v="CAV AE CELISTICS RECREO SIMCARDS Y TARJETAS"/>
    <s v="1792161037001"/>
    <s v="QUITO"/>
    <s v="Indirecto"/>
    <x v="0"/>
    <x v="0"/>
    <n v="162146"/>
  </r>
  <r>
    <d v="2020-07-13T00:00:00"/>
    <n v="34730892"/>
    <n v="3022"/>
    <s v="162146"/>
    <s v="USIM MULTISIM MOVISTAR"/>
    <n v="100"/>
    <n v="89"/>
    <n v="0.89"/>
    <s v="GPQUOTRO"/>
    <s v="LUCERO OSORIO CECILIA CRISTINA"/>
    <s v="1715991228001"/>
    <s v="QUITO"/>
    <s v="Indirecto"/>
    <x v="0"/>
    <x v="0"/>
    <n v="162146"/>
  </r>
  <r>
    <d v="2020-07-13T00:00:00"/>
    <n v="34730895"/>
    <n v="3022"/>
    <s v="162146"/>
    <s v="USIM MULTISIM MOVISTAR"/>
    <n v="100"/>
    <n v="89"/>
    <n v="0.89"/>
    <s v="9MLTOTRO"/>
    <s v="NELLY FABIOLA ALVAREZ MURILLO"/>
    <s v="0501385595001"/>
    <s v="LATACUNGA"/>
    <s v="Indirecto"/>
    <x v="0"/>
    <x v="0"/>
    <n v="162146"/>
  </r>
  <r>
    <d v="2020-07-13T00:00:00"/>
    <n v="34730896"/>
    <n v="2802"/>
    <s v="162090"/>
    <s v="CHIP PREPAGO $5 NUMERADO"/>
    <n v="250"/>
    <n v="135"/>
    <n v="0.54"/>
    <s v="MHCUOTRO"/>
    <s v="MOVIPHONE (RETAIL)"/>
    <s v="0391007160001"/>
    <s v="AZOGUES"/>
    <s v="Retail"/>
    <x v="0"/>
    <x v="8"/>
    <n v="162090"/>
  </r>
  <r>
    <d v="2020-07-13T00:00:00"/>
    <n v="34730879"/>
    <n v="2400"/>
    <s v="113950"/>
    <s v="Usim Tuenti Prepago Celofán Numerada $ 5.00"/>
    <n v="350"/>
    <n v="276.5"/>
    <n v="0.79"/>
    <s v="NORZONESMNOR9358"/>
    <s v="NORPHONE TUENTI ESMERALDAS"/>
    <s v="1091717898001"/>
    <s v="ESMERALDAS"/>
    <s v="Indirecto"/>
    <x v="0"/>
    <x v="3"/>
    <n v="113950"/>
  </r>
  <r>
    <d v="2020-07-13T00:00:00"/>
    <n v="34730887"/>
    <n v="2396"/>
    <s v="113950"/>
    <s v="Usim Tuenti Prepago Blíster Numerada $ 5.00"/>
    <n v="500"/>
    <n v="545"/>
    <n v="1.09"/>
    <s v="4ULROTRO"/>
    <s v="ANDREA CECILIA ARIAS SALAZAR (TUENTI - QUEVEDO)"/>
    <s v="1205871443001"/>
    <s v="QUEVEDO"/>
    <s v="Indirecto"/>
    <x v="0"/>
    <x v="12"/>
    <n v="113950"/>
  </r>
  <r>
    <d v="2020-07-13T00:00:00"/>
    <n v="34730893"/>
    <n v="1807"/>
    <s v="84948"/>
    <s v="USIM PREPAGO TUENTI CELOFAN NO NUMERADA PORTABILID"/>
    <n v="300"/>
    <n v="309"/>
    <n v="1.03"/>
    <s v="SMAINDGUASMA8778"/>
    <s v="SMART COMUNICATIONS TUENTI"/>
    <s v="0908941115001"/>
    <s v="GUAYAQUIL"/>
    <s v="Indirecto"/>
    <x v="0"/>
    <x v="5"/>
    <n v="84948"/>
  </r>
  <r>
    <d v="2020-07-13T00:00:00"/>
    <n v="34730894"/>
    <n v="3084"/>
    <s v="162142"/>
    <s v="Halfsim Tuenti Prepago Celofán Numerada $ 5.00"/>
    <n v="1000"/>
    <n v="570"/>
    <n v="0.57"/>
    <s v="DUORETGUADUO3078"/>
    <s v="DUOCELL S.A.(TUENTI)"/>
    <s v="0992664673001"/>
    <s v="GUAYAQUIL"/>
    <s v="Retail"/>
    <x v="0"/>
    <x v="10"/>
    <n v="162142"/>
  </r>
  <r>
    <d v="2020-07-14T00:00:00"/>
    <n v="34730922"/>
    <n v="3022"/>
    <s v="162146"/>
    <s v="USIM MULTISIM MOVISTAR"/>
    <n v="8"/>
    <n v="7.12"/>
    <n v="0.89"/>
    <s v="N/A"/>
    <s v="GACELA DELIVERY"/>
    <s v="992970545001"/>
    <s v="GUAYAQUIL"/>
    <s v="Cliente Final"/>
    <x v="0"/>
    <x v="0"/>
    <n v="162146"/>
  </r>
  <r>
    <d v="2020-07-14T00:00:00"/>
    <n v="34730923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14T00:00:00"/>
    <n v="34730924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4T00:00:00"/>
    <n v="34730925"/>
    <n v="3022"/>
    <s v="162146"/>
    <s v="USIM MULTISIM MOVISTAR"/>
    <n v="81"/>
    <n v="72.09"/>
    <n v="0.89"/>
    <s v="SINCODIGO"/>
    <s v="URBANO EXPRESS (TELEFONICA)"/>
    <s v="1791256115001"/>
    <s v="QUITO"/>
    <s v="Cliente Final"/>
    <x v="0"/>
    <x v="0"/>
    <n v="162146"/>
  </r>
  <r>
    <d v="2020-07-14T00:00:00"/>
    <n v="34730930"/>
    <n v="2804"/>
    <s v="162092"/>
    <s v="CHIP PREPAGO $3 NUMERADO"/>
    <n v="1000"/>
    <n v="540"/>
    <n v="0.54"/>
    <s v="DISZONGUADIS9320"/>
    <s v="DISTRIMARKET ZONIFICACION GUAYAQUIL"/>
    <s v="1792141850001"/>
    <s v="GUAYAQUIL"/>
    <s v="Indirecto"/>
    <x v="0"/>
    <x v="1"/>
    <n v="162092"/>
  </r>
  <r>
    <d v="2020-07-14T00:00:00"/>
    <n v="34730932"/>
    <n v="2804"/>
    <s v="162092"/>
    <s v="CHIP PREPAGO $3 NUMERADO"/>
    <n v="950"/>
    <n v="513"/>
    <n v="0.54"/>
    <s v="JNSDOTRO"/>
    <s v="DISTRIMARKET S.A. (STO. DOMINGO)"/>
    <s v="1792141850001"/>
    <s v="SANTO DOMINGO"/>
    <s v="Indirecto"/>
    <x v="0"/>
    <x v="1"/>
    <n v="162092"/>
  </r>
  <r>
    <d v="2020-07-14T00:00:00"/>
    <n v="34730938"/>
    <n v="2804"/>
    <s v="162092"/>
    <s v="CHIP PREPAGO $3 NUMERADO"/>
    <n v="3000"/>
    <n v="1620"/>
    <n v="0.54"/>
    <s v="SOLZONGUASOL2718"/>
    <s v="SOLUMOVECSA ZONIFICACION GUAYAQUIL"/>
    <s v="1792504015001"/>
    <s v="GUAYAQUIL"/>
    <s v="Indirecto"/>
    <x v="0"/>
    <x v="1"/>
    <n v="162092"/>
  </r>
  <r>
    <d v="2020-07-14T00:00:00"/>
    <n v="34730941"/>
    <n v="2804"/>
    <s v="162092"/>
    <s v="CHIP PREPAGO $3 NUMERADO"/>
    <n v="1000"/>
    <n v="540"/>
    <n v="0.54"/>
    <s v="MHAZOTRO"/>
    <s v="MOVIPHONE CIA. LTDA. (AZOGUES)"/>
    <s v="0391007160001"/>
    <s v="AZOGUES"/>
    <s v="Indirecto"/>
    <x v="0"/>
    <x v="1"/>
    <n v="162092"/>
  </r>
  <r>
    <d v="2020-07-14T00:00:00"/>
    <n v="34730942"/>
    <n v="2804"/>
    <s v="162092"/>
    <s v="CHIP PREPAGO $3 NUMERADO"/>
    <n v="250"/>
    <n v="135"/>
    <n v="0.54"/>
    <s v="DISZONQUIDIS9629"/>
    <s v="DISTRIMARKET ZONIFICACION QUITO"/>
    <s v="1792141850001"/>
    <s v="QUITO"/>
    <s v="Indirecto"/>
    <x v="0"/>
    <x v="1"/>
    <n v="162092"/>
  </r>
  <r>
    <d v="2020-07-14T00:00:00"/>
    <n v="34730943"/>
    <n v="3022"/>
    <s v="162146"/>
    <s v="USIM MULTISIM MOVISTAR"/>
    <n v="50"/>
    <n v="44.5"/>
    <n v="0.89"/>
    <s v="COMNEGQUICOM2960"/>
    <s v="COMERCIAL JP"/>
    <s v="1724684947001"/>
    <s v="QUITO"/>
    <s v="Indirecto"/>
    <x v="0"/>
    <x v="0"/>
    <n v="162146"/>
  </r>
  <r>
    <d v="2020-07-14T00:00:00"/>
    <n v="34730947"/>
    <n v="3022"/>
    <s v="162146"/>
    <s v="USIM MULTISIM MOVISTAR"/>
    <n v="175"/>
    <n v="155.75"/>
    <n v="0.89"/>
    <s v="SINCODIGO"/>
    <s v="URBANO EXPRESS (TELEFONICA)"/>
    <s v="1791256115001"/>
    <s v="QUITO"/>
    <s v="Cliente Final"/>
    <x v="0"/>
    <x v="0"/>
    <n v="162146"/>
  </r>
  <r>
    <d v="2020-07-14T00:00:00"/>
    <n v="34730948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14T00:00:00"/>
    <n v="34730949"/>
    <n v="3022"/>
    <s v="162146"/>
    <s v="USIM MULTISIM MOVISTAR"/>
    <n v="300"/>
    <n v="267"/>
    <n v="0.89"/>
    <s v="NTEINDQUICAV7400"/>
    <s v="CAVS AE NTEC EL PORTAL SIMCARDS"/>
    <s v="1792971322001"/>
    <s v="QUITO"/>
    <s v="Indirecto"/>
    <x v="0"/>
    <x v="0"/>
    <n v="162146"/>
  </r>
  <r>
    <d v="2020-07-14T00:00:00"/>
    <n v="34730950"/>
    <n v="3022"/>
    <s v="162146"/>
    <s v="USIM MULTISIM MOVISTAR"/>
    <n v="200"/>
    <n v="178"/>
    <n v="0.89"/>
    <s v="NTEINDMANMAL8238"/>
    <s v="MALL DEL PACIFICO NTEC SIMCARDS Y TARJETAS"/>
    <s v="1792971322001"/>
    <s v="MANTA"/>
    <s v="Indirecto"/>
    <x v="0"/>
    <x v="0"/>
    <n v="162146"/>
  </r>
  <r>
    <d v="2020-07-14T00:00:00"/>
    <n v="34730951"/>
    <n v="3022"/>
    <s v="162146"/>
    <s v="USIM MULTISIM MOVISTAR"/>
    <n v="100"/>
    <n v="89"/>
    <n v="0.89"/>
    <s v="NTEINDESMNTE5646"/>
    <s v="NTEC ESMERALDAS"/>
    <s v="1792971322001 "/>
    <s v="ESMERALDAS"/>
    <s v="Indirecto"/>
    <x v="0"/>
    <x v="0"/>
    <n v="162146"/>
  </r>
  <r>
    <d v="2020-07-14T00:00:00"/>
    <n v="34730952"/>
    <n v="3022"/>
    <s v="162146"/>
    <s v="USIM MULTISIM MOVISTAR"/>
    <n v="14"/>
    <n v="12.46"/>
    <n v="0.89"/>
    <s v="N/A"/>
    <s v="GACELA DELIVERY"/>
    <s v="992970545001"/>
    <s v="GUAYAQUIL"/>
    <s v="Cliente Final"/>
    <x v="0"/>
    <x v="0"/>
    <n v="162146"/>
  </r>
  <r>
    <d v="2020-07-14T00:00:00"/>
    <n v="34730956"/>
    <n v="3022"/>
    <s v="162146"/>
    <s v="USIM MULTISIM MOVISTAR"/>
    <n v="200"/>
    <n v="178"/>
    <n v="0.89"/>
    <s v="NORINDQUINOR8198"/>
    <s v="NORPHONE CAVS DAS TUMBACO SIMCARDS Y TARJETAS"/>
    <s v="1091717898001"/>
    <s v="QUITO"/>
    <s v="Indirecto"/>
    <x v="0"/>
    <x v="0"/>
    <n v="162146"/>
  </r>
  <r>
    <d v="2020-07-14T00:00:00"/>
    <n v="34730958"/>
    <n v="3022"/>
    <s v="162146"/>
    <s v="USIM MULTISIM MOVISTAR"/>
    <n v="50"/>
    <n v="44.5"/>
    <n v="0.89"/>
    <s v="FLANEGGUAFLA9158"/>
    <s v="FLAVIO ERNESTO ZAVALA BALDEON"/>
    <s v="0915073555001"/>
    <s v="GUAYAQUIL"/>
    <s v="Indirecto"/>
    <x v="0"/>
    <x v="0"/>
    <n v="162146"/>
  </r>
  <r>
    <d v="2020-07-14T00:00:00"/>
    <n v="34730959"/>
    <n v="3022"/>
    <s v="162146"/>
    <s v="USIM MULTISIM MOVISTAR"/>
    <n v="50"/>
    <n v="44.5"/>
    <n v="0.89"/>
    <s v="CIANEGSANCIA8358"/>
    <s v="CIAVGROUP"/>
    <s v="0992989890001"/>
    <s v="GUAYAQUIL"/>
    <s v="Indirecto"/>
    <x v="0"/>
    <x v="0"/>
    <n v="162146"/>
  </r>
  <r>
    <d v="2020-07-14T00:00:00"/>
    <n v="34730961"/>
    <n v="3022"/>
    <s v="162146"/>
    <s v="USIM MULTISIM MOVISTAR"/>
    <n v="200"/>
    <n v="178"/>
    <n v="0.89"/>
    <s v="CDO"/>
    <s v="CAV 9 DE OCTUBRE"/>
    <s v="1791256115001"/>
    <s v="GUAYAQUIL"/>
    <s v="Directo"/>
    <x v="1"/>
    <x v="0"/>
    <n v="162146"/>
  </r>
  <r>
    <d v="2020-07-14T00:00:00"/>
    <n v="34730968"/>
    <n v="3022"/>
    <s v="162146"/>
    <s v="USIM MULTISIM MOVISTAR"/>
    <n v="200"/>
    <n v="178"/>
    <n v="0.89"/>
    <s v="BS"/>
    <s v="CAV SAN MARINO (GUAYAQUIL)"/>
    <s v="1791256115001"/>
    <s v="GUAYAQUIL"/>
    <s v="Directo"/>
    <x v="1"/>
    <x v="0"/>
    <n v="162146"/>
  </r>
  <r>
    <d v="2020-07-14T00:00:00"/>
    <n v="34730992"/>
    <n v="3022"/>
    <s v="162146"/>
    <s v="USIM MULTISIM MOVISTAR"/>
    <n v="200"/>
    <n v="178"/>
    <n v="0.89"/>
    <s v="MOVINDLOJCOM2818"/>
    <s v="COMERCIALIZADORA MOVIL PI-STORE C.L."/>
    <s v="0791789567001"/>
    <s v="LOJA"/>
    <s v="Indirecto"/>
    <x v="0"/>
    <x v="0"/>
    <n v="162146"/>
  </r>
  <r>
    <d v="2020-07-14T00:00:00"/>
    <n v="34730931"/>
    <n v="2400"/>
    <s v="113950"/>
    <s v="Usim Tuenti Prepago Celofán Numerada $ 5.00"/>
    <n v="200"/>
    <n v="158"/>
    <n v="0.79"/>
    <s v="DISINDSANDIS2858"/>
    <s v="DISTRIMARKET ZONIFICACION SANTO DOMINGO TUENTI"/>
    <s v="1792141850001"/>
    <s v="SANTO DOMINGO"/>
    <s v="Indirecto"/>
    <x v="0"/>
    <x v="3"/>
    <n v="113950"/>
  </r>
  <r>
    <d v="2020-07-14T00:00:00"/>
    <n v="34730933"/>
    <n v="2400"/>
    <s v="113950"/>
    <s v="Usim Tuenti Prepago Celofán Numerada $ 5.00"/>
    <n v="400"/>
    <n v="316"/>
    <n v="0.79"/>
    <s v="DISINDIBADIS5478"/>
    <s v="DISTRIMARKET ZONIFICACION IMBABURA-TUENTI"/>
    <s v="1792141850001"/>
    <s v="IBARRA"/>
    <s v="Indirecto"/>
    <x v="0"/>
    <x v="3"/>
    <n v="113950"/>
  </r>
  <r>
    <d v="2020-07-14T00:00:00"/>
    <n v="34730934"/>
    <n v="2400"/>
    <s v="113950"/>
    <s v="Usim Tuenti Prepago Celofán Numerada $ 5.00"/>
    <n v="300"/>
    <n v="237"/>
    <n v="0.79"/>
    <s v="DESINDTULDIS5539"/>
    <s v="DISTRIMARKET ZONIFICACION CARCHI-TUENTI"/>
    <s v="1792141850001"/>
    <s v="tulcan "/>
    <s v="Indirecto"/>
    <x v="0"/>
    <x v="3"/>
    <n v="113950"/>
  </r>
  <r>
    <d v="2020-07-14T00:00:00"/>
    <n v="34730935"/>
    <n v="1807"/>
    <s v="84948"/>
    <s v="USIM PREPAGO TUENTI CELOFAN NO NUMERADA PORTABILID"/>
    <n v="200"/>
    <n v="206"/>
    <n v="1.03"/>
    <s v="4VGYOTRO"/>
    <s v="RAUL ANTONIO ALVAREZ JARAMILLO - GUAYAQUIL (TUENTI"/>
    <s v="0912181591001"/>
    <s v="GUAYAQUIL"/>
    <s v="Indirecto"/>
    <x v="0"/>
    <x v="5"/>
    <n v="84948"/>
  </r>
  <r>
    <d v="2020-07-14T00:00:00"/>
    <n v="34730935"/>
    <n v="2396"/>
    <s v="113950"/>
    <s v="Usim Tuenti Prepago Blíster Numerada $ 5.00"/>
    <n v="300"/>
    <n v="327"/>
    <n v="1.09"/>
    <s v="4VGYOTRO"/>
    <s v="RAUL ANTONIO ALVAREZ JARAMILLO - GUAYAQUIL (TUENTI"/>
    <s v="0912181591001"/>
    <s v="GUAYAQUIL"/>
    <s v="Indirecto"/>
    <x v="0"/>
    <x v="12"/>
    <n v="113950"/>
  </r>
  <r>
    <d v="2020-07-14T00:00:00"/>
    <n v="34730936"/>
    <n v="1807"/>
    <s v="84948"/>
    <s v="USIM PREPAGO TUENTI CELOFAN NO NUMERADA PORTABILID"/>
    <n v="200"/>
    <n v="206"/>
    <n v="1.03"/>
    <s v="DARINDCUEDAR2958"/>
    <s v="DARDO CORP - XAVIER DAVID LEON CARRION (TUENTI)"/>
    <s v="0102777984001"/>
    <s v="CUENCA"/>
    <s v="Indirecto"/>
    <x v="0"/>
    <x v="5"/>
    <n v="84948"/>
  </r>
  <r>
    <d v="2020-07-14T00:00:00"/>
    <n v="34730937"/>
    <n v="1807"/>
    <s v="84948"/>
    <s v="USIM PREPAGO TUENTI CELOFAN NO NUMERADA PORTABILID"/>
    <n v="100"/>
    <n v="103"/>
    <n v="1.03"/>
    <s v="SAMINDMANSAM7280"/>
    <s v="SAMSEB MOBILE MANTA TUENTI"/>
    <s v="1313889774001"/>
    <s v="MANTA"/>
    <s v="Indirecto"/>
    <x v="0"/>
    <x v="5"/>
    <n v="84948"/>
  </r>
  <r>
    <d v="2020-07-14T00:00:00"/>
    <n v="34730937"/>
    <n v="2396"/>
    <s v="113950"/>
    <s v="Usim Tuenti Prepago Blíster Numerada $ 5.00"/>
    <n v="200"/>
    <n v="218"/>
    <n v="1.09"/>
    <s v="SAMINDMANSAM7280"/>
    <s v="SAMSEB MOBILE MANTA TUENTI"/>
    <s v="1313889774001"/>
    <s v="MANTA"/>
    <s v="Indirecto"/>
    <x v="0"/>
    <x v="12"/>
    <n v="113950"/>
  </r>
  <r>
    <d v="2020-07-14T00:00:00"/>
    <n v="34730939"/>
    <n v="1807"/>
    <s v="84948"/>
    <s v="USIM PREPAGO TUENTI CELOFAN NO NUMERADA PORTABILID"/>
    <n v="200"/>
    <n v="206"/>
    <n v="1.03"/>
    <s v="2GQUOTRO"/>
    <s v="PRILANTEC - UIO (TUENTI)"/>
    <s v="1792412501001"/>
    <s v="QUITO"/>
    <s v="Indirecto"/>
    <x v="0"/>
    <x v="5"/>
    <n v="84948"/>
  </r>
  <r>
    <d v="2020-07-14T00:00:00"/>
    <n v="34730939"/>
    <n v="2396"/>
    <s v="113950"/>
    <s v="Usim Tuenti Prepago Blíster Numerada $ 5.00"/>
    <n v="200"/>
    <n v="218"/>
    <n v="1.09"/>
    <s v="2GQUOTRO"/>
    <s v="PRILANTEC - UIO (TUENTI)"/>
    <s v="1792412501001"/>
    <s v="QUITO"/>
    <s v="Indirecto"/>
    <x v="0"/>
    <x v="12"/>
    <n v="113950"/>
  </r>
  <r>
    <d v="2020-07-14T00:00:00"/>
    <n v="34730940"/>
    <n v="2396"/>
    <s v="113950"/>
    <s v="Usim Tuenti Prepago Blíster Numerada $ 5.00"/>
    <n v="100"/>
    <n v="109"/>
    <n v="1.09"/>
    <s v="SOLINDMANSOL5978"/>
    <s v="SOL PARDO TUENTI"/>
    <s v="1308782679001"/>
    <s v="BAHIA DE CARAQUEZ"/>
    <s v="Indirecto"/>
    <x v="0"/>
    <x v="12"/>
    <n v="113950"/>
  </r>
  <r>
    <d v="2020-07-14T00:00:00"/>
    <n v="34730945"/>
    <n v="2400"/>
    <s v="113950"/>
    <s v="Usim Tuenti Prepago Celofán Numerada $ 5.00"/>
    <n v="1000"/>
    <n v="790"/>
    <n v="0.79"/>
    <s v="SOLZONLOJSOL4499"/>
    <s v="SOLUMOVECSA TUENTI-QUITO"/>
    <s v="1792504015001"/>
    <s v="QUITO"/>
    <s v="Indirecto"/>
    <x v="0"/>
    <x v="3"/>
    <n v="113950"/>
  </r>
  <r>
    <d v="2020-07-14T00:00:00"/>
    <n v="34730946"/>
    <n v="2400"/>
    <s v="113950"/>
    <s v="Usim Tuenti Prepago Celofán Numerada $ 5.00"/>
    <n v="3000"/>
    <n v="2370"/>
    <n v="0.79"/>
    <s v="SOLZONLOJSOL4478"/>
    <s v="SOLUMOVECSA TUENTI-GUAYAQUIL"/>
    <s v="1792504015001"/>
    <s v="GUAYAQUIL"/>
    <s v="Indirecto"/>
    <x v="0"/>
    <x v="3"/>
    <n v="113950"/>
  </r>
  <r>
    <d v="2020-07-14T00:00:00"/>
    <n v="34730953"/>
    <n v="2400"/>
    <s v="113950"/>
    <s v="Usim Tuenti Prepago Celofán Numerada $ 5.00"/>
    <n v="500"/>
    <n v="395"/>
    <n v="0.79"/>
    <s v="SOLZONPASZON4678"/>
    <s v="SOLUMOVECSA TUENTI-PUYO"/>
    <s v="1792504015001"/>
    <s v="PUYO"/>
    <s v="Indirecto"/>
    <x v="0"/>
    <x v="3"/>
    <n v="113950"/>
  </r>
  <r>
    <d v="2020-07-14T00:00:00"/>
    <n v="34730954"/>
    <n v="2400"/>
    <s v="113950"/>
    <s v="Usim Tuenti Prepago Celofán Numerada $ 5.00"/>
    <n v="600"/>
    <n v="474"/>
    <n v="0.79"/>
    <s v="SOLZONLOJSOL4480"/>
    <s v="SOLUMOVECSA TUENTI-LOJA"/>
    <s v="1792504015001"/>
    <s v="LOJA"/>
    <s v="Indirecto"/>
    <x v="0"/>
    <x v="3"/>
    <n v="113950"/>
  </r>
  <r>
    <d v="2020-07-14T00:00:00"/>
    <n v="34730955"/>
    <n v="2400"/>
    <s v="113950"/>
    <s v="Usim Tuenti Prepago Celofán Numerada $ 5.00"/>
    <n v="3000"/>
    <n v="2370"/>
    <n v="0.79"/>
    <s v="SOLZONLOJSOL4497"/>
    <s v="SOLUMOVECSA TUENTI-MANTA"/>
    <s v="1792504015001"/>
    <s v="MANTA"/>
    <s v="Indirecto"/>
    <x v="0"/>
    <x v="3"/>
    <n v="113950"/>
  </r>
  <r>
    <d v="2020-07-14T00:00:00"/>
    <n v="34730960"/>
    <n v="1807"/>
    <s v="84948"/>
    <s v="USIM PREPAGO TUENTI CELOFAN NO NUMERADA PORTABILID"/>
    <n v="100"/>
    <n v="103"/>
    <n v="1.03"/>
    <s v="NANINDMACNAN3598"/>
    <s v="DONNYS ROBERTO FEIJOO SALAZAR (NANOMAX) TUENTI"/>
    <s v="0703178723001"/>
    <s v="MACHALA"/>
    <s v="Indirecto"/>
    <x v="0"/>
    <x v="5"/>
    <n v="84948"/>
  </r>
  <r>
    <d v="2020-07-14T00:00:00"/>
    <n v="34730960"/>
    <n v="2396"/>
    <s v="113950"/>
    <s v="Usim Tuenti Prepago Blíster Numerada $ 5.00"/>
    <n v="100"/>
    <n v="109"/>
    <n v="1.09"/>
    <s v="NANINDMACNAN3598"/>
    <s v="DONNYS ROBERTO FEIJOO SALAZAR (NANOMAX) TUENTI"/>
    <s v="0703178723001"/>
    <s v="MACHALA"/>
    <s v="Indirecto"/>
    <x v="0"/>
    <x v="12"/>
    <n v="113950"/>
  </r>
  <r>
    <d v="2020-07-14T00:00:00"/>
    <n v="34730993"/>
    <n v="1807"/>
    <s v="84948"/>
    <s v="USIM PREPAGO TUENTI CELOFAN NO NUMERADA PORTABILID"/>
    <n v="200"/>
    <n v="206"/>
    <n v="1.03"/>
    <s v="9JIBOTRO"/>
    <s v="TRUJILLO MANOSALVAS EVELYN PAOLA (TUENTI)"/>
    <s v="0401360201001"/>
    <s v="IBARRA"/>
    <s v="Indirecto"/>
    <x v="0"/>
    <x v="5"/>
    <n v="84948"/>
  </r>
  <r>
    <d v="2020-07-14T00:00:00"/>
    <n v="34730993"/>
    <n v="2396"/>
    <s v="113950"/>
    <s v="Usim Tuenti Prepago Blíster Numerada $ 5.00"/>
    <n v="200"/>
    <n v="218"/>
    <n v="1.09"/>
    <s v="9JIBOTRO"/>
    <s v="TRUJILLO MANOSALVAS EVELYN PAOLA (TUENTI)"/>
    <s v="0401360201001"/>
    <s v="IBARRA"/>
    <s v="Indirecto"/>
    <x v="0"/>
    <x v="12"/>
    <n v="113950"/>
  </r>
  <r>
    <d v="2020-07-14T00:00:00"/>
    <n v="34730997"/>
    <n v="3084"/>
    <s v="162142"/>
    <s v="Halfsim Tuenti Prepago Celofán Numerada $ 5.00"/>
    <n v="1000"/>
    <n v="570"/>
    <n v="0.57"/>
    <s v="TVCZONGUATVC9498"/>
    <s v="TVCOBEC GYE TUENTI"/>
    <s v="0992961481001"/>
    <s v="GUAYAQUIL"/>
    <s v="Indirecto"/>
    <x v="0"/>
    <x v="10"/>
    <n v="162142"/>
  </r>
  <r>
    <d v="2020-07-15T00:00:00"/>
    <n v="34730998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15T00:00:00"/>
    <n v="34730999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15T00:00:00"/>
    <n v="34731000"/>
    <n v="3022"/>
    <s v="162146"/>
    <s v="USIM MULTISIM MOVISTAR"/>
    <n v="87"/>
    <n v="77.43000000000001"/>
    <n v="0.89"/>
    <s v="SINCODIGO"/>
    <s v="URBANO EXPRESS (TELEFONICA)"/>
    <s v="1791256115001"/>
    <s v="QUITO"/>
    <s v="Cliente Final"/>
    <x v="0"/>
    <x v="0"/>
    <n v="162146"/>
  </r>
  <r>
    <d v="2020-07-15T00:00:00"/>
    <n v="34731005"/>
    <n v="3022"/>
    <s v="162146"/>
    <s v="USIM MULTISIM MOVISTAR"/>
    <n v="400"/>
    <n v="356"/>
    <n v="0.89"/>
    <s v="NORINDQUICAV7304"/>
    <s v="CAVS AE NORPHONE EL CONDADO SIMCARDS"/>
    <s v="1091717898001"/>
    <s v="QUITO"/>
    <s v="Indirecto"/>
    <x v="0"/>
    <x v="0"/>
    <n v="162146"/>
  </r>
  <r>
    <d v="2020-07-15T00:00:00"/>
    <n v="34731006"/>
    <n v="3022"/>
    <s v="162146"/>
    <s v="USIM MULTISIM MOVISTAR"/>
    <n v="300"/>
    <n v="267"/>
    <n v="0.89"/>
    <s v="NORINDGUANOR9018"/>
    <s v="NORPHONE C.C. Riocentro Norte SIMCARDS"/>
    <s v="1091717898001"/>
    <s v="GUAYAQUIL"/>
    <s v="Indirecto"/>
    <x v="0"/>
    <x v="0"/>
    <n v="162146"/>
  </r>
  <r>
    <d v="2020-07-15T00:00:00"/>
    <n v="34731007"/>
    <n v="3022"/>
    <s v="162146"/>
    <s v="USIM MULTISIM MOVISTAR"/>
    <n v="300"/>
    <n v="267"/>
    <n v="0.89"/>
    <s v="NORINDRIONOR7340"/>
    <s v="NORPHONE CAVS DAS RIOBAMBA SIMCARDS"/>
    <s v="1091717898001"/>
    <s v="RIOBAMBA"/>
    <s v="Indirecto"/>
    <x v="0"/>
    <x v="0"/>
    <n v="162146"/>
  </r>
  <r>
    <d v="2020-07-15T00:00:00"/>
    <n v="34731008"/>
    <n v="3022"/>
    <s v="162146"/>
    <s v="USIM MULTISIM MOVISTAR"/>
    <n v="100"/>
    <n v="89"/>
    <n v="0.89"/>
    <s v="NPAMOTRO"/>
    <s v="NORPHONE AMBATO"/>
    <s v="1091717898001"/>
    <s v="AMBATO"/>
    <s v="Indirecto"/>
    <x v="0"/>
    <x v="0"/>
    <n v="162146"/>
  </r>
  <r>
    <d v="2020-07-15T00:00:00"/>
    <n v="34731009"/>
    <n v="3022"/>
    <s v="162146"/>
    <s v="USIM MULTISIM MOVISTAR"/>
    <n v="100"/>
    <n v="89"/>
    <n v="0.89"/>
    <s v="NORINDLATNOR5178"/>
    <s v="NORPHONE CAVS DAS LATACUNGA"/>
    <s v="1091717898001"/>
    <s v="LATACUNGA"/>
    <s v="Indirecto"/>
    <x v="0"/>
    <x v="0"/>
    <n v="162146"/>
  </r>
  <r>
    <d v="2020-07-15T00:00:00"/>
    <n v="34731010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15T00:00:00"/>
    <n v="34731011"/>
    <n v="2804"/>
    <s v="162092"/>
    <s v="CHIP PREPAGO $3 NUMERADO"/>
    <n v="1500"/>
    <n v="810"/>
    <n v="0.54"/>
    <s v="NPIBOTRO"/>
    <s v="NORPHONE CIA. LTDA. (IBARRA)"/>
    <s v="1091717898001"/>
    <s v="IBARRA"/>
    <s v="Indirecto"/>
    <x v="0"/>
    <x v="1"/>
    <n v="162092"/>
  </r>
  <r>
    <d v="2020-07-15T00:00:00"/>
    <n v="34731012"/>
    <n v="2804"/>
    <s v="162092"/>
    <s v="CHIP PREPAGO $3 NUMERADO"/>
    <n v="1000"/>
    <n v="540"/>
    <n v="0.54"/>
    <s v="NPAMOTRO"/>
    <s v="NORPHONE AMBATO"/>
    <s v="1091717898001"/>
    <s v="AMBATO"/>
    <s v="Indirecto"/>
    <x v="0"/>
    <x v="1"/>
    <n v="162092"/>
  </r>
  <r>
    <d v="2020-07-15T00:00:00"/>
    <n v="34731013"/>
    <n v="3022"/>
    <s v="162146"/>
    <s v="USIM MULTISIM MOVISTAR"/>
    <n v="100"/>
    <n v="89"/>
    <n v="0.89"/>
    <s v="N/A"/>
    <s v="NORPHONE TULCAN"/>
    <s v="1091717898001"/>
    <s v="TULCAN"/>
    <s v="Indirecto"/>
    <x v="0"/>
    <x v="0"/>
    <n v="162146"/>
  </r>
  <r>
    <d v="2020-07-15T00:00:00"/>
    <n v="34731014"/>
    <n v="2804"/>
    <s v="162092"/>
    <s v="CHIP PREPAGO $3 NUMERADO"/>
    <n v="3500"/>
    <n v="1890"/>
    <n v="0.54"/>
    <s v="NPQUOTRO"/>
    <s v="NORPHONE (QUITO)"/>
    <s v="1091717898001"/>
    <s v="QUITO"/>
    <s v="Indirecto"/>
    <x v="0"/>
    <x v="1"/>
    <n v="162092"/>
  </r>
  <r>
    <d v="2020-07-15T00:00:00"/>
    <n v="34731015"/>
    <n v="3022"/>
    <s v="162146"/>
    <s v="USIM MULTISIM MOVISTAR"/>
    <n v="200"/>
    <n v="178"/>
    <n v="0.89"/>
    <s v="OCOINDCUEOCO5878"/>
    <s v="OC OPTIMUSCELL CIA. LTDA. SIM CARDS Y TARJETAS"/>
    <s v="0190475409001"/>
    <s v="CUENCA"/>
    <s v="Indirecto"/>
    <x v="0"/>
    <x v="0"/>
    <n v="162146"/>
  </r>
  <r>
    <d v="2020-07-15T00:00:00"/>
    <n v="34731023"/>
    <n v="2801"/>
    <s v="162089"/>
    <s v="CHIP PREPAGO $5 AUTOSERVICIO"/>
    <n v="200"/>
    <n v="107"/>
    <n v="0.535"/>
    <s v="CHQUOTRO"/>
    <s v="FARMAENLACE CIA"/>
    <s v="1791984722001"/>
    <s v="QUITO"/>
    <s v="Retail"/>
    <x v="0"/>
    <x v="9"/>
    <n v="162089"/>
  </r>
  <r>
    <d v="2020-07-15T00:00:00"/>
    <n v="34731024"/>
    <n v="3022"/>
    <s v="162146"/>
    <s v="USIM MULTISIM MOVISTAR"/>
    <n v="306"/>
    <n v="272.34"/>
    <n v="0.89"/>
    <s v="SINCODIGO"/>
    <s v="URBANO EXPRESS (TELEFONICA)"/>
    <s v="1791256115001"/>
    <s v="QUITO"/>
    <s v="Cliente Final"/>
    <x v="0"/>
    <x v="0"/>
    <n v="162146"/>
  </r>
  <r>
    <d v="2020-07-15T00:00:00"/>
    <n v="34731025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5T00:00:00"/>
    <n v="34731026"/>
    <n v="3022"/>
    <s v="162146"/>
    <s v="USIM MULTISIM MOVISTAR"/>
    <n v="27"/>
    <n v="24.03"/>
    <n v="0.89"/>
    <s v="N/A"/>
    <s v="GACELA DELIVERY"/>
    <s v="992970545001"/>
    <s v="GUAYAQUIL"/>
    <s v="Cliente Final"/>
    <x v="0"/>
    <x v="0"/>
    <n v="162146"/>
  </r>
  <r>
    <d v="2020-07-15T00:00:00"/>
    <n v="34731027"/>
    <n v="3022"/>
    <s v="162146"/>
    <s v="USIM MULTISIM MOVISTAR"/>
    <n v="1"/>
    <n v="0.89"/>
    <n v="0.89"/>
    <s v="SINCODIGO"/>
    <s v="MOTORIZADO CELISTICS SIMCARDS"/>
    <s v="0000000000001"/>
    <s v="QUITO"/>
    <s v="Cliente Final"/>
    <x v="0"/>
    <x v="0"/>
    <n v="162146"/>
  </r>
  <r>
    <d v="2020-07-15T00:00:00"/>
    <n v="34731028"/>
    <n v="3022"/>
    <s v="162146"/>
    <s v="USIM MULTISIM MOVISTAR"/>
    <n v="4"/>
    <n v="3.56"/>
    <n v="0.89"/>
    <s v="N/A"/>
    <s v="MOVILCELISTICS"/>
    <s v="1792161037001"/>
    <s v="QUITO"/>
    <s v="Indirecto"/>
    <x v="0"/>
    <x v="0"/>
    <n v="162146"/>
  </r>
  <r>
    <d v="2020-07-15T00:00:00"/>
    <n v="34731004"/>
    <n v="2396"/>
    <s v="113950"/>
    <s v="Usim Tuenti Prepago Blíster Numerada $ 5.00"/>
    <n v="100"/>
    <n v="109"/>
    <n v="1.09"/>
    <s v="0SAMOTRO"/>
    <s v="EDISSON RAUL PARRA BARRERA TUENTI"/>
    <s v="1803673944001"/>
    <s v="AMBATO"/>
    <s v="Indirecto"/>
    <x v="0"/>
    <x v="12"/>
    <n v="113950"/>
  </r>
  <r>
    <d v="2020-07-15T00:00:00"/>
    <n v="34731016"/>
    <n v="1807"/>
    <s v="84948"/>
    <s v="USIM PREPAGO TUENTI CELOFAN NO NUMERADA PORTABILID"/>
    <n v="100"/>
    <n v="103"/>
    <n v="1.03"/>
    <s v="WININDSANWIN6637"/>
    <s v="Winners cell Tuenti"/>
    <s v="1720429685001"/>
    <s v="SANTO DOMINGO"/>
    <s v="Indirecto"/>
    <x v="0"/>
    <x v="5"/>
    <n v="84948"/>
  </r>
  <r>
    <d v="2020-07-15T00:00:00"/>
    <n v="34731016"/>
    <n v="2396"/>
    <s v="113950"/>
    <s v="Usim Tuenti Prepago Blíster Numerada $ 5.00"/>
    <n v="100"/>
    <n v="109"/>
    <n v="1.09"/>
    <s v="WININDSANWIN6637"/>
    <s v="Winners cell Tuenti"/>
    <s v="1720429685001"/>
    <s v="SANTO DOMINGO"/>
    <s v="Indirecto"/>
    <x v="0"/>
    <x v="12"/>
    <n v="113950"/>
  </r>
  <r>
    <d v="2020-07-15T00:00:00"/>
    <n v="34731017"/>
    <n v="1807"/>
    <s v="84948"/>
    <s v="USIM PREPAGO TUENTI CELOFAN NO NUMERADA PORTABILID"/>
    <n v="100"/>
    <n v="103"/>
    <n v="1.03"/>
    <s v="NATINDMACNAT5998"/>
    <s v="NATALY MATUTE TUENTI"/>
    <s v="0704053982001"/>
    <s v="MACHALA"/>
    <s v="Indirecto"/>
    <x v="0"/>
    <x v="5"/>
    <n v="84948"/>
  </r>
  <r>
    <d v="2020-07-15T00:00:00"/>
    <n v="34731017"/>
    <n v="2396"/>
    <s v="113950"/>
    <s v="Usim Tuenti Prepago Blíster Numerada $ 5.00"/>
    <n v="200"/>
    <n v="218"/>
    <n v="1.09"/>
    <s v="NATINDMACNAT5998"/>
    <s v="NATALY MATUTE TUENTI"/>
    <s v="0704053982001"/>
    <s v="MACHALA"/>
    <s v="Indirecto"/>
    <x v="0"/>
    <x v="12"/>
    <n v="113950"/>
  </r>
  <r>
    <d v="2020-07-15T00:00:00"/>
    <n v="34731022"/>
    <n v="3084"/>
    <s v="162142"/>
    <s v="Halfsim Tuenti Prepago Celofán Numerada $ 5.00"/>
    <n v="300"/>
    <n v="171"/>
    <n v="0.57"/>
    <s v="FBQUOTRO"/>
    <s v="FARMAENLANCE CIA.LTDA QUITO TUENTI"/>
    <s v="1791984722001"/>
    <s v="QUITO"/>
    <s v="Retail"/>
    <x v="0"/>
    <x v="10"/>
    <n v="162142"/>
  </r>
  <r>
    <d v="2020-07-16T00:00:00"/>
    <n v="34731030"/>
    <n v="3022"/>
    <s v="162146"/>
    <s v="USIM MULTISIM MOVISTAR"/>
    <n v="8"/>
    <n v="7.12"/>
    <n v="0.89"/>
    <s v="N/A"/>
    <s v="GACELA DELIVERY"/>
    <s v="992970545001"/>
    <s v="GUAYAQUIL"/>
    <s v="Cliente Final"/>
    <x v="0"/>
    <x v="0"/>
    <n v="162146"/>
  </r>
  <r>
    <d v="2020-07-16T00:00:00"/>
    <n v="34731031"/>
    <n v="3022"/>
    <s v="162146"/>
    <s v="USIM MULTISIM MOVISTAR"/>
    <n v="6"/>
    <n v="5.34"/>
    <n v="0.89"/>
    <s v="SINCODIGO"/>
    <s v="MOTORIZADO CELISTICS SIMCARDS"/>
    <s v="0000000000001"/>
    <s v="QUITO"/>
    <s v="Cliente Final"/>
    <x v="0"/>
    <x v="0"/>
    <n v="162146"/>
  </r>
  <r>
    <d v="2020-07-16T00:00:00"/>
    <n v="34731032"/>
    <n v="3022"/>
    <s v="162146"/>
    <s v="USIM MULTISIM MOVISTAR"/>
    <n v="87"/>
    <n v="77.43000000000001"/>
    <n v="0.89"/>
    <s v="SINCODIGO"/>
    <s v="URBANO EXPRESS (TELEFONICA)"/>
    <s v="1791256115001"/>
    <s v="QUITO"/>
    <s v="Cliente Final"/>
    <x v="0"/>
    <x v="0"/>
    <n v="162146"/>
  </r>
  <r>
    <d v="2020-07-16T00:00:00"/>
    <n v="34731033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16T00:00:00"/>
    <n v="34731037"/>
    <n v="3104"/>
    <s v="162146"/>
    <s v="USIM CHIP PREPAGO WIFI MOVIL $5 AUTOSERVICIO"/>
    <n v="1500"/>
    <n v="810"/>
    <n v="0.54"/>
    <s v="N/A"/>
    <s v="OTECEL ECOPARK"/>
    <s v="0992378786001"/>
    <s v="QUITO"/>
    <s v="Directo"/>
    <x v="1"/>
    <x v="21"/>
    <n v="162146"/>
  </r>
  <r>
    <d v="2020-07-16T00:00:00"/>
    <n v="34731039"/>
    <n v="3022"/>
    <s v="162146"/>
    <s v="USIM MULTISIM MOVISTAR"/>
    <n v="205"/>
    <n v="182.45"/>
    <n v="0.89"/>
    <s v="SINCODIGO"/>
    <s v="URBANO EXPRESS (TELEFONICA)"/>
    <s v="1791256115001"/>
    <s v="QUITO"/>
    <s v="Cliente Final"/>
    <x v="0"/>
    <x v="0"/>
    <n v="162146"/>
  </r>
  <r>
    <d v="2020-07-16T00:00:00"/>
    <n v="34731040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16T00:00:00"/>
    <n v="34731041"/>
    <n v="3022"/>
    <s v="162146"/>
    <s v="USIM MULTISIM MOVISTAR"/>
    <n v="100"/>
    <n v="89"/>
    <n v="0.89"/>
    <s v="N/A"/>
    <s v="SPEEDMOBILITY S. A."/>
    <s v="0993027049001"/>
    <s v="GUAYAQUIL"/>
    <s v="Indirecto"/>
    <x v="0"/>
    <x v="0"/>
    <n v="162146"/>
  </r>
  <r>
    <d v="2020-07-16T00:00:00"/>
    <n v="34731042"/>
    <n v="3022"/>
    <s v="162146"/>
    <s v="USIM MULTISIM MOVISTAR"/>
    <n v="100"/>
    <n v="89"/>
    <n v="0.89"/>
    <s v="8TQUOTRO"/>
    <s v="ROBERTO PATRICIO JARAMILLO ECHEVERRIA"/>
    <s v="1711940815001"/>
    <s v="QUITO"/>
    <s v="Indirecto"/>
    <x v="0"/>
    <x v="0"/>
    <n v="162146"/>
  </r>
  <r>
    <d v="2020-07-16T00:00:00"/>
    <n v="34731043"/>
    <n v="2804"/>
    <s v="162092"/>
    <s v="CHIP PREPAGO $3 NUMERADO"/>
    <n v="100"/>
    <n v="54"/>
    <n v="0.54"/>
    <s v="NTEINDPORCC8242"/>
    <s v="C.C. SHOPPING PORTOVIEJO NTEC SIMCARDS Y TARJETAS"/>
    <s v="1792971322001"/>
    <s v="PORTOVIEJO"/>
    <s v="Indirecto"/>
    <x v="0"/>
    <x v="1"/>
    <n v="162092"/>
  </r>
  <r>
    <d v="2020-07-16T00:00:00"/>
    <n v="34731044"/>
    <n v="3022"/>
    <s v="162146"/>
    <s v="USIM MULTISIM MOVISTAR"/>
    <n v="200"/>
    <n v="178"/>
    <n v="0.89"/>
    <s v="NORINDQUICAV7307"/>
    <s v="CAVS AE NORPHONE EL JARDIN SIMCARDS"/>
    <s v="1091717898001"/>
    <s v="QUITO"/>
    <s v="Indirecto"/>
    <x v="0"/>
    <x v="0"/>
    <n v="162146"/>
  </r>
  <r>
    <d v="2020-07-16T00:00:00"/>
    <n v="34731045"/>
    <n v="3022"/>
    <s v="162146"/>
    <s v="USIM MULTISIM MOVISTAR"/>
    <n v="50"/>
    <n v="44.5"/>
    <n v="0.89"/>
    <s v="SATNEGQUISAT5078"/>
    <s v="SATELITEDIRECT"/>
    <s v="1709252090001"/>
    <s v="QUITO"/>
    <s v="Indirecto"/>
    <x v="0"/>
    <x v="0"/>
    <n v="162146"/>
  </r>
  <r>
    <d v="2020-07-16T00:00:00"/>
    <n v="34731050"/>
    <n v="3022"/>
    <s v="162146"/>
    <s v="USIM MULTISIM MOVISTAR"/>
    <n v="18"/>
    <n v="16.02"/>
    <n v="0.89"/>
    <s v="N/A"/>
    <s v="GACELA DELIVERY"/>
    <s v="992970545001"/>
    <s v="GUAYAQUIL"/>
    <s v="Cliente Final"/>
    <x v="0"/>
    <x v="0"/>
    <n v="162146"/>
  </r>
  <r>
    <d v="2020-07-16T00:00:00"/>
    <n v="34731052"/>
    <n v="3022"/>
    <s v="162146"/>
    <s v="USIM MULTISIM MOVISTAR"/>
    <n v="50"/>
    <n v="44.5"/>
    <n v="0.89"/>
    <s v=""/>
    <s v="IBETH ELIANA MARTINEZ GUERRERO"/>
    <s v="1309654414001"/>
    <s v="QUITO"/>
    <s v="Indirecto"/>
    <x v="0"/>
    <x v="0"/>
    <n v="162146"/>
  </r>
  <r>
    <d v="2020-07-16T00:00:00"/>
    <n v="34731053"/>
    <n v="3022"/>
    <s v="162146"/>
    <s v="USIM MULTISIM MOVISTAR"/>
    <n v="50"/>
    <n v="44.5"/>
    <n v="0.89"/>
    <s v="CGMNEGLATCGM2458"/>
    <s v="CARLOS ALBERTO GALARZA VALDIVIESO"/>
    <s v="1711523389001"/>
    <s v="AMBATO"/>
    <s v="Indirecto"/>
    <x v="0"/>
    <x v="0"/>
    <n v="162146"/>
  </r>
  <r>
    <d v="2020-07-16T00:00:00"/>
    <n v="34731054"/>
    <n v="3022"/>
    <s v="162146"/>
    <s v="USIM MULTISIM MOVISTAR"/>
    <n v="100"/>
    <n v="89"/>
    <n v="0.89"/>
    <s v="RMCNEGQUIRMC5500"/>
    <s v="RM Comunicaciones "/>
    <s v="1715966204001"/>
    <s v="QUITO"/>
    <s v="Indirecto"/>
    <x v="0"/>
    <x v="0"/>
    <n v="162146"/>
  </r>
  <r>
    <d v="2020-07-16T00:00:00"/>
    <n v="34731046"/>
    <n v="1807"/>
    <s v="84948"/>
    <s v="USIM PREPAGO TUENTI CELOFAN NO NUMERADA PORTABILID"/>
    <n v="150"/>
    <n v="154.5"/>
    <n v="1.03"/>
    <s v="2GQUOTRO"/>
    <s v="PRILANTEC - UIO (TUENTI)"/>
    <s v="1792412501001"/>
    <s v="QUITO"/>
    <s v="Indirecto"/>
    <x v="0"/>
    <x v="5"/>
    <n v="84948"/>
  </r>
  <r>
    <d v="2020-07-16T00:00:00"/>
    <n v="34731046"/>
    <n v="2396"/>
    <s v="113950"/>
    <s v="Usim Tuenti Prepago Blíster Numerada $ 5.00"/>
    <n v="100"/>
    <n v="109"/>
    <n v="1.09"/>
    <s v="2GQUOTRO"/>
    <s v="PRILANTEC - UIO (TUENTI)"/>
    <s v="1792412501001"/>
    <s v="QUITO"/>
    <s v="Indirecto"/>
    <x v="0"/>
    <x v="12"/>
    <n v="113950"/>
  </r>
  <r>
    <d v="2020-07-16T00:00:00"/>
    <n v="34731047"/>
    <n v="3084"/>
    <s v="162142"/>
    <s v="Halfsim Tuenti Prepago Celofán Numerada $ 5.00"/>
    <n v="2000"/>
    <n v="1140"/>
    <n v="0.57"/>
    <s v="1EAZOTRO"/>
    <s v="MERCAMOVIL  CIA.LTDA (TUENTI)"/>
    <s v="0190372820001"/>
    <s v="AZOGUES"/>
    <s v="Indirecto"/>
    <x v="0"/>
    <x v="10"/>
    <n v="162142"/>
  </r>
  <r>
    <d v="2020-07-16T00:00:00"/>
    <n v="34731049"/>
    <n v="1807"/>
    <s v="84948"/>
    <s v="USIM PREPAGO TUENTI CELOFAN NO NUMERADA PORTABILID"/>
    <n v="100"/>
    <n v="103"/>
    <n v="1.03"/>
    <s v="ROBINDATAROB8460"/>
    <s v="Roberto Guerrero - Tuenti"/>
    <s v="0917818999001"/>
    <s v="ESMERALDAS"/>
    <s v="Indirecto"/>
    <x v="0"/>
    <x v="5"/>
    <n v="84948"/>
  </r>
  <r>
    <d v="2020-07-16T00:00:00"/>
    <n v="34731051"/>
    <n v="1807"/>
    <s v="84948"/>
    <s v="USIM PREPAGO TUENTI CELOFAN NO NUMERADA PORTABILID"/>
    <n v="100"/>
    <n v="103"/>
    <n v="1.03"/>
    <s v="0SAMOTRO"/>
    <s v="EDISSON RAUL PARRA BARRERA TUENTI"/>
    <s v="1803673944001"/>
    <s v="AMBATO"/>
    <s v="Indirecto"/>
    <x v="0"/>
    <x v="5"/>
    <n v="84948"/>
  </r>
  <r>
    <d v="2020-07-16T00:00:00"/>
    <n v="34731051"/>
    <n v="2396"/>
    <s v="113950"/>
    <s v="Usim Tuenti Prepago Blíster Numerada $ 5.00"/>
    <n v="250"/>
    <n v="272.5"/>
    <n v="1.09"/>
    <s v="0SAMOTRO"/>
    <s v="EDISSON RAUL PARRA BARRERA TUENTI"/>
    <s v="1803673944001"/>
    <s v="AMBATO"/>
    <s v="Indirecto"/>
    <x v="0"/>
    <x v="12"/>
    <n v="113950"/>
  </r>
  <r>
    <d v="2020-07-16T00:00:00"/>
    <n v="34731058"/>
    <n v="2396"/>
    <s v="113950"/>
    <s v="Usim Tuenti Prepago Blíster Numerada $ 5.00"/>
    <n v="300"/>
    <n v="327"/>
    <n v="1.09"/>
    <s v="GIAINDMANGIA5900"/>
    <s v="GIAN CARLO RODRIGUEZ (TUENTI-PORTOVIEJO)"/>
    <s v="1309177408001"/>
    <s v=" PORTOVIEJO"/>
    <s v="Indirecto"/>
    <x v="0"/>
    <x v="12"/>
    <n v="113950"/>
  </r>
  <r>
    <d v="2020-07-17T00:00:00"/>
    <n v="34731018"/>
    <n v="2801"/>
    <s v="162089"/>
    <s v="CHIP PREPAGO $5 AUTOSERVICIO"/>
    <n v="70"/>
    <n v="37.45"/>
    <n v="0.535"/>
    <s v="WUQUOTRO"/>
    <s v="ECONOFARM S.A.RETAIL"/>
    <s v="1791715772001"/>
    <s v="QUITO"/>
    <s v="Retail"/>
    <x v="0"/>
    <x v="9"/>
    <n v="162089"/>
  </r>
  <r>
    <d v="2020-07-17T00:00:00"/>
    <n v="34731019"/>
    <n v="2801"/>
    <s v="162089"/>
    <s v="CHIP PREPAGO $5 AUTOSERVICIO"/>
    <n v="11"/>
    <n v="5.885000000000001"/>
    <n v="0.535"/>
    <s v="4SQUOTRO"/>
    <s v="TIECONE S.A. (RETAIL)"/>
    <s v="1792239710001"/>
    <s v="QUITO"/>
    <s v="Retail"/>
    <x v="0"/>
    <x v="9"/>
    <n v="162089"/>
  </r>
  <r>
    <d v="2020-07-17T00:00:00"/>
    <n v="34731020"/>
    <n v="2801"/>
    <s v="162089"/>
    <s v="CHIP PREPAGO $5 AUTOSERVICIO"/>
    <n v="27"/>
    <n v="14.445"/>
    <n v="0.535"/>
    <s v="VWQUOTRO"/>
    <s v="FARCOMED S.A.RETAIL"/>
    <s v="1790710319001"/>
    <s v="QUITO"/>
    <s v="Retail"/>
    <x v="0"/>
    <x v="9"/>
    <n v="162089"/>
  </r>
  <r>
    <d v="2020-07-17T00:00:00"/>
    <n v="34731059"/>
    <n v="3022"/>
    <s v="162146"/>
    <s v="USIM MULTISIM MOVISTAR"/>
    <n v="9"/>
    <n v="8.01"/>
    <n v="0.89"/>
    <s v="N/A"/>
    <s v="GACELA DELIVERY"/>
    <s v="992970545001"/>
    <s v="GUAYAQUIL"/>
    <s v="Cliente Final"/>
    <x v="0"/>
    <x v="0"/>
    <n v="162146"/>
  </r>
  <r>
    <d v="2020-07-17T00:00:00"/>
    <n v="34731060"/>
    <n v="3022"/>
    <s v="162146"/>
    <s v="USIM MULTISIM MOVISTAR"/>
    <n v="10"/>
    <n v="8.9"/>
    <n v="0.89"/>
    <s v="SINCODIGO"/>
    <s v="MOTORIZADO CELISTICS SIMCARDS"/>
    <s v="0000000000001"/>
    <s v="QUITO"/>
    <s v="Cliente Final"/>
    <x v="0"/>
    <x v="0"/>
    <n v="162146"/>
  </r>
  <r>
    <d v="2020-07-17T00:00:00"/>
    <n v="34731061"/>
    <n v="3022"/>
    <s v="162146"/>
    <s v="USIM MULTISIM MOVISTAR"/>
    <n v="257"/>
    <n v="228.73"/>
    <n v="0.89"/>
    <s v="SINCODIGO"/>
    <s v="URBANO EXPRESS (TELEFONICA)"/>
    <s v="1791256115001"/>
    <s v="QUITO"/>
    <s v="Cliente Final"/>
    <x v="0"/>
    <x v="0"/>
    <n v="162146"/>
  </r>
  <r>
    <d v="2020-07-17T00:00:00"/>
    <n v="34731067"/>
    <n v="2761"/>
    <s v="162082"/>
    <s v="SIM KITE M2M 2FF STANDARD"/>
    <n v="6500"/>
    <n v="9490"/>
    <n v="1.46"/>
    <s v="VU"/>
    <s v="TIENDA VIRTUAL"/>
    <s v="1234567890"/>
    <s v="QUITO"/>
    <s v="Cliente Final"/>
    <x v="0"/>
    <x v="14"/>
    <n v="162082"/>
  </r>
  <r>
    <d v="2020-07-17T00:00:00"/>
    <n v="34731070"/>
    <n v="2804"/>
    <s v="162092"/>
    <s v="CHIP PREPAGO $3 NUMERADO"/>
    <n v="100"/>
    <n v="54"/>
    <n v="0.54"/>
    <s v="NTEINDMANMAL8238"/>
    <s v="MALL DEL PACIFICO NTEC SIMCARDS Y TARJETAS"/>
    <s v="1792971322001"/>
    <s v="MANTA"/>
    <s v="Indirecto"/>
    <x v="0"/>
    <x v="1"/>
    <n v="162092"/>
  </r>
  <r>
    <d v="2020-07-17T00:00:00"/>
    <n v="34731071"/>
    <n v="2804"/>
    <s v="162092"/>
    <s v="CHIP PREPAGO $3 NUMERADO"/>
    <n v="1500"/>
    <n v="810"/>
    <n v="0.54"/>
    <s v="NPQUOTRO"/>
    <s v="NORPHONE (QUITO)"/>
    <s v="1091717898001"/>
    <s v="QUITO"/>
    <s v="Indirecto"/>
    <x v="0"/>
    <x v="1"/>
    <n v="162092"/>
  </r>
  <r>
    <d v="2020-07-17T00:00:00"/>
    <n v="34731072"/>
    <n v="3022"/>
    <s v="162146"/>
    <s v="USIM MULTISIM MOVISTAR"/>
    <n v="100"/>
    <n v="89"/>
    <n v="0.89"/>
    <s v="MARNEGGUGAMGM4658"/>
    <s v="MGM - MARJORIE GOMEZ MORLA SIMCARDS"/>
    <s v="0503297871001"/>
    <s v="GUAYAQUIL"/>
    <s v="Indirecto"/>
    <x v="0"/>
    <x v="0"/>
    <n v="162146"/>
  </r>
  <r>
    <d v="2020-07-17T00:00:00"/>
    <n v="34731076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17T00:00:00"/>
    <n v="34731078"/>
    <n v="3022"/>
    <s v="162146"/>
    <s v="USIM MULTISIM MOVISTAR"/>
    <n v="100"/>
    <n v="89"/>
    <n v="0.89"/>
    <s v="SHENECQUISHE6398"/>
    <s v="SHENCOM"/>
    <s v="1719444026001"/>
    <s v="QUITO"/>
    <s v="Indirecto"/>
    <x v="0"/>
    <x v="0"/>
    <n v="162146"/>
  </r>
  <r>
    <d v="2020-07-17T00:00:00"/>
    <n v="34731080"/>
    <n v="3022"/>
    <s v="162146"/>
    <s v="USIM MULTISIM MOVISTAR"/>
    <n v="200"/>
    <n v="178"/>
    <n v="0.89"/>
    <s v="9PQUOTRO"/>
    <s v="JUANA EDITH DEL CARMEN ANDRANGO VACA"/>
    <s v="1707877161001"/>
    <s v="QUITO"/>
    <s v="Indirecto"/>
    <x v="0"/>
    <x v="0"/>
    <n v="162146"/>
  </r>
  <r>
    <d v="2020-07-17T00:00:00"/>
    <n v="34731081"/>
    <n v="2804"/>
    <s v="162092"/>
    <s v="CHIP PREPAGO $3 NUMERADO"/>
    <n v="5000"/>
    <n v="2700"/>
    <n v="0.54"/>
    <s v="6CQUOTRO"/>
    <s v="TECECAB S.A"/>
    <s v="1792306043001"/>
    <s v="QUITO"/>
    <s v="Indirecto"/>
    <x v="0"/>
    <x v="1"/>
    <n v="162092"/>
  </r>
  <r>
    <d v="2020-07-17T00:00:00"/>
    <n v="34731082"/>
    <n v="3022"/>
    <s v="162146"/>
    <s v="USIM MULTISIM MOVISTAR"/>
    <n v="250"/>
    <n v="222.5"/>
    <n v="0.89"/>
    <s v="YUEOOTRO"/>
    <s v="LUIS ENRIQUE ABAD RUIZ"/>
    <s v="0703759753001"/>
    <s v="ZARUMA"/>
    <s v="Indirecto"/>
    <x v="0"/>
    <x v="0"/>
    <n v="162146"/>
  </r>
  <r>
    <d v="2020-07-17T00:00:00"/>
    <n v="34731083"/>
    <n v="2804"/>
    <s v="162092"/>
    <s v="CHIP PREPAGO $3 NUMERADO"/>
    <n v="250"/>
    <n v="135"/>
    <n v="0.54"/>
    <s v="MOVINDMACMOV7478"/>
    <s v="MOVIPHONE EL ORO"/>
    <s v="0391007160001"/>
    <s v="AZOGUES"/>
    <s v="Indirecto"/>
    <x v="0"/>
    <x v="1"/>
    <n v="162092"/>
  </r>
  <r>
    <d v="2020-07-17T00:00:00"/>
    <n v="34731084"/>
    <n v="3022"/>
    <s v="162146"/>
    <s v="USIM MULTISIM MOVISTAR"/>
    <n v="100"/>
    <n v="89"/>
    <n v="0.89"/>
    <s v="N/A"/>
    <s v="SPEEDMOBILITY S. A."/>
    <s v="0993027049001"/>
    <s v="GUAYAQUIL"/>
    <s v="Indirecto"/>
    <x v="0"/>
    <x v="0"/>
    <n v="162146"/>
  </r>
  <r>
    <d v="2020-07-17T00:00:00"/>
    <n v="34731087"/>
    <n v="3022"/>
    <s v="162146"/>
    <s v="USIM MULTISIM MOVISTAR"/>
    <n v="190"/>
    <n v="169.1"/>
    <n v="0.89"/>
    <s v="SINCODIGO"/>
    <s v="URBANO EXPRESS (TELEFONICA)"/>
    <s v="1791256115001"/>
    <s v="QUITO"/>
    <s v="Cliente Final"/>
    <x v="0"/>
    <x v="0"/>
    <n v="162146"/>
  </r>
  <r>
    <d v="2020-07-17T00:00:00"/>
    <n v="34731089"/>
    <n v="3022"/>
    <s v="162146"/>
    <s v="USIM MULTISIM MOVISTAR"/>
    <n v="50"/>
    <n v="44.5"/>
    <n v="0.89"/>
    <s v="COMINDQUICOM5240"/>
    <s v="COMERCIAL SANTA MONICA"/>
    <s v="1705387510001"/>
    <s v="QUITO"/>
    <s v="Indirecto"/>
    <x v="0"/>
    <x v="0"/>
    <n v="162146"/>
  </r>
  <r>
    <d v="2020-07-17T00:00:00"/>
    <n v="34731090"/>
    <n v="3022"/>
    <s v="162146"/>
    <s v="USIM MULTISIM MOVISTAR"/>
    <n v="9"/>
    <n v="8.01"/>
    <n v="0.89"/>
    <s v="N/A"/>
    <s v="GACELA DELIVERY"/>
    <s v="992970545001"/>
    <s v="GUAYAQUIL"/>
    <s v="Cliente Final"/>
    <x v="0"/>
    <x v="0"/>
    <n v="162146"/>
  </r>
  <r>
    <d v="2020-07-17T00:00:00"/>
    <n v="34731092"/>
    <n v="3022"/>
    <s v="162146"/>
    <s v="USIM MULTISIM MOVISTAR"/>
    <n v="7"/>
    <n v="6.23"/>
    <n v="0.89"/>
    <s v="SINCODIGO"/>
    <s v="MOTORIZADO CELISTICS SIMCARDS"/>
    <s v="0000000000001"/>
    <s v="QUITO"/>
    <s v="Cliente Final"/>
    <x v="0"/>
    <x v="0"/>
    <n v="162146"/>
  </r>
  <r>
    <d v="2020-07-17T00:00:00"/>
    <n v="34731093"/>
    <n v="3022"/>
    <s v="162146"/>
    <s v="USIM MULTISIM MOVISTAR"/>
    <n v="100"/>
    <n v="89"/>
    <n v="0.89"/>
    <s v="JFDNEGCUEJFD1178"/>
    <s v="JF DISTRIBUCIONES"/>
    <s v="0102858545001"/>
    <s v="CUENCA"/>
    <s v="Indirecto"/>
    <x v="0"/>
    <x v="0"/>
    <n v="162146"/>
  </r>
  <r>
    <d v="2020-07-17T00:00:00"/>
    <n v="34731094"/>
    <n v="3022"/>
    <s v="162146"/>
    <s v="USIM MULTISIM MOVISTAR"/>
    <n v="50"/>
    <n v="44.5"/>
    <n v="0.89"/>
    <s v="PABNEGCUEPAB7078"/>
    <s v="PABLO MARCELO MOLINA CUENCA"/>
    <s v="0101773141001"/>
    <s v="CUENCA"/>
    <s v="Indirecto"/>
    <x v="0"/>
    <x v="0"/>
    <n v="162146"/>
  </r>
  <r>
    <d v="2020-07-17T00:00:00"/>
    <s v="34731021"/>
    <n v="3084"/>
    <s v="162142"/>
    <s v="Halfsim Tuenti Prepago Celofán Numerada $ 5.00"/>
    <n v="500"/>
    <n v="285"/>
    <n v="0.57"/>
    <s v="NZQUOTRO"/>
    <s v="TIENDAS INDUSTRIALES ASOCIADAS S.A. QUITO TUENTI"/>
    <s v="0990017514001"/>
    <s v="QUITO"/>
    <s v="Indirecto"/>
    <x v="0"/>
    <x v="10"/>
    <n v="162142"/>
  </r>
  <r>
    <d v="2020-07-17T00:00:00"/>
    <s v="34731069"/>
    <n v="2400"/>
    <s v="113950"/>
    <s v="Usim Tuenti Prepago Celofán Numerada $ 5.00"/>
    <n v="300"/>
    <n v="237"/>
    <n v="0.79"/>
    <s v="NORZONESMNOR9358"/>
    <s v="NORPHONE TUENTI ESMERALDAS"/>
    <s v="1091717898001"/>
    <s v="ESMERALDAS"/>
    <s v="Indirecto"/>
    <x v="0"/>
    <x v="3"/>
    <n v="113950"/>
  </r>
  <r>
    <d v="2020-07-17T00:00:00"/>
    <s v="34731073"/>
    <n v="1807"/>
    <s v="84948"/>
    <s v="USIM PREPAGO TUENTI CELOFAN NO NUMERADA PORTABILID"/>
    <n v="100"/>
    <n v="103"/>
    <n v="1.03"/>
    <s v="N/A"/>
    <s v="MUESMUERAN IMBAQUINGO MARIA LUPE (TUENTI)"/>
    <s v="1706498415001"/>
    <s v="QUITO"/>
    <s v="Indirecto"/>
    <x v="0"/>
    <x v="5"/>
    <n v="84948"/>
  </r>
  <r>
    <d v="2020-07-17T00:00:00"/>
    <s v="34731074"/>
    <n v="1807"/>
    <s v="84948"/>
    <s v="USIM PREPAGO TUENTI CELOFAN NO NUMERADA PORTABILID"/>
    <n v="100"/>
    <n v="103"/>
    <n v="1.03"/>
    <s v="N/A"/>
    <s v="PLUS4G TUENTI (LA LIBERTAD)"/>
    <s v="0992984074001"/>
    <s v="LA LIBERTAD"/>
    <s v="Indirecto"/>
    <x v="0"/>
    <x v="5"/>
    <n v="84948"/>
  </r>
  <r>
    <d v="2020-07-17T00:00:00"/>
    <s v="34731074"/>
    <n v="2396"/>
    <s v="113950"/>
    <s v="Usim Tuenti Prepago Blíster Numerada $ 5.00"/>
    <n v="250"/>
    <n v="272.5"/>
    <n v="1.09"/>
    <s v="N/A"/>
    <s v="PLUS4G TUENTI (LA LIBERTAD)"/>
    <s v="0992984074001"/>
    <s v="LA LIBERTAD"/>
    <s v="Indirecto"/>
    <x v="0"/>
    <x v="12"/>
    <n v="113950"/>
  </r>
  <r>
    <d v="2020-07-17T00:00:00"/>
    <s v="34731075"/>
    <n v="1807"/>
    <s v="84948"/>
    <s v="USIM PREPAGO TUENTI CELOFAN NO NUMERADA PORTABILID"/>
    <n v="101"/>
    <n v="104.03"/>
    <n v="1.03"/>
    <s v="N/A"/>
    <s v="PLUS4G TUENTI (GUAYAQUIL)"/>
    <s v="0992984074001"/>
    <s v="GUAYAQUIL"/>
    <s v="Indirecto"/>
    <x v="0"/>
    <x v="5"/>
    <n v="84948"/>
  </r>
  <r>
    <d v="2020-07-17T00:00:00"/>
    <s v="34731075"/>
    <n v="2396"/>
    <s v="113950"/>
    <s v="Usim Tuenti Prepago Blíster Numerada $ 5.00"/>
    <n v="386"/>
    <n v="420.74"/>
    <n v="1.09"/>
    <s v="N/A"/>
    <s v="PLUS4G TUENTI (GUAYAQUIL)"/>
    <s v="0992984074001"/>
    <s v="GUAYAQUIL"/>
    <s v="Indirecto"/>
    <x v="0"/>
    <x v="12"/>
    <n v="113950"/>
  </r>
  <r>
    <d v="2020-07-17T00:00:00"/>
    <s v="34731077"/>
    <n v="1807"/>
    <s v="84948"/>
    <s v="USIM PREPAGO TUENTI CELOFAN NO NUMERADA PORTABILID"/>
    <n v="200"/>
    <n v="206"/>
    <n v="1.03"/>
    <s v=""/>
    <s v="TARSISINVEST (TUENTI)"/>
    <s v="0992862459001"/>
    <s v="GUAYAQUIL"/>
    <s v="Indirecto"/>
    <x v="0"/>
    <x v="5"/>
    <n v="84948"/>
  </r>
  <r>
    <d v="2020-07-17T00:00:00"/>
    <s v="34731077"/>
    <n v="2396"/>
    <s v="113950"/>
    <s v="Usim Tuenti Prepago Blíster Numerada $ 5.00"/>
    <n v="500"/>
    <n v="545"/>
    <n v="1.09"/>
    <s v=""/>
    <s v="TARSISINVEST (TUENTI)"/>
    <s v="0992862459001"/>
    <s v="GUAYAQUIL"/>
    <s v="Indirecto"/>
    <x v="0"/>
    <x v="12"/>
    <n v="113950"/>
  </r>
  <r>
    <d v="2020-07-17T00:00:00"/>
    <s v="34731085"/>
    <n v="3084"/>
    <s v="162142"/>
    <s v="Halfsim Tuenti Prepago Celofán Numerada $ 5.00"/>
    <n v="167"/>
    <n v="95.19"/>
    <n v="0.57"/>
    <s v="2ZGYOTRO"/>
    <s v="GUETTAREQ GYE (TUENTI)"/>
    <s v="0992840234001"/>
    <s v="GUAYAQUIL"/>
    <s v="Indirecto"/>
    <x v="0"/>
    <x v="10"/>
    <n v="162142"/>
  </r>
  <r>
    <d v="2020-07-17T00:00:00"/>
    <s v="34731085"/>
    <n v="3092"/>
    <s v="162142"/>
    <s v="Halfsim Tuenti Prepago Celofán Numerada $10.00"/>
    <n v="25"/>
    <n v="13.5"/>
    <n v="0.54"/>
    <s v="2ZGYOTRO"/>
    <s v="GUETTAREQ GYE (TUENTI)"/>
    <s v="0992840234001"/>
    <s v="GUAYAQUIL"/>
    <s v="Indirecto"/>
    <x v="0"/>
    <x v="22"/>
    <n v="162142"/>
  </r>
  <r>
    <d v="2020-07-20T00:00:00"/>
    <n v="34731095"/>
    <n v="3022"/>
    <s v="162146"/>
    <s v="USIM MULTISIM MOVISTAR"/>
    <n v="28"/>
    <n v="24.92"/>
    <n v="0.89"/>
    <s v="N/A"/>
    <s v="GACELA DELIVERY"/>
    <s v="992970545001"/>
    <s v="GUAYAQUIL"/>
    <s v="Cliente Final"/>
    <x v="0"/>
    <x v="0"/>
    <n v="162146"/>
  </r>
  <r>
    <d v="2020-07-20T00:00:00"/>
    <n v="34731096"/>
    <n v="3022"/>
    <s v="162146"/>
    <s v="USIM MULTISIM MOVISTAR"/>
    <n v="6"/>
    <n v="5.34"/>
    <n v="0.89"/>
    <s v="SINCODIGO"/>
    <s v="MOTORIZADO CELISTICS SIMCARDS"/>
    <s v="0000000000001"/>
    <s v="QUITO"/>
    <s v="Cliente Final"/>
    <x v="0"/>
    <x v="0"/>
    <n v="162146"/>
  </r>
  <r>
    <d v="2020-07-20T00:00:00"/>
    <n v="34731098"/>
    <n v="3022"/>
    <s v="162146"/>
    <s v="USIM MULTISIM MOVISTAR"/>
    <n v="299"/>
    <n v="266.11"/>
    <n v="0.89"/>
    <s v="SINCODIGO"/>
    <s v="URBANO EXPRESS (TELEFONICA)"/>
    <s v="1791256115001"/>
    <s v="QUITO"/>
    <s v="Cliente Final"/>
    <x v="0"/>
    <x v="0"/>
    <n v="162146"/>
  </r>
  <r>
    <d v="2020-07-20T00:00:00"/>
    <n v="34731102"/>
    <n v="3022"/>
    <s v="162146"/>
    <s v="USIM MULTISIM MOVISTAR"/>
    <n v="50"/>
    <n v="44.5"/>
    <n v="0.89"/>
    <s v="IBSINDQUIIBS9500"/>
    <s v="IBS CORAL ISLA SANGOLQUI SIMCARDS"/>
    <s v="1792209242001"/>
    <s v="QUITO"/>
    <s v="Indirecto"/>
    <x v="0"/>
    <x v="0"/>
    <n v="162146"/>
  </r>
  <r>
    <d v="2020-07-20T00:00:00"/>
    <n v="34731107"/>
    <n v="3022"/>
    <s v="162146"/>
    <s v="USIM MULTISIM MOVISTAR"/>
    <n v="200"/>
    <n v="178"/>
    <n v="0.89"/>
    <s v="NLEOOTRO"/>
    <s v="DANICELL CIA LTDA"/>
    <s v="0791758629001"/>
    <s v="MACHALA"/>
    <s v="Indirecto"/>
    <x v="0"/>
    <x v="0"/>
    <n v="162146"/>
  </r>
  <r>
    <d v="2020-07-20T00:00:00"/>
    <n v="34731108"/>
    <n v="3022"/>
    <s v="162146"/>
    <s v="USIM MULTISIM MOVISTAR"/>
    <n v="50"/>
    <n v="44.5"/>
    <n v="0.89"/>
    <s v="W8QUOTRO"/>
    <s v="SANDRA VILLAFUERTE"/>
    <s v="1803216041001"/>
    <s v="QUITO"/>
    <s v="Indirecto"/>
    <x v="0"/>
    <x v="0"/>
    <n v="162146"/>
  </r>
  <r>
    <d v="2020-07-20T00:00:00"/>
    <n v="34731109"/>
    <n v="3022"/>
    <s v="162146"/>
    <s v="USIM MULTISIM MOVISTAR"/>
    <n v="200"/>
    <n v="178"/>
    <n v="0.89"/>
    <s v="TXEOOTRO"/>
    <s v="TELEMOVILEXSA (MACHALA)"/>
    <s v="0791725496001"/>
    <s v="MACHALA"/>
    <s v="Indirecto"/>
    <x v="0"/>
    <x v="0"/>
    <n v="162146"/>
  </r>
  <r>
    <d v="2020-07-20T00:00:00"/>
    <n v="34731110"/>
    <n v="2804"/>
    <s v="162092"/>
    <s v="CHIP PREPAGO $3 NUMERADO"/>
    <n v="500"/>
    <n v="270"/>
    <n v="0.54"/>
    <s v="MHAZOTRO"/>
    <s v="MOVIPHONE CIA. LTDA. (AZOGUES)"/>
    <s v="0391007160001"/>
    <s v="AZOGUES"/>
    <s v="Indirecto"/>
    <x v="0"/>
    <x v="1"/>
    <n v="162092"/>
  </r>
  <r>
    <d v="2020-07-20T00:00:00"/>
    <n v="34731111"/>
    <n v="2804"/>
    <s v="162092"/>
    <s v="CHIP PREPAGO $3 NUMERADO"/>
    <n v="250"/>
    <n v="135"/>
    <n v="0.54"/>
    <s v="MOVINDMACMOV7478"/>
    <s v="MOVIPHONE EL ORO"/>
    <s v="0391007160001"/>
    <s v="AZOGUES"/>
    <s v="Indirecto"/>
    <x v="0"/>
    <x v="1"/>
    <n v="162092"/>
  </r>
  <r>
    <d v="2020-07-20T00:00:00"/>
    <n v="34731112"/>
    <n v="2804"/>
    <s v="162092"/>
    <s v="CHIP PREPAGO $3 NUMERADO"/>
    <n v="1500"/>
    <n v="810"/>
    <n v="0.54"/>
    <s v="NPAMOTRO"/>
    <s v="NORPHONE AMBATO"/>
    <s v="1091717898001"/>
    <s v="AMBATO"/>
    <s v="Indirecto"/>
    <x v="0"/>
    <x v="1"/>
    <n v="162092"/>
  </r>
  <r>
    <d v="2020-07-20T00:00:00"/>
    <n v="34731113"/>
    <n v="2804"/>
    <s v="162092"/>
    <s v="CHIP PREPAGO $3 NUMERADO"/>
    <n v="4000"/>
    <n v="2160"/>
    <n v="0.54"/>
    <s v="NPQUOTRO"/>
    <s v="NORPHONE (QUITO)"/>
    <s v="1091717898001"/>
    <s v="QUITO"/>
    <s v="Indirecto"/>
    <x v="0"/>
    <x v="1"/>
    <n v="162092"/>
  </r>
  <r>
    <d v="2020-07-20T00:00:00"/>
    <n v="34731117"/>
    <n v="3022"/>
    <s v="162146"/>
    <s v="USIM MULTISIM MOVISTAR"/>
    <n v="87"/>
    <n v="77.43000000000001"/>
    <n v="0.89"/>
    <s v="SINCODIGO"/>
    <s v="URBANO EXPRESS (TELEFONICA)"/>
    <s v="1791256115001"/>
    <s v="QUITO"/>
    <s v="Cliente Final"/>
    <x v="0"/>
    <x v="0"/>
    <n v="162146"/>
  </r>
  <r>
    <d v="2020-07-20T00:00:00"/>
    <n v="34731117"/>
    <n v="2763"/>
    <s v="162084"/>
    <s v="SIM KITE M2M 3FF HIGH TEMP"/>
    <n v="10"/>
    <n v="14.5"/>
    <n v="1.45"/>
    <s v="SINCODIGO"/>
    <s v="URBANO EXPRESS (TELEFONICA)"/>
    <s v="1791256115001"/>
    <s v="QUITO"/>
    <s v="Cliente Final"/>
    <x v="0"/>
    <x v="6"/>
    <n v="162084"/>
  </r>
  <r>
    <d v="2020-07-20T00:00:00"/>
    <n v="34731118"/>
    <n v="3022"/>
    <s v="162146"/>
    <s v="USIM MULTISIM MOVISTAR"/>
    <n v="1000"/>
    <n v="890"/>
    <n v="0.89"/>
    <s v="CELINDAMBAGE0878"/>
    <s v="CAV AE CELISTICS MALL DEL LOS ANDES SIMCARDS"/>
    <s v="1792161037001"/>
    <s v="AMBATO"/>
    <s v="Indirecto"/>
    <x v="0"/>
    <x v="0"/>
    <n v="162146"/>
  </r>
  <r>
    <d v="2020-07-20T00:00:00"/>
    <n v="34731124"/>
    <n v="3022"/>
    <s v="162146"/>
    <s v="USIM MULTISIM MOVISTAR"/>
    <n v="4"/>
    <n v="3.56"/>
    <n v="0.89"/>
    <s v="SINCODIGO"/>
    <s v="URBANO EXPRESS (TELEFONICA)"/>
    <s v="1791256115001"/>
    <s v="QUITO"/>
    <s v="Cliente Final"/>
    <x v="0"/>
    <x v="0"/>
    <n v="162146"/>
  </r>
  <r>
    <d v="2020-07-20T00:00:00"/>
    <n v="34731125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20T00:00:00"/>
    <n v="34731127"/>
    <n v="2804"/>
    <s v="162092"/>
    <s v="CHIP PREPAGO $3 NUMERADO"/>
    <n v="1000"/>
    <n v="540"/>
    <n v="0.54"/>
    <s v="SOLZONMANSOL3200"/>
    <s v="SOLUMOVECSA ZONIFICACION MANABÍ"/>
    <s v="1792504015001"/>
    <s v="MANTA"/>
    <s v="Indirecto"/>
    <x v="0"/>
    <x v="1"/>
    <n v="162092"/>
  </r>
  <r>
    <d v="2020-07-20T00:00:00"/>
    <n v="34731128"/>
    <n v="2804"/>
    <s v="162092"/>
    <s v="CHIP PREPAGO $3 NUMERADO"/>
    <n v="500"/>
    <n v="270"/>
    <n v="0.54"/>
    <s v="MOVINDLOJMOV7480"/>
    <s v="MOVIPHONE LOJA Y ZAMORA"/>
    <s v="0391007160001"/>
    <s v="AZOGUES"/>
    <s v="Indirecto"/>
    <x v="0"/>
    <x v="1"/>
    <n v="162092"/>
  </r>
  <r>
    <d v="2020-07-20T00:00:00"/>
    <n v="34731129"/>
    <n v="3022"/>
    <s v="162146"/>
    <s v="USIM MULTISIM MOVISTAR"/>
    <n v="50"/>
    <n v="44.5"/>
    <n v="0.89"/>
    <s v="SYKNEGQUISYK0321"/>
    <s v="ESTEFANIA ALEJANDRA IPIALES VELA"/>
    <s v="1721767471001"/>
    <s v="QUITO"/>
    <s v="Indirecto"/>
    <x v="0"/>
    <x v="0"/>
    <n v="162146"/>
  </r>
  <r>
    <d v="2020-07-20T00:00:00"/>
    <n v="34731134"/>
    <n v="3022"/>
    <s v="162146"/>
    <s v="USIM MULTISIM MOVISTAR"/>
    <n v="200"/>
    <n v="178"/>
    <n v="0.89"/>
    <s v="LOONEGMANLOO7338"/>
    <s v="LOORSA COMUNICACIONES"/>
    <s v="0918571878001"/>
    <s v="GUAYAQUIL"/>
    <s v="Indirecto"/>
    <x v="0"/>
    <x v="0"/>
    <n v="162146"/>
  </r>
  <r>
    <d v="2020-07-20T00:00:00"/>
    <n v="34731135"/>
    <n v="3022"/>
    <s v="162146"/>
    <s v="USIM MULTISIM MOVISTAR"/>
    <n v="800"/>
    <n v="712"/>
    <n v="0.89"/>
    <s v="SININDGUASIN1499"/>
    <s v="SINERGIA CONTACT CENTER SINENTCONT S.A."/>
    <s v="0992937807001"/>
    <s v="GUAYAQUIL"/>
    <s v="Indirecto"/>
    <x v="0"/>
    <x v="0"/>
    <n v="162146"/>
  </r>
  <r>
    <d v="2020-07-20T00:00:00"/>
    <n v="34731136"/>
    <n v="3022"/>
    <s v="162146"/>
    <s v="USIM MULTISIM MOVISTAR"/>
    <n v="50"/>
    <n v="44.5"/>
    <n v="0.89"/>
    <s v="MRCNEGGUAMRC7298"/>
    <s v="MR. CAMBA"/>
    <s v="0914704051001"/>
    <s v="GUAYAQUIL"/>
    <s v="Indirecto"/>
    <x v="0"/>
    <x v="0"/>
    <n v="162146"/>
  </r>
  <r>
    <d v="2020-07-20T00:00:00"/>
    <n v="34731114"/>
    <n v="3084"/>
    <s v="162142"/>
    <s v="Halfsim Tuenti Prepago Celofán Numerada $ 5.00"/>
    <n v="2000"/>
    <n v="1140"/>
    <n v="0.57"/>
    <s v="ZJGYOTRO"/>
    <s v="TRANSFERUNION S.A. GUAYAQIL TUENTI"/>
    <s v="0991286403001"/>
    <s v="GUAYAQUIL"/>
    <s v="Indirecto"/>
    <x v="0"/>
    <x v="10"/>
    <n v="162142"/>
  </r>
  <r>
    <d v="2020-07-20T00:00:00"/>
    <n v="34731115"/>
    <n v="3084"/>
    <s v="162142"/>
    <s v="Halfsim Tuenti Prepago Celofán Numerada $ 5.00"/>
    <n v="100"/>
    <n v="56.99999999999999"/>
    <n v="0.57"/>
    <s v="DFQUOTRO"/>
    <s v="DISTRIBUIDORA FARMACEUTICA ECUATORIANA QUITO (TUEN"/>
    <s v="0990858322001"/>
    <s v="QUITO"/>
    <s v="Indirecto"/>
    <x v="0"/>
    <x v="10"/>
    <n v="162142"/>
  </r>
  <r>
    <d v="2020-07-20T00:00:00"/>
    <n v="34731115"/>
    <n v="3093"/>
    <s v="162142"/>
    <s v="Halfsim Tuenti Prepago Celofán Numerada $20.00"/>
    <n v="5"/>
    <n v="2.7"/>
    <n v="0.54"/>
    <s v="DFQUOTRO"/>
    <s v="DISTRIBUIDORA FARMACEUTICA ECUATORIANA QUITO (TUEN"/>
    <s v="0990858322001"/>
    <s v="QUITO"/>
    <s v="Indirecto"/>
    <x v="0"/>
    <x v="23"/>
    <n v="162142"/>
  </r>
  <r>
    <d v="2020-07-20T00:00:00"/>
    <n v="34731116"/>
    <n v="3084"/>
    <s v="162142"/>
    <s v="Halfsim Tuenti Prepago Celofán Numerada $ 5.00"/>
    <n v="1000"/>
    <n v="570"/>
    <n v="0.57"/>
    <s v="NWGYOTRO"/>
    <s v="DISTRIBUIDORA FARMACEUTICA ECUATORIANA GUAYAQUIL T"/>
    <s v="0990858322001"/>
    <s v="GUAYAQUIL"/>
    <s v="Indirecto"/>
    <x v="0"/>
    <x v="10"/>
    <n v="162142"/>
  </r>
  <r>
    <d v="2020-07-20T00:00:00"/>
    <n v="34731116"/>
    <n v="3092"/>
    <s v="162142"/>
    <s v="Halfsim Tuenti Prepago Celofán Numerada $10.00 "/>
    <n v="20"/>
    <n v="10.8"/>
    <n v="0.54"/>
    <s v="NWGYOTRO"/>
    <s v="DISTRIBUIDORA FARMACEUTICA ECUATORIANA GUAYAQUIL T"/>
    <s v="0990858322001"/>
    <s v="GUAYAQUIL"/>
    <s v="Indirecto"/>
    <x v="0"/>
    <x v="24"/>
    <n v="162142"/>
  </r>
  <r>
    <d v="2020-07-20T00:00:00"/>
    <n v="34731116"/>
    <n v="3093"/>
    <s v="162142"/>
    <s v="Halfsim Tuenti Prepago Celofán Numerada $20.00"/>
    <n v="30"/>
    <n v="16.2"/>
    <n v="0.54"/>
    <s v="NWGYOTRO"/>
    <s v="DISTRIBUIDORA FARMACEUTICA ECUATORIANA GUAYAQUIL T"/>
    <s v="0990858322001"/>
    <s v="GUAYAQUIL"/>
    <s v="Indirecto"/>
    <x v="0"/>
    <x v="23"/>
    <n v="162142"/>
  </r>
  <r>
    <d v="2020-07-20T00:00:00"/>
    <n v="34731119"/>
    <n v="2400"/>
    <s v="113950"/>
    <s v="Usim Tuenti Prepago Celofán Numerada $ 5.00"/>
    <n v="3000"/>
    <n v="2370"/>
    <n v="0.79"/>
    <s v="SOLZONLOJSOL4478"/>
    <s v="SOLUMOVECSA TUENTI-GUAYAQUIL"/>
    <s v="1792504015001"/>
    <s v="GUAYAQUIL"/>
    <s v="Indirecto"/>
    <x v="0"/>
    <x v="3"/>
    <n v="113950"/>
  </r>
  <r>
    <d v="2020-07-20T00:00:00"/>
    <n v="34731120"/>
    <n v="2400"/>
    <s v="113950"/>
    <s v="Usim Tuenti Prepago Celofán Numerada $ 5.00"/>
    <n v="2000"/>
    <n v="1580"/>
    <n v="0.79"/>
    <s v="SOLZONLOJSOL4497"/>
    <s v="SOLUMOVECSA TUENTI-MANTA"/>
    <s v="1792504015001"/>
    <s v="MANTA"/>
    <s v="Indirecto"/>
    <x v="0"/>
    <x v="3"/>
    <n v="113950"/>
  </r>
  <r>
    <d v="2020-07-20T00:00:00"/>
    <n v="34731121"/>
    <n v="2396"/>
    <s v="113950"/>
    <s v="Usim Tuenti Prepago Blíster Numerada $ 5.00"/>
    <n v="100"/>
    <n v="109"/>
    <n v="1.09"/>
    <s v="SOLINDMANSOL5978"/>
    <s v="SOL PARDO TUENTI"/>
    <s v="1308782679001"/>
    <s v="BAHIA DE CARAQUEZ"/>
    <s v="Indirecto"/>
    <x v="0"/>
    <x v="12"/>
    <n v="113950"/>
  </r>
  <r>
    <d v="2020-07-20T00:00:00"/>
    <n v="34731122"/>
    <n v="1807"/>
    <s v="84948"/>
    <s v="USIM PREPAGO TUENTI CELOFAN NO NUMERADA PORTABILID"/>
    <n v="200"/>
    <n v="206"/>
    <n v="1.03"/>
    <s v="WININDSANWIN6637"/>
    <s v="Winners cell Tuenti"/>
    <s v="1720429685001"/>
    <s v="SANTO DOMINGO"/>
    <s v="Indirecto"/>
    <x v="0"/>
    <x v="5"/>
    <n v="84948"/>
  </r>
  <r>
    <d v="2020-07-20T00:00:00"/>
    <n v="34731122"/>
    <n v="2396"/>
    <s v="113950"/>
    <s v="Usim Tuenti Prepago Blíster Numerada $ 5.00"/>
    <n v="200"/>
    <n v="218"/>
    <n v="1.09"/>
    <s v="WININDSANWIN6637"/>
    <s v="Winners cell Tuenti"/>
    <s v="1720429685001"/>
    <s v="SANTO DOMINGO"/>
    <s v="Indirecto"/>
    <x v="0"/>
    <x v="12"/>
    <n v="113950"/>
  </r>
  <r>
    <d v="2020-07-20T00:00:00"/>
    <n v="34731130"/>
    <n v="2396"/>
    <s v="113950"/>
    <s v="Usim Tuenti Prepago Blíster Numerada $ 5.00"/>
    <n v="100"/>
    <n v="109"/>
    <n v="1.09"/>
    <s v="NANINDMACNAN3598"/>
    <s v="DONNYS ROBERTO FEIJOO SALAZAR (NANOMAX) TUENTI"/>
    <s v="0703178723001"/>
    <s v="MACHALA"/>
    <s v="Indirecto"/>
    <x v="0"/>
    <x v="12"/>
    <n v="113950"/>
  </r>
  <r>
    <d v="2020-07-20T00:00:00"/>
    <n v="34731131"/>
    <n v="2396"/>
    <s v="113950"/>
    <s v="Usim Tuenti Prepago Blíster Numerada $ 5.00"/>
    <n v="600"/>
    <n v="654"/>
    <n v="1.09"/>
    <s v="6ZQUOTRO"/>
    <s v="KATYNA VALLADARES SALAZAR - TUENTI"/>
    <s v="1707929228001"/>
    <s v="QUITO"/>
    <s v="Indirecto"/>
    <x v="0"/>
    <x v="12"/>
    <n v="113950"/>
  </r>
  <r>
    <d v="2020-07-20T00:00:00"/>
    <n v="34731132"/>
    <n v="3084"/>
    <s v="162142"/>
    <s v="Halfsim Tuenti Prepago Celofán Numerada $ 5.00"/>
    <n v="2000"/>
    <n v="1140"/>
    <n v="0.57"/>
    <s v="DUORETGUADUO3078"/>
    <s v="DUOCELL S.A.(TUENTI)"/>
    <s v="0992664673001"/>
    <s v="GUAYAQUIL"/>
    <s v="Retail"/>
    <x v="0"/>
    <x v="10"/>
    <n v="162142"/>
  </r>
  <r>
    <d v="2020-07-20T00:00:00"/>
    <n v="34731133"/>
    <n v="1807"/>
    <s v="84948"/>
    <s v="USIM PREPAGO TUENTI CELOFAN NO NUMERADA PORTABILID"/>
    <n v="500"/>
    <n v="515"/>
    <n v="1.03"/>
    <s v="4ULROTRO"/>
    <s v="ANDREA CECILIA ARIAS SALAZAR (TUENTI - QUEVEDO)"/>
    <s v="1205871443001"/>
    <s v="QUEVEDO"/>
    <s v="Indirecto"/>
    <x v="0"/>
    <x v="5"/>
    <n v="84948"/>
  </r>
  <r>
    <d v="2020-07-21T00:00:00"/>
    <n v="34731160"/>
    <n v="3022"/>
    <s v="162146"/>
    <s v="USIM MULTISIM MOVISTAR"/>
    <n v="102"/>
    <n v="90.78"/>
    <n v="0.89"/>
    <s v="SINCODIGO"/>
    <s v="URBANO EXPRESS (TELEFONICA)"/>
    <s v="1791256115001"/>
    <s v="QUITO"/>
    <s v="Cliente Final"/>
    <x v="0"/>
    <x v="0"/>
    <n v="162146"/>
  </r>
  <r>
    <d v="2020-07-21T00:00:00"/>
    <n v="34731161"/>
    <n v="3022"/>
    <s v="162146"/>
    <s v="USIM MULTISIM MOVISTAR"/>
    <n v="22"/>
    <n v="19.58"/>
    <n v="0.89"/>
    <s v="SINCODIGO"/>
    <s v="MOTORIZADO CELISTICS SIMCARDS"/>
    <s v="0000000000001"/>
    <s v="QUITO"/>
    <s v="Cliente Final"/>
    <x v="0"/>
    <x v="0"/>
    <n v="162146"/>
  </r>
  <r>
    <d v="2020-07-21T00:00:00"/>
    <n v="34731165"/>
    <n v="2761"/>
    <s v="162082"/>
    <s v="SIM KITE M2M 2FF STANDARD"/>
    <n v="1500"/>
    <n v="2190"/>
    <n v="1.46"/>
    <s v="VU"/>
    <s v="TIENDA VIRTUAL"/>
    <s v="1234567890"/>
    <s v="QUITO"/>
    <s v="Cliente Final"/>
    <x v="0"/>
    <x v="14"/>
    <n v="162082"/>
  </r>
  <r>
    <d v="2020-07-21T00:00:00"/>
    <n v="34731167"/>
    <n v="2804"/>
    <s v="162092"/>
    <s v="CHIP PREPAGO $3 NUMERADO"/>
    <n v="100"/>
    <n v="54"/>
    <n v="0.54"/>
    <s v="NTEINDGUANTE8082"/>
    <s v="NTEC PLAYAS SIMCARDS Y TARJETAS"/>
    <s v="1792971322001"/>
    <s v="PLAYAS"/>
    <s v="Indirecto"/>
    <x v="0"/>
    <x v="1"/>
    <n v="162092"/>
  </r>
  <r>
    <d v="2020-07-21T00:00:00"/>
    <n v="34731168"/>
    <n v="2804"/>
    <s v="162092"/>
    <s v="CHIP PREPAGO $3 NUMERADO"/>
    <n v="100"/>
    <n v="54"/>
    <n v="0.54"/>
    <s v="NTEINDGUACCP9198"/>
    <s v="C.C. PASEO SHOPPING LIBERTAD (NTEC) SIMCARDS"/>
    <s v="1792971322001"/>
    <s v="LA LIBERTAD"/>
    <s v="Indirecto"/>
    <x v="0"/>
    <x v="1"/>
    <n v="162092"/>
  </r>
  <r>
    <d v="2020-07-21T00:00:00"/>
    <n v="34731169"/>
    <n v="3022"/>
    <s v="162146"/>
    <s v="USIM MULTISIM MOVISTAR"/>
    <n v="200"/>
    <n v="178"/>
    <n v="0.89"/>
    <s v="NTEINDMANCC8240"/>
    <s v="C.C.SHOPPING MANTA NTEC SIMCARDS Y TARJETAS"/>
    <s v="1792971322001"/>
    <s v="MANTA"/>
    <s v="Indirecto"/>
    <x v="0"/>
    <x v="0"/>
    <n v="162146"/>
  </r>
  <r>
    <d v="2020-07-21T00:00:00"/>
    <n v="34731170"/>
    <n v="3022"/>
    <s v="162146"/>
    <s v="USIM MULTISIM MOVISTAR"/>
    <n v="400"/>
    <n v="356"/>
    <n v="0.89"/>
    <s v="NTEINDSANNTE6518"/>
    <s v="NTEC SANTO DOMINGO SIM CARD Y TARJETAS"/>
    <s v="1792971322001 "/>
    <s v="SANTO DOMINGO"/>
    <s v="Indirecto"/>
    <x v="0"/>
    <x v="0"/>
    <n v="162146"/>
  </r>
  <r>
    <d v="2020-07-21T00:00:00"/>
    <n v="34731173"/>
    <n v="3022"/>
    <s v="162146"/>
    <s v="USIM MULTISIM MOVISTAR"/>
    <n v="50"/>
    <n v="44.5"/>
    <n v="0.89"/>
    <s v="9ICUOTRO"/>
    <s v="SERVICALLSUR"/>
    <s v="0190435938001"/>
    <s v="CUENCA"/>
    <s v="Indirecto"/>
    <x v="0"/>
    <x v="0"/>
    <n v="162146"/>
  </r>
  <r>
    <d v="2020-07-21T00:00:00"/>
    <n v="34731174"/>
    <n v="3022"/>
    <s v="162146"/>
    <s v="USIM MULTISIM MOVISTAR"/>
    <n v="400"/>
    <n v="356"/>
    <n v="0.89"/>
    <s v="HIGYOTRO"/>
    <s v="CESAR ROMERO (GUAYAQUIL)"/>
    <s v="1303164253001"/>
    <s v="GUAYAQUIL"/>
    <s v="Indirecto"/>
    <x v="0"/>
    <x v="0"/>
    <n v="162146"/>
  </r>
  <r>
    <d v="2020-07-21T00:00:00"/>
    <n v="34731175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21T00:00:00"/>
    <n v="34731177"/>
    <n v="3022"/>
    <s v="162146"/>
    <s v="USIM MULTISIM MOVISTAR"/>
    <n v="1000"/>
    <n v="890"/>
    <n v="0.89"/>
    <s v="CYQUOTRO"/>
    <s v="SERVICIOS CYBERCELL S.A. ( QUITO )"/>
    <s v="1791413962001"/>
    <s v="QUITO"/>
    <s v="Indirecto"/>
    <x v="0"/>
    <x v="0"/>
    <n v="162146"/>
  </r>
  <r>
    <d v="2020-07-21T00:00:00"/>
    <n v="34731178"/>
    <n v="3022"/>
    <s v="162146"/>
    <s v="USIM MULTISIM MOVISTAR"/>
    <n v="200"/>
    <n v="178"/>
    <n v="0.89"/>
    <s v="HILROTRO"/>
    <s v="CESAR ROMERO (QUEVEDO)"/>
    <s v="1303164253001"/>
    <s v="QUEVEDO"/>
    <s v="Indirecto"/>
    <x v="0"/>
    <x v="0"/>
    <n v="162146"/>
  </r>
  <r>
    <d v="2020-07-21T00:00:00"/>
    <n v="34731181"/>
    <n v="3022"/>
    <s v="162146"/>
    <s v="USIM MULTISIM MOVISTAR"/>
    <n v="219"/>
    <n v="194.91"/>
    <n v="0.89"/>
    <s v="SINCODIGO"/>
    <s v="URBANO EXPRESS (TELEFONICA)"/>
    <s v="1791256115001"/>
    <s v="QUITO"/>
    <s v="Cliente Final"/>
    <x v="0"/>
    <x v="0"/>
    <n v="162146"/>
  </r>
  <r>
    <d v="2020-07-21T00:00:00"/>
    <n v="34731182"/>
    <n v="3022"/>
    <s v="162146"/>
    <s v="USIM MULTISIM MOVISTAR"/>
    <n v="3"/>
    <n v="2.67"/>
    <n v="0.89"/>
    <s v="SINCODIGO"/>
    <s v="URBANO EXPRESS (TELEFONICA)"/>
    <s v="1791256115001"/>
    <s v="QUITO"/>
    <s v="Cliente Final"/>
    <x v="0"/>
    <x v="0"/>
    <n v="162146"/>
  </r>
  <r>
    <d v="2020-07-21T00:00:00"/>
    <n v="34731183"/>
    <n v="3022"/>
    <s v="162146"/>
    <s v="USIM MULTISIM MOVISTAR"/>
    <n v="19"/>
    <n v="16.91"/>
    <n v="0.89"/>
    <s v="SINCODIGO"/>
    <s v="MOTORIZADO CELISTICS SIMCARDS"/>
    <s v="0000000000001"/>
    <s v="QUITO"/>
    <s v="Cliente Final"/>
    <x v="0"/>
    <x v="0"/>
    <n v="162146"/>
  </r>
  <r>
    <d v="2020-07-21T00:00:00"/>
    <n v="34731186"/>
    <n v="3022"/>
    <s v="162146"/>
    <s v="USIM MULTISIM MOVISTAR"/>
    <n v="500"/>
    <n v="445"/>
    <n v="0.89"/>
    <s v="INTNEGQUIINT4358"/>
    <s v="INTELCOBRO SIMCARDS"/>
    <s v="1792917638001"/>
    <s v="QUITO"/>
    <s v="Indirecto"/>
    <x v="0"/>
    <x v="0"/>
    <n v="162146"/>
  </r>
  <r>
    <d v="2020-07-21T00:00:00"/>
    <n v="34731209"/>
    <n v="3022"/>
    <s v="162146"/>
    <s v="USIM MULTISIM MOVISTAR"/>
    <n v="100"/>
    <n v="89"/>
    <n v="0.89"/>
    <s v="CDO"/>
    <s v="CAV 9 DE OCTUBRE"/>
    <s v="1791256115001"/>
    <s v="GUAYAQUIL"/>
    <s v="Directo"/>
    <x v="1"/>
    <x v="0"/>
    <n v="162146"/>
  </r>
  <r>
    <d v="2020-07-21T00:00:00"/>
    <n v="34731210"/>
    <n v="3022"/>
    <s v="162146"/>
    <s v="USIM MULTISIM MOVISTAR"/>
    <n v="200"/>
    <n v="178"/>
    <n v="0.89"/>
    <s v="CCS"/>
    <s v="CAV CONDADO SHOPPING"/>
    <s v="1791256115001"/>
    <s v="QUITO"/>
    <s v="Directo"/>
    <x v="1"/>
    <x v="0"/>
    <n v="162146"/>
  </r>
  <r>
    <d v="2020-07-21T00:00:00"/>
    <n v="34731215"/>
    <n v="3022"/>
    <s v="162146"/>
    <s v="USIM MULTISIM MOVISTAR"/>
    <n v="200"/>
    <n v="178"/>
    <n v="0.89"/>
    <s v="QH"/>
    <s v="CAV QUICENTRO"/>
    <s v="1791256115001"/>
    <s v="QUITO"/>
    <s v="Directo"/>
    <x v="1"/>
    <x v="0"/>
    <n v="162146"/>
  </r>
  <r>
    <d v="2020-07-21T00:00:00"/>
    <n v="34731216"/>
    <n v="3022"/>
    <s v="162146"/>
    <s v="USIM MULTISIM MOVISTAR"/>
    <n v="300"/>
    <n v="267"/>
    <n v="0.89"/>
    <s v="BS"/>
    <s v="CAV SAN MARINO (GUAYAQUIL)"/>
    <s v="1791256115001"/>
    <s v="GUAYAQUIL"/>
    <s v="Directo"/>
    <x v="1"/>
    <x v="0"/>
    <n v="162146"/>
  </r>
  <r>
    <d v="2020-07-21T00:00:00"/>
    <n v="34731171"/>
    <n v="2396"/>
    <s v="113950"/>
    <s v="Usim Tuenti Prepago Blíster Numerada $ 5.00"/>
    <n v="100"/>
    <n v="109"/>
    <n v="1.09"/>
    <s v="2GQUOTRO"/>
    <s v="PRILANTEC - UIO (TUENTI)"/>
    <s v="1792412501001"/>
    <s v="QUITO"/>
    <s v="Indirecto"/>
    <x v="0"/>
    <x v="12"/>
    <n v="113950"/>
  </r>
  <r>
    <d v="2020-07-21T00:00:00"/>
    <n v="34731171"/>
    <n v="3114"/>
    <s v="162121"/>
    <s v="HALFSIM TUENTI CELOFAN PORTABILIDAD"/>
    <n v="200"/>
    <n v="108"/>
    <n v="0.54"/>
    <s v="2GQUOTRO"/>
    <s v="PRILANTEC - UIO (TUENTI)"/>
    <s v="1792412501001"/>
    <s v="QUITO"/>
    <s v="Indirecto"/>
    <x v="0"/>
    <x v="25"/>
    <n v="162121"/>
  </r>
  <r>
    <d v="2020-07-21T00:00:00"/>
    <n v="34731172"/>
    <n v="2396"/>
    <s v="113950"/>
    <s v="Usim Tuenti Prepago Blíster Numerada $ 5.00"/>
    <n v="100"/>
    <n v="109"/>
    <n v="1.09"/>
    <s v="DARINDCUEDAR2958"/>
    <s v="DARDO CORP - XAVIER DAVID LEON CARRION (TUENTI)"/>
    <s v="0102777984001"/>
    <s v="CUENCA"/>
    <s v="Indirecto"/>
    <x v="0"/>
    <x v="12"/>
    <n v="113950"/>
  </r>
  <r>
    <d v="2020-07-21T00:00:00"/>
    <n v="34731184"/>
    <n v="2416"/>
    <s v="113950"/>
    <s v="Usim Tuenti Prepago Celofán Numerada $5 SinSticker"/>
    <n v="300"/>
    <n v="237"/>
    <n v="0.79"/>
    <s v="EWOINDCHIEWO7278"/>
    <s v="EWOLF LUTION TUENTI"/>
    <s v="0923980858001"/>
    <s v="SANTO DOMINGO/CHIGUILPE"/>
    <s v="Indirecto"/>
    <x v="0"/>
    <x v="4"/>
    <n v="113950"/>
  </r>
  <r>
    <d v="2020-07-21T00:00:00"/>
    <n v="34731185"/>
    <n v="2416"/>
    <s v="113950"/>
    <s v="Usim Tuenti Prepago Celofán Numerada $5 SinSticker"/>
    <n v="400"/>
    <n v="316"/>
    <n v="0.79"/>
    <s v="4VGYOTRO"/>
    <s v="RAUL ANTONIO ALVAREZ JARAMILLO - GUAYAQUIL (TUENTI"/>
    <s v="0912181591001"/>
    <s v="GUAYAQUIL"/>
    <s v="Indirecto"/>
    <x v="0"/>
    <x v="4"/>
    <n v="113950"/>
  </r>
  <r>
    <d v="2020-07-21T00:00:00"/>
    <n v="34731185"/>
    <n v="3114"/>
    <s v="162121"/>
    <s v="HALFSIM TUENTI CELOFAN PORTABILIDAD"/>
    <n v="300"/>
    <n v="162"/>
    <n v="0.54"/>
    <s v="4VGYOTRO"/>
    <s v="RAUL ANTONIO ALVAREZ JARAMILLO - GUAYAQUIL (TUENTI"/>
    <s v="0912181591001"/>
    <s v="GUAYAQUIL"/>
    <s v="Indirecto"/>
    <x v="0"/>
    <x v="25"/>
    <n v="162121"/>
  </r>
  <r>
    <d v="2020-07-21T00:00:00"/>
    <n v="34731187"/>
    <n v="2396"/>
    <s v="113950"/>
    <s v="Usim Tuenti Prepago Blíster Numerada $ 5.00"/>
    <n v="300"/>
    <n v="327"/>
    <n v="1.09"/>
    <s v="9JIBOTRO"/>
    <s v="TRUJILLO MANOSALVAS EVELYN PAOLA (TUENTI)"/>
    <s v="0401360201001"/>
    <s v="IBARRA"/>
    <s v="Indirecto"/>
    <x v="0"/>
    <x v="12"/>
    <n v="113950"/>
  </r>
  <r>
    <d v="2020-07-21T00:00:00"/>
    <n v="34731187"/>
    <n v="3114"/>
    <s v="162121"/>
    <s v="HALFSIM TUENTI CELOFAN PORTABILIDAD"/>
    <n v="100"/>
    <n v="54"/>
    <n v="0.54"/>
    <s v="9JIBOTRO"/>
    <s v="TRUJILLO MANOSALVAS EVELYN PAOLA (TUENTI)"/>
    <s v="0401360201001"/>
    <s v="IBARRA"/>
    <s v="Indirecto"/>
    <x v="0"/>
    <x v="25"/>
    <n v="162121"/>
  </r>
  <r>
    <d v="2020-07-21T00:00:00"/>
    <n v="34731188"/>
    <n v="2396"/>
    <s v="113950"/>
    <s v="Usim Tuenti Prepago Blíster Numerada $ 5.00"/>
    <n v="200"/>
    <n v="218"/>
    <n v="1.09"/>
    <s v="NATINDMACNAT5998"/>
    <s v="NATALY MATUTE TUENTI"/>
    <s v="0704053982001"/>
    <s v="MACHALA"/>
    <s v="Indirecto"/>
    <x v="0"/>
    <x v="12"/>
    <n v="113950"/>
  </r>
  <r>
    <d v="2020-07-21T00:00:00"/>
    <n v="34731189"/>
    <n v="3084"/>
    <s v="162142"/>
    <s v="Halfsim Tuenti Prepago Celofán Numerada $ 5.00"/>
    <n v="2000"/>
    <n v="1140"/>
    <n v="0.57"/>
    <s v="1EAZOTRO"/>
    <s v="MERCAMOVIL  CIA.LTDA (TUENTI)"/>
    <s v="0190372820001"/>
    <s v="AZOGUES"/>
    <s v="Indirecto"/>
    <x v="0"/>
    <x v="10"/>
    <n v="162142"/>
  </r>
  <r>
    <d v="2020-07-21T00:00:00"/>
    <n v="34731190"/>
    <n v="3114"/>
    <s v="162121"/>
    <s v="HALFSIM TUENTI CELOFAN PORTABILIDAD"/>
    <n v="150"/>
    <n v="81"/>
    <n v="0.54"/>
    <s v="9KQUOTRO"/>
    <s v="LOPEZ RAMIREZ CARLOS PATRICIO (TUENTI)"/>
    <s v="1712771458001"/>
    <s v="QUITO"/>
    <s v="Indirecto"/>
    <x v="0"/>
    <x v="25"/>
    <n v="162121"/>
  </r>
  <r>
    <d v="2020-07-21T00:00:00"/>
    <n v="34731191"/>
    <n v="3114"/>
    <s v="162121"/>
    <s v="HALFSIM TUENTI CELOFAN PORTABILIDAD"/>
    <n v="800"/>
    <n v="432"/>
    <n v="0.54"/>
    <s v="6ZQUOTRO"/>
    <s v="KATYNA VALLADARES SALAZAR - TUENTI"/>
    <s v="1707929228001"/>
    <s v="QUITO"/>
    <s v="Indirecto"/>
    <x v="0"/>
    <x v="25"/>
    <n v="162121"/>
  </r>
  <r>
    <d v="2020-07-22T00:00:00"/>
    <n v="34731218"/>
    <n v="3022"/>
    <s v="162146"/>
    <s v="USIM MULTISIM MOVISTAR"/>
    <n v="97"/>
    <n v="86.33"/>
    <n v="0.89"/>
    <s v="SINCODIGO"/>
    <s v="URBANO EXPRESS (TELEFONICA)"/>
    <s v="1791256115001"/>
    <s v="QUITO"/>
    <s v="Cliente Final"/>
    <x v="0"/>
    <x v="0"/>
    <n v="162146"/>
  </r>
  <r>
    <d v="2020-07-22T00:00:00"/>
    <n v="34731218"/>
    <n v="1398"/>
    <s v="1534"/>
    <s v="SIMCARD M2M POSPAGO GEMALTO"/>
    <n v="11"/>
    <n v="18.37"/>
    <n v="1.67"/>
    <s v="SINCODIGO"/>
    <s v="URBANO EXPRESS (TELEFONICA)"/>
    <s v="1791256115001"/>
    <s v="QUITO"/>
    <s v="Cliente Final"/>
    <x v="0"/>
    <x v="26"/>
    <n v="1534"/>
  </r>
  <r>
    <d v="2020-07-22T00:00:00"/>
    <n v="34731219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22T00:00:00"/>
    <n v="34731220"/>
    <n v="3022"/>
    <s v="162146"/>
    <s v="USIM MULTISIM MOVISTAR"/>
    <n v="20"/>
    <n v="17.8"/>
    <n v="0.89"/>
    <s v="SIN CODIGO"/>
    <s v="TRAMACO"/>
    <s v="1792161037001"/>
    <s v="(en blanco)"/>
    <s v="Cliente Final"/>
    <x v="0"/>
    <x v="0"/>
    <n v="162146"/>
  </r>
  <r>
    <d v="2020-07-22T00:00:00"/>
    <n v="34731221"/>
    <n v="3022"/>
    <s v="162146"/>
    <s v="USIM MULTISIM MOVISTAR"/>
    <n v="16"/>
    <n v="14.24"/>
    <n v="0.89"/>
    <s v="SINCODIGO"/>
    <s v="MOTORIZADO CELISTICS SIMCARDS"/>
    <s v="0000000000001"/>
    <s v="QUITO"/>
    <s v="Cliente Final"/>
    <x v="0"/>
    <x v="0"/>
    <n v="162146"/>
  </r>
  <r>
    <d v="2020-07-22T00:00:00"/>
    <n v="34731223"/>
    <n v="3022"/>
    <s v="162146"/>
    <s v="USIM MULTISIM MOVISTAR"/>
    <n v="50"/>
    <n v="44.5"/>
    <n v="0.89"/>
    <s v="3SAMOTRO"/>
    <s v="MOVIGLOB FRED CASTILLO TELEFONICA C.L"/>
    <s v="1891761690001"/>
    <s v="AMBATO"/>
    <s v="Indirecto"/>
    <x v="0"/>
    <x v="0"/>
    <n v="162146"/>
  </r>
  <r>
    <d v="2020-07-22T00:00:00"/>
    <n v="34731224"/>
    <n v="2804"/>
    <s v="162092"/>
    <s v="CHIP PREPAGO $3 NUMERADO"/>
    <n v="500"/>
    <n v="270"/>
    <n v="0.54"/>
    <s v="JNSDOTRO"/>
    <s v="DISTRIMARKET S.A. (STO. DOMINGO)"/>
    <s v="1792141850001"/>
    <s v="SANTO DOMINGO"/>
    <s v="Indirecto"/>
    <x v="0"/>
    <x v="1"/>
    <n v="162092"/>
  </r>
  <r>
    <d v="2020-07-22T00:00:00"/>
    <n v="34731235"/>
    <n v="3022"/>
    <s v="162146"/>
    <s v="USIM MULTISIM MOVISTAR"/>
    <n v="100"/>
    <n v="89"/>
    <n v="0.89"/>
    <s v="COMNEGQUICOM2960"/>
    <s v="COMERCIAL JP"/>
    <s v="1724684947001"/>
    <s v="QUITO"/>
    <s v="Indirecto"/>
    <x v="0"/>
    <x v="0"/>
    <n v="162146"/>
  </r>
  <r>
    <d v="2020-07-22T00:00:00"/>
    <n v="34731236"/>
    <n v="3022"/>
    <s v="162146"/>
    <s v="USIM MULTISIM MOVISTAR"/>
    <n v="400"/>
    <n v="356"/>
    <n v="0.89"/>
    <s v="NORINDGUANOR9018"/>
    <s v="NORPHONE C.C. Riocentro Norte SIMCARDS"/>
    <s v="1091717898001"/>
    <s v="GUAYAQUIL"/>
    <s v="Indirecto"/>
    <x v="0"/>
    <x v="0"/>
    <n v="162146"/>
  </r>
  <r>
    <d v="2020-07-22T00:00:00"/>
    <n v="34731237"/>
    <n v="3022"/>
    <s v="162146"/>
    <s v="USIM MULTISIM MOVISTAR"/>
    <n v="300"/>
    <n v="267"/>
    <n v="0.89"/>
    <s v="NORINDRIONOR7340"/>
    <s v="NORPHONE CAVS DAS RIOBAMBA SIMCARDS"/>
    <s v="1091717898001"/>
    <s v="RIOBAMBA"/>
    <s v="Indirecto"/>
    <x v="0"/>
    <x v="0"/>
    <n v="162146"/>
  </r>
  <r>
    <d v="2020-07-22T00:00:00"/>
    <n v="34731238"/>
    <n v="3022"/>
    <s v="162146"/>
    <s v="USIM MULTISIM MOVISTAR"/>
    <n v="100"/>
    <n v="89"/>
    <n v="0.89"/>
    <s v="NPAMOTRO"/>
    <s v="NORPHONE AMBATO"/>
    <s v="1091717898001"/>
    <s v="AMBATO"/>
    <s v="Indirecto"/>
    <x v="0"/>
    <x v="0"/>
    <n v="162146"/>
  </r>
  <r>
    <d v="2020-07-22T00:00:00"/>
    <n v="34731239"/>
    <n v="3022"/>
    <s v="162146"/>
    <s v="USIM MULTISIM MOVISTAR"/>
    <n v="150"/>
    <n v="133.5"/>
    <n v="0.89"/>
    <s v="NPCYOTRO"/>
    <s v="NORPHONE (CAYAMBE)"/>
    <s v="1091717898001"/>
    <s v="CAYAMBE"/>
    <s v="Indirecto"/>
    <x v="0"/>
    <x v="0"/>
    <n v="162146"/>
  </r>
  <r>
    <d v="2020-07-22T00:00:00"/>
    <n v="34731240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22T00:00:00"/>
    <n v="34731242"/>
    <n v="2804"/>
    <s v="162092"/>
    <s v="CHIP PREPAGO $3 NUMERADO"/>
    <n v="200"/>
    <n v="108"/>
    <n v="0.54"/>
    <s v="HUNINDTENHOM9638"/>
    <s v="HOMENET MUNDOCELL"/>
    <s v="1500953045001"/>
    <s v="TENA"/>
    <s v="Indirecto"/>
    <x v="0"/>
    <x v="1"/>
    <n v="162092"/>
  </r>
  <r>
    <d v="2020-07-22T00:00:00"/>
    <n v="34731247"/>
    <n v="3022"/>
    <s v="162146"/>
    <s v="USIM MULTISIM MOVISTAR"/>
    <n v="171"/>
    <n v="152.19"/>
    <n v="0.89"/>
    <s v="SINCODIGO"/>
    <s v="URBANO EXPRESS (TELEFONICA)"/>
    <s v="1791256115001"/>
    <s v="QUITO"/>
    <s v="Cliente Final"/>
    <x v="0"/>
    <x v="0"/>
    <n v="162146"/>
  </r>
  <r>
    <d v="2020-07-22T00:00:00"/>
    <n v="34731258"/>
    <n v="2801"/>
    <s v="162089"/>
    <s v="CHIP PREPAGO $5 AUTOSERVICIO"/>
    <n v="200"/>
    <n v="107"/>
    <n v="0.535"/>
    <s v="CHQUOTRO"/>
    <s v="FARMAENLACE CIA"/>
    <s v="1791984722001"/>
    <s v="QUITO"/>
    <s v="Retail"/>
    <x v="0"/>
    <x v="9"/>
    <n v="162089"/>
  </r>
  <r>
    <d v="2020-07-22T00:00:00"/>
    <n v="34731259"/>
    <n v="2801"/>
    <s v="162089"/>
    <s v="CHIP PREPAGO $5 AUTOSERVICIO"/>
    <n v="700"/>
    <n v="374.5"/>
    <n v="0.535"/>
    <s v="NWGYOTRO"/>
    <s v="DIFARE S.A. (RETAIL)"/>
    <s v="0990858322001"/>
    <s v="GUAYAQUIL"/>
    <s v="Retail"/>
    <x v="0"/>
    <x v="9"/>
    <n v="162089"/>
  </r>
  <r>
    <d v="2020-07-22T00:00:00"/>
    <n v="34731260"/>
    <n v="2801"/>
    <s v="162089"/>
    <s v="CHIP PREPAGO $5 AUTOSERVICIO"/>
    <n v="500"/>
    <n v="267.5"/>
    <n v="0.535"/>
    <s v="NWQUOTRO"/>
    <s v="DIFARE RETAIL (QUITO)"/>
    <s v="0990858322001"/>
    <s v="QUITO"/>
    <s v="Retail"/>
    <x v="0"/>
    <x v="9"/>
    <n v="162089"/>
  </r>
  <r>
    <d v="2020-07-22T00:00:00"/>
    <n v="34731261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22T00:00:00"/>
    <n v="34731262"/>
    <n v="3022"/>
    <s v="162146"/>
    <s v="USIM MULTISIM MOVISTAR"/>
    <n v="40"/>
    <n v="35.6"/>
    <n v="0.89"/>
    <s v="SIN CODIGO"/>
    <s v="TRAMACO"/>
    <s v="1792161037001"/>
    <s v="(en blanco)"/>
    <s v="Cliente Final"/>
    <x v="0"/>
    <x v="0"/>
    <n v="162146"/>
  </r>
  <r>
    <d v="2020-07-22T00:00:00"/>
    <n v="34731263"/>
    <n v="3022"/>
    <s v="162146"/>
    <s v="USIM MULTISIM MOVISTAR"/>
    <n v="19"/>
    <n v="16.91"/>
    <n v="0.89"/>
    <s v="SINCODIGO"/>
    <s v="MOTORIZADO CELISTICS SIMCARDS"/>
    <s v="0000000000001"/>
    <s v="QUITO"/>
    <s v="Cliente Final"/>
    <x v="0"/>
    <x v="0"/>
    <n v="162146"/>
  </r>
  <r>
    <d v="2020-07-22T00:00:00"/>
    <n v="34731225"/>
    <n v="2400"/>
    <s v="113950"/>
    <s v="Usim Tuenti Prepago Celofán Numerada $ 5.00"/>
    <n v="300"/>
    <n v="237"/>
    <n v="0.79"/>
    <s v="DISINDIBADIS5478"/>
    <s v="DISTRIMARKET ZONIFICACION IMBABURA-TUENTI"/>
    <s v="1792141850001"/>
    <s v="IBARRA"/>
    <s v="Indirecto"/>
    <x v="0"/>
    <x v="3"/>
    <n v="113950"/>
  </r>
  <r>
    <d v="2020-07-22T00:00:00"/>
    <n v="34731226"/>
    <n v="2400"/>
    <s v="113950"/>
    <s v="Usim Tuenti Prepago Celofán Numerada $ 5.00"/>
    <n v="500"/>
    <n v="395"/>
    <n v="0.79"/>
    <s v="DISINDSANDIS2858"/>
    <s v="DISTRIMARKET ZONIFICACION SANTO DOMINGO TUENTI"/>
    <s v="1792141850001"/>
    <s v="SANTO DOMINGO"/>
    <s v="Indirecto"/>
    <x v="0"/>
    <x v="3"/>
    <n v="113950"/>
  </r>
  <r>
    <d v="2020-07-22T00:00:00"/>
    <n v="34731227"/>
    <n v="2400"/>
    <s v="113950"/>
    <s v="Usim Tuenti Prepago Celofán Numerada $ 5.00"/>
    <n v="1200"/>
    <n v="948"/>
    <n v="0.79"/>
    <s v="DISINDQUIUIO2978"/>
    <s v="DISTRIMARKET ZONIFICACION UIO TUENTI"/>
    <s v="1792141850001"/>
    <s v="QUITO"/>
    <s v="Indirecto"/>
    <x v="0"/>
    <x v="3"/>
    <n v="113950"/>
  </r>
  <r>
    <d v="2020-07-22T00:00:00"/>
    <n v="34731228"/>
    <n v="2416"/>
    <s v="113950"/>
    <s v="Usim Tuenti Prepago Celofán Numerada $5 SinSticker"/>
    <n v="200"/>
    <n v="158"/>
    <n v="0.79"/>
    <s v="GIAINDMANGIA5898"/>
    <s v="GIAN CARLO RODRIGUEZ (TUENTI-MANTA)"/>
    <s v="1309177408001"/>
    <s v="MANTA"/>
    <s v="Indirecto"/>
    <x v="0"/>
    <x v="4"/>
    <n v="113950"/>
  </r>
  <r>
    <d v="2020-07-22T00:00:00"/>
    <n v="34731229"/>
    <n v="2416"/>
    <s v="113950"/>
    <s v="Usim Tuenti Prepago Celofán Numerada $5 SinSticker"/>
    <n v="300"/>
    <n v="237"/>
    <n v="0.79"/>
    <s v="GIAINDMANGIA5900"/>
    <s v="GIAN CARLO RODRIGUEZ (TUENTI-PORTOVIEJO)"/>
    <s v="1309177408001"/>
    <s v=" PORTOVIEJO"/>
    <s v="Indirecto"/>
    <x v="0"/>
    <x v="4"/>
    <n v="113950"/>
  </r>
  <r>
    <d v="2020-07-22T00:00:00"/>
    <n v="34731230"/>
    <n v="2416"/>
    <s v="113950"/>
    <s v="Usim Tuenti Prepago Celofán Numerada $5 SinSticker"/>
    <n v="1500"/>
    <n v="1185"/>
    <n v="0.79"/>
    <s v=""/>
    <s v="TARSISINVEST (TUENTI)"/>
    <s v="0992862459001"/>
    <s v="GUAYAQUIL"/>
    <s v="Indirecto"/>
    <x v="0"/>
    <x v="4"/>
    <n v="113950"/>
  </r>
  <r>
    <d v="2020-07-22T00:00:00"/>
    <n v="34731230"/>
    <n v="3114"/>
    <s v="162121"/>
    <s v="HALFSIM TUENTI CELOFAN PORTABILIDAD"/>
    <n v="300"/>
    <n v="162"/>
    <n v="0.54"/>
    <s v=""/>
    <s v="TARSISINVEST (TUENTI)"/>
    <s v="0992862459001"/>
    <s v="GUAYAQUIL"/>
    <s v="Indirecto"/>
    <x v="0"/>
    <x v="25"/>
    <n v="162121"/>
  </r>
  <r>
    <d v="2020-07-22T00:00:00"/>
    <n v="34731233"/>
    <n v="2400"/>
    <s v="113950"/>
    <s v="Usim Tuenti Prepago Celofán Numerada $ 5.00"/>
    <n v="1000"/>
    <n v="790"/>
    <n v="0.79"/>
    <s v="TECINDAMBTUE3998"/>
    <s v="TECECAB S.A. TUENTI AMBATO"/>
    <s v="1792306043001"/>
    <s v="AMBATO"/>
    <s v="Indirecto"/>
    <x v="0"/>
    <x v="3"/>
    <n v="113950"/>
  </r>
  <r>
    <d v="2020-07-22T00:00:00"/>
    <n v="34731234"/>
    <n v="3114"/>
    <s v="162121"/>
    <s v="HALFSIM TUENTI CELOFAN PORTABILIDAD"/>
    <n v="200"/>
    <n v="108"/>
    <n v="0.54"/>
    <s v="FASINDQUIFAS3498"/>
    <s v="FASTMOVIL CIA.LTDA TUENTI"/>
    <s v="1792837340001"/>
    <s v="QUITO"/>
    <s v="Indirecto"/>
    <x v="0"/>
    <x v="25"/>
    <n v="162121"/>
  </r>
  <r>
    <d v="2020-07-22T00:00:00"/>
    <n v="34731243"/>
    <n v="2416"/>
    <s v="113950"/>
    <s v="Usim Tuenti Prepago Celofán Numerada $5 SinSticker"/>
    <n v="300"/>
    <n v="237"/>
    <n v="0.79"/>
    <s v="9JIBOTRO"/>
    <s v="TRUJILLO MANOSALVAS EVELYN PAOLA (TUENTI)"/>
    <s v="0401360201001"/>
    <s v="IBARRA"/>
    <s v="Indirecto"/>
    <x v="0"/>
    <x v="4"/>
    <n v="113950"/>
  </r>
  <r>
    <d v="2020-07-22T00:00:00"/>
    <n v="34731243"/>
    <n v="3114"/>
    <s v="162121"/>
    <s v="HALFSIM TUENTI CELOFAN PORTABILIDAD"/>
    <n v="100"/>
    <n v="54"/>
    <n v="0.54"/>
    <s v="9JIBOTRO"/>
    <s v="TRUJILLO MANOSALVAS EVELYN PAOLA (TUENTI)"/>
    <s v="0401360201001"/>
    <s v="IBARRA"/>
    <s v="Indirecto"/>
    <x v="0"/>
    <x v="25"/>
    <n v="162121"/>
  </r>
  <r>
    <d v="2020-07-22T00:00:00"/>
    <n v="34731244"/>
    <n v="3114"/>
    <s v="162121"/>
    <s v="HALFSIM TUENTI CELOFAN PORTABILIDAD"/>
    <n v="150"/>
    <n v="81"/>
    <n v="0.54"/>
    <s v="EWOINDCHIEWO7278"/>
    <s v="EWOLF LUTION TUENTI"/>
    <s v="0923980858001"/>
    <s v="SANTO DOMINGO/CHIGUILPE"/>
    <s v="Indirecto"/>
    <x v="0"/>
    <x v="25"/>
    <n v="162121"/>
  </r>
  <r>
    <d v="2020-07-22T00:00:00"/>
    <n v="34731245"/>
    <n v="2416"/>
    <s v="113950"/>
    <s v="Usim Tuenti Prepago Celofán Numerada $5 SinSticker"/>
    <n v="100"/>
    <n v="79"/>
    <n v="0.79"/>
    <s v="9KQUOTRO"/>
    <s v="LOPEZ RAMIREZ CARLOS PATRICIO (TUENTI)"/>
    <s v="1712771458001"/>
    <s v="QUITO"/>
    <s v="Indirecto"/>
    <x v="0"/>
    <x v="4"/>
    <n v="113950"/>
  </r>
  <r>
    <d v="2020-07-22T00:00:00"/>
    <n v="34731246"/>
    <n v="2416"/>
    <s v="113950"/>
    <s v="Usim Tuenti Prepago Celofán Numerada $5 SinSticker"/>
    <n v="200"/>
    <n v="158"/>
    <n v="0.79"/>
    <s v="WININDSANWIN6637"/>
    <s v="Winners cell Tuenti"/>
    <s v="1720429685001"/>
    <s v="SANTO DOMINGO"/>
    <s v="Indirecto"/>
    <x v="0"/>
    <x v="4"/>
    <n v="113950"/>
  </r>
  <r>
    <d v="2020-07-23T00:00:00"/>
    <n v="34731265"/>
    <n v="3022"/>
    <s v="162146"/>
    <s v="USIM MULTISIM MOVISTAR"/>
    <n v="122"/>
    <n v="108.58"/>
    <n v="0.89"/>
    <s v="SINCODIGO"/>
    <s v="URBANO EXPRESS (TELEFONICA)"/>
    <s v="1791256115001"/>
    <s v="QUITO"/>
    <s v="Cliente Final"/>
    <x v="0"/>
    <x v="0"/>
    <n v="162146"/>
  </r>
  <r>
    <d v="2020-07-23T00:00:00"/>
    <n v="34731265"/>
    <n v="1398"/>
    <s v="1534"/>
    <s v="SIMCARD M2M POSPAGO GEMALTO"/>
    <n v="50"/>
    <n v="83.5"/>
    <n v="1.67"/>
    <s v="SINCODIGO"/>
    <s v="URBANO EXPRESS (TELEFONICA)"/>
    <s v="1791256115001"/>
    <s v="QUITO"/>
    <s v="Cliente Final"/>
    <x v="0"/>
    <x v="26"/>
    <n v="1534"/>
  </r>
  <r>
    <d v="2020-07-23T00:00:00"/>
    <n v="34731267"/>
    <n v="3022"/>
    <s v="162146"/>
    <s v="USIM MULTISIM MOVISTAR"/>
    <n v="15"/>
    <n v="13.35"/>
    <n v="0.89"/>
    <s v="SIN CODIGO"/>
    <s v="TRAMACO"/>
    <s v="1792161037001"/>
    <s v="(en blanco)"/>
    <s v="Cliente Final"/>
    <x v="0"/>
    <x v="0"/>
    <n v="162146"/>
  </r>
  <r>
    <d v="2020-07-23T00:00:00"/>
    <n v="34731268"/>
    <n v="3022"/>
    <s v="162146"/>
    <s v="USIM MULTISIM MOVISTAR"/>
    <n v="8"/>
    <n v="7.12"/>
    <n v="0.89"/>
    <s v="SINCODIGO"/>
    <s v="MOTORIZADO CELISTICS SIMCARDS"/>
    <s v="0000000000001"/>
    <s v="QUITO"/>
    <s v="Cliente Final"/>
    <x v="0"/>
    <x v="0"/>
    <n v="162146"/>
  </r>
  <r>
    <d v="2020-07-23T00:00:00"/>
    <n v="34731269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3T00:00:00"/>
    <n v="34731272"/>
    <n v="2804"/>
    <s v="162092"/>
    <s v="CHIP PREPAGO $3 NUMERADO"/>
    <n v="1000"/>
    <n v="540"/>
    <n v="0.54"/>
    <s v="SOLZONGUASOL2718"/>
    <s v="SOLUMOVECSA ZONIFICACION GUAYAQUIL"/>
    <s v="1792504015001"/>
    <s v="GUAYAQUIL"/>
    <s v="Indirecto"/>
    <x v="0"/>
    <x v="1"/>
    <n v="162092"/>
  </r>
  <r>
    <d v="2020-07-23T00:00:00"/>
    <n v="34731276"/>
    <n v="2804"/>
    <s v="162092"/>
    <s v="CHIP PREPAGO $3 NUMERADO"/>
    <n v="250"/>
    <n v="135"/>
    <n v="0.54"/>
    <s v="MOVINDLOJMOV7480"/>
    <s v="MOVIPHONE LOJA Y ZAMORA"/>
    <s v="0391007160001"/>
    <s v="AZOGUES"/>
    <s v="Indirecto"/>
    <x v="0"/>
    <x v="1"/>
    <n v="162092"/>
  </r>
  <r>
    <d v="2020-07-23T00:00:00"/>
    <n v="34731277"/>
    <n v="3022"/>
    <s v="162146"/>
    <s v="USIM MULTISIM MOVISTAR"/>
    <n v="500"/>
    <n v="445"/>
    <n v="0.89"/>
    <s v="INTNEGQUIINT4358"/>
    <s v="INTELCOBRO SIMCARDS"/>
    <s v="1792917638001"/>
    <s v="QUITO"/>
    <s v="Indirecto"/>
    <x v="0"/>
    <x v="0"/>
    <n v="162146"/>
  </r>
  <r>
    <d v="2020-07-23T00:00:00"/>
    <n v="34731278"/>
    <n v="2804"/>
    <s v="162092"/>
    <s v="CHIP PREPAGO $3 NUMERADO"/>
    <n v="250"/>
    <n v="135"/>
    <n v="0.54"/>
    <s v="MOVINDLOJMOV7480"/>
    <s v="MOVIPHONE LOJA Y ZAMORA"/>
    <s v="0391007160001"/>
    <s v="AZOGUES"/>
    <s v="Indirecto"/>
    <x v="0"/>
    <x v="1"/>
    <n v="162092"/>
  </r>
  <r>
    <d v="2020-07-23T00:00:00"/>
    <n v="34731279"/>
    <n v="2804"/>
    <s v="162092"/>
    <s v="CHIP PREPAGO $3 NUMERADO"/>
    <n v="500"/>
    <n v="270"/>
    <n v="0.54"/>
    <s v="MOVINDMACMOV7478"/>
    <s v="MOVIPHONE EL ORO"/>
    <s v="0391007160001"/>
    <s v="AZOGUES"/>
    <s v="Indirecto"/>
    <x v="0"/>
    <x v="1"/>
    <n v="162092"/>
  </r>
  <r>
    <d v="2020-07-23T00:00:00"/>
    <n v="34731280"/>
    <n v="3022"/>
    <s v="162146"/>
    <s v="USIM MULTISIM MOVISTAR"/>
    <n v="100"/>
    <n v="89"/>
    <n v="0.89"/>
    <s v="GGMN"/>
    <s v="GABRIELA ALEXANDRA GARCIA VERA"/>
    <s v="1312044892001"/>
    <s v="MANTA"/>
    <s v="Indirecto"/>
    <x v="0"/>
    <x v="0"/>
    <n v="162146"/>
  </r>
  <r>
    <d v="2020-07-23T00:00:00"/>
    <n v="34731281"/>
    <n v="3022"/>
    <s v="162146"/>
    <s v="USIM MULTISIM MOVISTAR"/>
    <n v="100"/>
    <n v="89"/>
    <n v="0.89"/>
    <s v="L5GYOTRO"/>
    <s v="GOLDPROYEC S.A."/>
    <s v="0992860618001"/>
    <s v="GUAYAQUIL"/>
    <s v="Indirecto"/>
    <x v="0"/>
    <x v="0"/>
    <n v="162146"/>
  </r>
  <r>
    <d v="2020-07-23T00:00:00"/>
    <n v="34731282"/>
    <n v="3022"/>
    <s v="162146"/>
    <s v="USIM MULTISIM MOVISTAR"/>
    <n v="150"/>
    <n v="133.5"/>
    <n v="0.89"/>
    <s v="NTEINDGUANTE8082"/>
    <s v="NTEC PLAYAS SIMCARDS Y TARJETAS"/>
    <s v="1792971322001"/>
    <s v="PLAYAS"/>
    <s v="Indirecto"/>
    <x v="0"/>
    <x v="0"/>
    <n v="162146"/>
  </r>
  <r>
    <d v="2020-07-23T00:00:00"/>
    <n v="34731283"/>
    <n v="3022"/>
    <s v="162146"/>
    <s v="USIM MULTISIM MOVISTAR"/>
    <n v="200"/>
    <n v="178"/>
    <n v="0.89"/>
    <s v="NTEINDGUACCP9198"/>
    <s v="C.C. PASEO SHOPPING LIBERTAD (NTEC) SIMCARDS"/>
    <s v="1792971322001"/>
    <s v="LA LIBERTAD"/>
    <s v="Indirecto"/>
    <x v="0"/>
    <x v="0"/>
    <n v="162146"/>
  </r>
  <r>
    <d v="2020-07-23T00:00:00"/>
    <n v="34731284"/>
    <n v="3022"/>
    <s v="162146"/>
    <s v="USIM MULTISIM MOVISTAR"/>
    <n v="250"/>
    <n v="222.5"/>
    <n v="0.89"/>
    <s v="NTEINDPORCC8242"/>
    <s v="C.C. SHOPPING PORTOVIEJO NTEC SIMCARDS Y TARJETAS"/>
    <s v="1792971322001"/>
    <s v="PORTOVIEJO"/>
    <s v="Indirecto"/>
    <x v="0"/>
    <x v="0"/>
    <n v="162146"/>
  </r>
  <r>
    <d v="2020-07-23T00:00:00"/>
    <n v="34731285"/>
    <n v="3022"/>
    <s v="162146"/>
    <s v="USIM MULTISIM MOVISTAR"/>
    <n v="150"/>
    <n v="133.5"/>
    <n v="0.89"/>
    <s v="NTEINDSUCNTE5781"/>
    <s v="NTEC EL CARMEN SIMCARDS Y TARJETAS"/>
    <s v="1792971322001"/>
    <s v="EL CARMEN"/>
    <s v="Indirecto"/>
    <x v="0"/>
    <x v="0"/>
    <n v="162146"/>
  </r>
  <r>
    <d v="2020-07-23T00:00:00"/>
    <n v="34731286"/>
    <n v="3022"/>
    <s v="162146"/>
    <s v="USIM MULTISIM MOVISTAR"/>
    <n v="150"/>
    <n v="133.5"/>
    <n v="0.89"/>
    <s v="NTEINDGUANTE6278"/>
    <s v="NTEC Mall del Sol Gye SIMCARDS Y TRAJETAS"/>
    <s v="1792971322001"/>
    <s v="GUAYAQUIL"/>
    <s v="Indirecto"/>
    <x v="0"/>
    <x v="0"/>
    <n v="162146"/>
  </r>
  <r>
    <d v="2020-07-23T00:00:00"/>
    <n v="34731287"/>
    <n v="3022"/>
    <s v="162146"/>
    <s v="USIM MULTISIM MOVISTAR"/>
    <n v="300"/>
    <n v="267"/>
    <n v="0.89"/>
    <s v="NTEINDQUICAV7400"/>
    <s v="CAVS AE NTEC EL PORTAL SIMCARDS"/>
    <s v="1792971322001"/>
    <s v="QUITO"/>
    <s v="Indirecto"/>
    <x v="0"/>
    <x v="0"/>
    <n v="162146"/>
  </r>
  <r>
    <d v="2020-07-23T00:00:00"/>
    <n v="34731289"/>
    <n v="3022"/>
    <s v="162146"/>
    <s v="USIM MULTISIM MOVISTAR"/>
    <n v="100"/>
    <n v="89"/>
    <n v="0.89"/>
    <s v="7PGYOTRO"/>
    <s v="DIGICELLSA S.A."/>
    <s v="0992985305001"/>
    <s v="GUAYAQUIL"/>
    <s v="Indirecto"/>
    <x v="0"/>
    <x v="0"/>
    <n v="162146"/>
  </r>
  <r>
    <d v="2020-07-23T00:00:00"/>
    <n v="34731291"/>
    <n v="2804"/>
    <s v="162092"/>
    <s v="CHIP PREPAGO $3 NUMERADO"/>
    <n v="500"/>
    <n v="270"/>
    <n v="0.54"/>
    <s v="SOLZONGUASOL2718"/>
    <s v="SOLUMOVECSA ZONIFICACION GUAYAQUIL"/>
    <s v="1792504015001"/>
    <s v="GUAYAQUIL"/>
    <s v="Indirecto"/>
    <x v="0"/>
    <x v="1"/>
    <n v="162092"/>
  </r>
  <r>
    <d v="2020-07-23T00:00:00"/>
    <n v="34731292"/>
    <n v="3022"/>
    <s v="162146"/>
    <s v="USIM MULTISIM MOVISTAR"/>
    <n v="150"/>
    <n v="133.5"/>
    <n v="0.89"/>
    <s v="MASNEGQUIMAS8538"/>
    <s v="MASTER CELL SERVICES"/>
    <s v="1714919055001"/>
    <s v="(en blanco)"/>
    <s v="Indirecto"/>
    <x v="0"/>
    <x v="0"/>
    <n v="162146"/>
  </r>
  <r>
    <d v="2020-07-23T00:00:00"/>
    <n v="34731294"/>
    <n v="3022"/>
    <s v="162146"/>
    <s v="USIM MULTISIM MOVISTAR"/>
    <n v="151"/>
    <n v="134.39"/>
    <n v="0.89"/>
    <s v="SINCODIGO"/>
    <s v="URBANO EXPRESS (TELEFONICA)"/>
    <s v="1791256115001"/>
    <s v="QUITO"/>
    <s v="Cliente Final"/>
    <x v="0"/>
    <x v="0"/>
    <n v="162146"/>
  </r>
  <r>
    <d v="2020-07-23T00:00:00"/>
    <n v="34731301"/>
    <n v="3022"/>
    <s v="162146"/>
    <s v="USIM MULTISIM MOVISTAR"/>
    <n v="1"/>
    <n v="0.89"/>
    <n v="0.89"/>
    <s v="SINCODIGO"/>
    <s v="URBANO EXPRESS (TELEFONICA)"/>
    <s v="1791256115001"/>
    <s v="QUITO"/>
    <s v="Cliente Final"/>
    <x v="0"/>
    <x v="0"/>
    <n v="162146"/>
  </r>
  <r>
    <d v="2020-07-23T00:00:00"/>
    <n v="34731302"/>
    <n v="3022"/>
    <s v="162146"/>
    <s v="USIM MULTISIM MOVISTAR"/>
    <n v="38"/>
    <n v="33.82"/>
    <n v="0.89"/>
    <s v="SIN CODIGO"/>
    <s v="TRAMACO"/>
    <s v="1792161037001"/>
    <s v="(en blanco)"/>
    <s v="Cliente Final"/>
    <x v="0"/>
    <x v="0"/>
    <n v="162146"/>
  </r>
  <r>
    <d v="2020-07-23T00:00:00"/>
    <n v="34731303"/>
    <n v="2804"/>
    <s v="162092"/>
    <s v="CHIP PREPAGO $3 NUMERADO"/>
    <n v="25"/>
    <n v="13.5"/>
    <n v="0.54"/>
    <s v="MOVINDLOJCOM2818"/>
    <s v="COMERCIALIZADORA MOVIL PI-STORE C.L."/>
    <s v="0791789567001"/>
    <s v="LOJA"/>
    <s v="Indirecto"/>
    <x v="0"/>
    <x v="1"/>
    <n v="162092"/>
  </r>
  <r>
    <d v="2020-07-23T00:00:00"/>
    <n v="34731303"/>
    <n v="2802"/>
    <s v="162090"/>
    <s v="CHIP PREPAGO $5 NUMERADO"/>
    <n v="50"/>
    <n v="27"/>
    <n v="0.54"/>
    <s v="MOVINDLOJCOM2818"/>
    <s v="COMERCIALIZADORA MOVIL PI-STORE C.L."/>
    <s v="0791789567001"/>
    <s v="LOJA"/>
    <s v="Indirecto"/>
    <x v="0"/>
    <x v="8"/>
    <n v="162090"/>
  </r>
  <r>
    <d v="2020-07-23T00:00:00"/>
    <n v="34731304"/>
    <n v="3022"/>
    <s v="162146"/>
    <s v="USIM MULTISIM MOVISTAR"/>
    <n v="13"/>
    <n v="11.57"/>
    <n v="0.89"/>
    <s v="N/A"/>
    <s v="GACELA DELIVERY"/>
    <s v="992970545001"/>
    <s v="GUAYAQUIL"/>
    <s v="Cliente Final"/>
    <x v="0"/>
    <x v="0"/>
    <n v="162146"/>
  </r>
  <r>
    <d v="2020-07-23T00:00:00"/>
    <n v="34731305"/>
    <n v="3022"/>
    <s v="162146"/>
    <s v="USIM MULTISIM MOVISTAR"/>
    <n v="13"/>
    <n v="11.57"/>
    <n v="0.89"/>
    <s v="SINCODIGO"/>
    <s v="MOTORIZADO CELISTICS SIMCARDS"/>
    <s v="0000000000001"/>
    <s v="QUITO"/>
    <s v="Cliente Final"/>
    <x v="0"/>
    <x v="0"/>
    <n v="162146"/>
  </r>
  <r>
    <d v="2020-07-23T00:00:00"/>
    <n v="34731270"/>
    <n v="1651"/>
    <s v="84948"/>
    <s v="USIM TUENTI PREPAGO (CELOFAN)"/>
    <n v="1"/>
    <n v="1.03"/>
    <n v="1.03"/>
    <s v="N/A"/>
    <s v="MOVILCELISTICS"/>
    <s v="1792161037001"/>
    <s v="QUITO"/>
    <s v="Indirecto"/>
    <x v="0"/>
    <x v="5"/>
    <n v="84948"/>
  </r>
  <r>
    <d v="2020-07-23T00:00:00"/>
    <n v="34731270"/>
    <n v="1652"/>
    <s v="113950"/>
    <s v="USIM TUENTI PREPAGO NUMERADA (CELOFAN)"/>
    <n v="3"/>
    <n v="3.81"/>
    <n v="1.27"/>
    <s v="N/A"/>
    <s v="MOVILCELISTICS"/>
    <s v="1792161037001"/>
    <s v="QUITO"/>
    <s v="Indirecto"/>
    <x v="0"/>
    <x v="27"/>
    <n v="113950"/>
  </r>
  <r>
    <d v="2020-07-23T00:00:00"/>
    <n v="34731274"/>
    <n v="2400"/>
    <s v="113950"/>
    <s v="Usim Tuenti Prepago Celofán Numerada $ 5.00"/>
    <n v="500"/>
    <n v="395"/>
    <n v="0.79"/>
    <s v="SOLZONLOJSOL4482"/>
    <s v="SOLUMOVECSA TUENTI-MACHALA"/>
    <s v="1792504015001"/>
    <s v="MACHALA"/>
    <s v="Indirecto"/>
    <x v="0"/>
    <x v="3"/>
    <n v="113950"/>
  </r>
  <r>
    <d v="2020-07-23T00:00:00"/>
    <n v="34731275"/>
    <n v="2400"/>
    <s v="113950"/>
    <s v="Usim Tuenti Prepago Celofán Numerada $ 5.00"/>
    <n v="2000"/>
    <n v="1580"/>
    <n v="0.79"/>
    <s v="SOLZONLOJSOL4478"/>
    <s v="SOLUMOVECSA TUENTI-GUAYAQUIL"/>
    <s v="1792504015001"/>
    <s v="GUAYAQUIL"/>
    <s v="Indirecto"/>
    <x v="0"/>
    <x v="3"/>
    <n v="113950"/>
  </r>
  <r>
    <d v="2020-07-23T00:00:00"/>
    <n v="34731288"/>
    <n v="2416"/>
    <s v="113950"/>
    <s v="Usim Tuenti Prepago Celofán Numerada $5 SinSticker"/>
    <n v="800"/>
    <n v="632"/>
    <n v="0.79"/>
    <s v="CONZONCUECON8259"/>
    <s v="CONSULNECT S.A. TUENTI"/>
    <s v="0993229164001"/>
    <s v="CUENCA"/>
    <s v="Indirecto"/>
    <x v="0"/>
    <x v="4"/>
    <n v="113950"/>
  </r>
  <r>
    <d v="2020-07-23T00:00:00"/>
    <n v="34731288"/>
    <n v="3114"/>
    <s v="162121"/>
    <s v="HALFSIM TUENTI CELOFAN PORTABILIDAD"/>
    <n v="400"/>
    <n v="216"/>
    <n v="0.54"/>
    <s v="CONZONCUECON8259"/>
    <s v="CONSULNECT S.A. TUENTI"/>
    <s v="0993229164001"/>
    <s v="CUENCA"/>
    <s v="Indirecto"/>
    <x v="0"/>
    <x v="25"/>
    <n v="162121"/>
  </r>
  <r>
    <d v="2020-07-23T00:00:00"/>
    <n v="34731290"/>
    <n v="2416"/>
    <s v="113950"/>
    <s v="Usim Tuenti Prepago Celofán Numerada $5 SinSticker"/>
    <n v="100"/>
    <n v="79"/>
    <n v="0.79"/>
    <s v="NANINDMACNAN3598"/>
    <s v="DONNYS ROBERTO FEIJOO SALAZAR (NANOMAX) TUENTI"/>
    <s v="0703178723001"/>
    <s v="MACHALA"/>
    <s v="Indirecto"/>
    <x v="0"/>
    <x v="4"/>
    <n v="113950"/>
  </r>
  <r>
    <d v="2020-07-23T00:00:00"/>
    <n v="34731293"/>
    <n v="3084"/>
    <s v="162142"/>
    <s v="Halfsim Tuenti Prepago Celofán Numerada $ 5.00"/>
    <n v="1000"/>
    <n v="570"/>
    <n v="0.57"/>
    <s v="TVCZONGUATVC9498"/>
    <s v="TVCOBEC GYE TUENTI"/>
    <s v="0992961481001"/>
    <s v="GUAYAQUIL"/>
    <s v="Indirecto"/>
    <x v="0"/>
    <x v="10"/>
    <n v="162142"/>
  </r>
  <r>
    <d v="2020-07-24T00:00:00"/>
    <n v="34731306"/>
    <n v="3022"/>
    <s v="162146"/>
    <s v="USIM MULTISIM MOVISTAR"/>
    <n v="66"/>
    <n v="58.74"/>
    <n v="0.89"/>
    <s v="SINCODIGO"/>
    <s v="URBANO EXPRESS (TELEFONICA)"/>
    <s v="1791256115001"/>
    <s v="QUITO"/>
    <s v="Cliente Final"/>
    <x v="0"/>
    <x v="0"/>
    <n v="162146"/>
  </r>
  <r>
    <d v="2020-07-24T00:00:00"/>
    <n v="34731307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4T00:00:00"/>
    <n v="34731308"/>
    <n v="3022"/>
    <s v="162146"/>
    <s v="USIM MULTISIM MOVISTAR"/>
    <n v="14"/>
    <n v="12.46"/>
    <n v="0.89"/>
    <s v="SIN CODIGO"/>
    <s v="TRAMACO"/>
    <s v="1792161037001"/>
    <s v="(en blanco)"/>
    <s v="Cliente Final"/>
    <x v="0"/>
    <x v="0"/>
    <n v="162146"/>
  </r>
  <r>
    <d v="2020-07-24T00:00:00"/>
    <n v="34731309"/>
    <n v="3022"/>
    <s v="162146"/>
    <s v="USIM MULTISIM MOVISTAR"/>
    <n v="6"/>
    <n v="5.34"/>
    <n v="0.89"/>
    <s v="SINCODIGO"/>
    <s v="MOTORIZADO CELISTICS SIMCARDS"/>
    <s v="0000000000001"/>
    <s v="QUITO"/>
    <s v="Cliente Final"/>
    <x v="0"/>
    <x v="0"/>
    <n v="162146"/>
  </r>
  <r>
    <d v="2020-07-24T00:00:00"/>
    <n v="34731310"/>
    <n v="3022"/>
    <s v="162146"/>
    <s v="USIM MULTISIM MOVISTAR"/>
    <n v="12"/>
    <n v="10.68"/>
    <n v="0.89"/>
    <s v="SINCODIGO"/>
    <s v="URBANO EXPRESS (TELEFONICA)"/>
    <s v="1791256115001"/>
    <s v="QUITO"/>
    <s v="Cliente Final"/>
    <x v="0"/>
    <x v="0"/>
    <n v="162146"/>
  </r>
  <r>
    <d v="2020-07-24T00:00:00"/>
    <n v="34731315"/>
    <n v="2801"/>
    <s v="162089"/>
    <s v="CHIP PREPAGO $5 AUTOSERVICIO"/>
    <n v="219"/>
    <n v="117.165"/>
    <n v="0.535"/>
    <s v="WUQUOTRO"/>
    <s v="ECONOFARM S.A.RETAIL"/>
    <s v="1791715772001"/>
    <s v="QUITO"/>
    <s v="Retail"/>
    <x v="0"/>
    <x v="9"/>
    <n v="162089"/>
  </r>
  <r>
    <d v="2020-07-24T00:00:00"/>
    <n v="34731316"/>
    <n v="2801"/>
    <s v="162089"/>
    <s v="CHIP PREPAGO $5 AUTOSERVICIO"/>
    <n v="10"/>
    <n v="5.350000000000001"/>
    <n v="0.535"/>
    <s v="4SQUOTRO"/>
    <s v="TIECONE S.A. (RETAIL)"/>
    <s v="1792239710001"/>
    <s v="QUITO"/>
    <s v="Retail"/>
    <x v="0"/>
    <x v="9"/>
    <n v="162089"/>
  </r>
  <r>
    <d v="2020-07-24T00:00:00"/>
    <n v="34731317"/>
    <n v="2801"/>
    <s v="162089"/>
    <s v="CHIP PREPAGO $5 AUTOSERVICIO"/>
    <n v="61"/>
    <n v="32.63500000000001"/>
    <n v="0.535"/>
    <s v="VWQUOTRO"/>
    <s v="FARCOMED S.A.RETAIL"/>
    <s v="1790710319001"/>
    <s v="QUITO"/>
    <s v="Retail"/>
    <x v="0"/>
    <x v="9"/>
    <n v="162089"/>
  </r>
  <r>
    <d v="2020-07-24T00:00:00"/>
    <n v="34731319"/>
    <n v="3022"/>
    <s v="162146"/>
    <s v="USIM MULTISIM MOVISTAR"/>
    <n v="40"/>
    <n v="35.6"/>
    <n v="0.89"/>
    <s v="MACINDQUIMAC9378"/>
    <s v="MACIZOTELECOM C.A."/>
    <s v="1792647878001"/>
    <s v="QUITO"/>
    <s v="Indirecto"/>
    <x v="0"/>
    <x v="0"/>
    <n v="162146"/>
  </r>
  <r>
    <d v="2020-07-24T00:00:00"/>
    <n v="34731320"/>
    <n v="3022"/>
    <s v="162146"/>
    <s v="USIM MULTISIM MOVISTAR"/>
    <n v="50"/>
    <n v="44.5"/>
    <n v="0.89"/>
    <s v="JULNEGQUIVIP8518"/>
    <s v="VIPSOLUCIONES"/>
    <s v="1716840986001"/>
    <s v="QUITO"/>
    <s v="Indirecto"/>
    <x v="0"/>
    <x v="0"/>
    <n v="162146"/>
  </r>
  <r>
    <d v="2020-07-24T00:00:00"/>
    <n v="34731321"/>
    <n v="2804"/>
    <s v="162092"/>
    <s v="CHIP PREPAGO $3 NUMERADO"/>
    <n v="5000"/>
    <n v="2700"/>
    <n v="0.54"/>
    <s v="4ECUOTRO"/>
    <s v="TELECOS (CUENCA)"/>
    <s v="1791415728001"/>
    <s v="CUENCA"/>
    <s v="Indirecto"/>
    <x v="0"/>
    <x v="1"/>
    <n v="162092"/>
  </r>
  <r>
    <d v="2020-07-24T00:00:00"/>
    <n v="34731322"/>
    <n v="2804"/>
    <s v="162092"/>
    <s v="CHIP PREPAGO $3 NUMERADO"/>
    <n v="6000"/>
    <n v="3240"/>
    <n v="0.54"/>
    <s v="4ELTOTRO"/>
    <s v="TELECOS LATACUNGA ZONIFICACION"/>
    <s v="1791415728001"/>
    <s v="LATACUNGA"/>
    <s v="Indirecto"/>
    <x v="0"/>
    <x v="1"/>
    <n v="162092"/>
  </r>
  <r>
    <d v="2020-07-24T00:00:00"/>
    <n v="34731323"/>
    <n v="2804"/>
    <s v="162092"/>
    <s v="CHIP PREPAGO $3 NUMERADO"/>
    <n v="3000"/>
    <n v="1620"/>
    <n v="0.54"/>
    <s v="ECUZONGUAECU9300"/>
    <s v="TELECOS GYE"/>
    <s v="1791415728001"/>
    <s v="GUAYAQUIL"/>
    <s v="Indirecto"/>
    <x v="0"/>
    <x v="1"/>
    <n v="162092"/>
  </r>
  <r>
    <d v="2020-07-24T00:00:00"/>
    <n v="34731325"/>
    <n v="2804"/>
    <s v="162092"/>
    <s v="CHIP PREPAGO $3 NUMERADO"/>
    <n v="5000"/>
    <n v="2700"/>
    <n v="0.54"/>
    <s v="6CQUOTRO"/>
    <s v="TECECAB S.A"/>
    <s v="1792306043001"/>
    <s v="QUITO"/>
    <s v="Indirecto"/>
    <x v="0"/>
    <x v="1"/>
    <n v="162092"/>
  </r>
  <r>
    <d v="2020-07-24T00:00:00"/>
    <n v="34731326"/>
    <n v="2804"/>
    <s v="162092"/>
    <s v="CHIP PREPAGO $3 NUMERADO"/>
    <n v="1000"/>
    <n v="540"/>
    <n v="0.54"/>
    <s v="NPIBOTRO"/>
    <s v="NORPHONE CIA. LTDA. (IBARRA)"/>
    <s v="1091717898001"/>
    <s v="IBARRA"/>
    <s v="Indirecto"/>
    <x v="0"/>
    <x v="1"/>
    <n v="162092"/>
  </r>
  <r>
    <d v="2020-07-24T00:00:00"/>
    <n v="34731327"/>
    <n v="2804"/>
    <s v="162092"/>
    <s v="CHIP PREPAGO $3 NUMERADO"/>
    <n v="1000"/>
    <n v="540"/>
    <n v="0.54"/>
    <s v="NPAMOTRO"/>
    <s v="NORPHONE AMBATO"/>
    <s v="1091717898001"/>
    <s v="AMBATO"/>
    <s v="Indirecto"/>
    <x v="0"/>
    <x v="1"/>
    <n v="162092"/>
  </r>
  <r>
    <d v="2020-07-24T00:00:00"/>
    <n v="34731328"/>
    <n v="3022"/>
    <s v="162146"/>
    <s v="USIM MULTISIM MOVISTAR"/>
    <n v="100"/>
    <n v="89"/>
    <n v="0.89"/>
    <s v="KRONEGAMBKR06578"/>
    <s v="KRONOS COMUNICACIONES"/>
    <s v="1804032322001"/>
    <s v="AMBATO"/>
    <s v="Indirecto"/>
    <x v="0"/>
    <x v="0"/>
    <n v="162146"/>
  </r>
  <r>
    <d v="2020-07-24T00:00:00"/>
    <n v="34731329"/>
    <n v="2804"/>
    <s v="162092"/>
    <s v="CHIP PREPAGO $3 NUMERADO"/>
    <n v="2000"/>
    <n v="1080"/>
    <n v="0.54"/>
    <s v="CYBINDGUAAEC6197"/>
    <s v="AE CYBERCELL  9 DE OCTUBRE SIMCARDS"/>
    <s v="1791413962001"/>
    <s v="GUAYAQUIL"/>
    <s v="Indirecto"/>
    <x v="0"/>
    <x v="1"/>
    <n v="162092"/>
  </r>
  <r>
    <d v="2020-07-24T00:00:00"/>
    <n v="34731330"/>
    <n v="3022"/>
    <s v="162146"/>
    <s v="USIM MULTISIM MOVISTAR"/>
    <n v="119"/>
    <n v="105.91"/>
    <n v="0.89"/>
    <s v="SINCODIGO"/>
    <s v="URBANO EXPRESS (TELEFONICA)"/>
    <s v="1791256115001"/>
    <s v="QUITO"/>
    <s v="Cliente Final"/>
    <x v="0"/>
    <x v="0"/>
    <n v="162146"/>
  </r>
  <r>
    <d v="2020-07-24T00:00:00"/>
    <n v="34731330"/>
    <n v="2761"/>
    <s v="162082"/>
    <s v="SIM KITE M2M 2FF STANDARD"/>
    <n v="50"/>
    <n v="73"/>
    <n v="1.46"/>
    <s v="SINCODIGO"/>
    <s v="URBANO EXPRESS (TELEFONICA)"/>
    <s v="1791256115001"/>
    <s v="QUITO"/>
    <s v="Cliente Final"/>
    <x v="0"/>
    <x v="14"/>
    <n v="162082"/>
  </r>
  <r>
    <d v="2020-07-24T00:00:00"/>
    <n v="34731331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4T00:00:00"/>
    <n v="34731333"/>
    <n v="3022"/>
    <s v="162146"/>
    <s v="USIM MULTISIM MOVISTAR"/>
    <n v="100"/>
    <n v="89"/>
    <n v="0.89"/>
    <s v="CCMNEGQUICCM3359"/>
    <s v="CARTAGENOVA BOADA CHRISTIAN PATRICIO"/>
    <s v="1715361067001"/>
    <s v="QUITO"/>
    <s v="Indirecto"/>
    <x v="0"/>
    <x v="0"/>
    <n v="162146"/>
  </r>
  <r>
    <d v="2020-07-24T00:00:00"/>
    <n v="34731334"/>
    <n v="3022"/>
    <s v="162146"/>
    <s v="USIM MULTISIM MOVISTAR"/>
    <n v="34"/>
    <n v="30.26"/>
    <n v="0.89"/>
    <s v="SIN CODIGO"/>
    <s v="TRAMACO"/>
    <s v="1792161037001"/>
    <s v="(en blanco)"/>
    <s v="Cliente Final"/>
    <x v="0"/>
    <x v="0"/>
    <n v="162146"/>
  </r>
  <r>
    <d v="2020-07-24T00:00:00"/>
    <n v="34731335"/>
    <n v="3022"/>
    <s v="162146"/>
    <s v="USIM MULTISIM MOVISTAR"/>
    <n v="10"/>
    <n v="8.9"/>
    <n v="0.89"/>
    <s v="SINCODIGO"/>
    <s v="MOTORIZADO CELISTICS SIMCARDS"/>
    <s v="0000000000001"/>
    <s v="QUITO"/>
    <s v="Cliente Final"/>
    <x v="0"/>
    <x v="0"/>
    <n v="162146"/>
  </r>
  <r>
    <d v="2020-07-24T00:00:00"/>
    <n v="34731318"/>
    <n v="3084"/>
    <s v="162142"/>
    <s v="Halfsim Tuenti Prepago Celofán Numerada $ 5.00"/>
    <n v="28"/>
    <n v="15.96"/>
    <n v="0.57"/>
    <s v="WUQUOTRO"/>
    <s v="ECONOFARM S.A. TUENTI"/>
    <s v="1791715772001"/>
    <s v="QUITO"/>
    <s v="Retail"/>
    <x v="0"/>
    <x v="10"/>
    <n v="162142"/>
  </r>
  <r>
    <d v="2020-07-24T00:00:00"/>
    <n v="34731318"/>
    <n v="3092"/>
    <s v="162142"/>
    <s v="Halfsim Tuenti Prepago Celofán Numerada $10.00 "/>
    <n v="10"/>
    <n v="5.4"/>
    <n v="0.54"/>
    <s v="WUQUOTRO"/>
    <s v="ECONOFARM S.A. TUENTI"/>
    <s v="1791715772001"/>
    <s v="QUITO"/>
    <s v="Retail"/>
    <x v="0"/>
    <x v="24"/>
    <n v="162142"/>
  </r>
  <r>
    <d v="2020-07-24T00:00:00"/>
    <n v="34731324"/>
    <n v="2400"/>
    <s v="113950"/>
    <s v="Usim Tuenti Prepago Celofán Numerada $ 5.00"/>
    <n v="200"/>
    <n v="158"/>
    <n v="0.79"/>
    <s v="NORZONESMNOR9358"/>
    <s v="NORPHONE TUENTI ESMERALDAS"/>
    <s v="1091717898001"/>
    <s v="ESMERALDAS"/>
    <s v="Indirecto"/>
    <x v="0"/>
    <x v="3"/>
    <n v="113950"/>
  </r>
  <r>
    <d v="2020-07-24T00:00:00"/>
    <n v="34731332"/>
    <n v="3101"/>
    <s v="162142"/>
    <s v="Halfsim Tuenti Prepago Celofán Numerada $25.00"/>
    <n v="20"/>
    <n v="10.8"/>
    <n v="0.54"/>
    <s v="N/A"/>
    <s v="MOVILCELISTICS (TUENTI)"/>
    <s v="1792161037001"/>
    <s v="QUITO"/>
    <s v="Indirecto"/>
    <x v="0"/>
    <x v="28"/>
    <n v="162142"/>
  </r>
  <r>
    <d v="2020-07-27T00:00:00"/>
    <n v="34731337"/>
    <n v="1398"/>
    <s v="1534"/>
    <s v="SIMCARD M2M POSPAGO GEMALTO"/>
    <n v="299"/>
    <n v="499.33"/>
    <n v="1.67"/>
    <s v="VU"/>
    <s v="TIENDA VIRTUAL"/>
    <s v="1234567890"/>
    <s v="QUITO"/>
    <s v="Cliente Final"/>
    <x v="0"/>
    <x v="26"/>
    <n v="1534"/>
  </r>
  <r>
    <d v="2020-07-27T00:00:00"/>
    <n v="34731337"/>
    <n v="1398"/>
    <s v="1534"/>
    <s v="SIMCARD M2M POSPAGO GEMALTO"/>
    <n v="1"/>
    <n v="1.67"/>
    <n v="1.67"/>
    <s v="VU"/>
    <s v="TIENDA VIRTUAL"/>
    <n v="1234567890"/>
    <s v="QUITO"/>
    <s v="Cliente Final"/>
    <x v="0"/>
    <x v="26"/>
    <n v="1534"/>
  </r>
  <r>
    <d v="2020-07-27T00:00:00"/>
    <n v="34731338"/>
    <n v="3022"/>
    <s v="162146"/>
    <s v="USIM MULTISIM MOVISTAR"/>
    <n v="23"/>
    <n v="20.47"/>
    <n v="0.89"/>
    <s v="N/A"/>
    <s v="GACELA DELIVERY"/>
    <s v="992970545001"/>
    <s v="GUAYAQUIL"/>
    <s v="Cliente Final"/>
    <x v="0"/>
    <x v="0"/>
    <n v="162146"/>
  </r>
  <r>
    <d v="2020-07-27T00:00:00"/>
    <n v="34731339"/>
    <n v="3022"/>
    <s v="162146"/>
    <s v="USIM MULTISIM MOVISTAR"/>
    <n v="146"/>
    <n v="129.94"/>
    <n v="0.89"/>
    <s v="SINCODIGO"/>
    <s v="URBANO EXPRESS (TELEFONICA)"/>
    <s v="1791256115001"/>
    <s v="QUITO"/>
    <s v="Cliente Final"/>
    <x v="0"/>
    <x v="0"/>
    <n v="162146"/>
  </r>
  <r>
    <d v="2020-07-27T00:00:00"/>
    <n v="34731341"/>
    <n v="3022"/>
    <s v="162146"/>
    <s v="USIM MULTISIM MOVISTAR"/>
    <n v="83"/>
    <n v="73.87"/>
    <n v="0.89"/>
    <s v="SIN CODIGO"/>
    <s v="TRAMACO"/>
    <s v="1792161037001"/>
    <s v="(en blanco)"/>
    <s v="Cliente Final"/>
    <x v="0"/>
    <x v="0"/>
    <n v="162146"/>
  </r>
  <r>
    <d v="2020-07-27T00:00:00"/>
    <n v="34731344"/>
    <n v="3022"/>
    <s v="162146"/>
    <s v="USIM MULTISIM MOVISTAR"/>
    <n v="2"/>
    <n v="1.78"/>
    <n v="0.89"/>
    <s v="SINCODIGO"/>
    <s v="MOTORIZADO CELISTICS SIMCARDS"/>
    <s v="0000000000001"/>
    <s v="QUITO"/>
    <s v="Cliente Final"/>
    <x v="0"/>
    <x v="0"/>
    <n v="162146"/>
  </r>
  <r>
    <d v="2020-07-27T00:00:00"/>
    <n v="34731345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27T00:00:00"/>
    <n v="34731346"/>
    <n v="2804"/>
    <s v="162092"/>
    <s v="CHIP PREPAGO $3 NUMERADO"/>
    <n v="500"/>
    <n v="270"/>
    <n v="0.54"/>
    <s v="N/A"/>
    <s v="OTECEL ECOPARK"/>
    <s v="0992378786001"/>
    <s v="QUITO"/>
    <s v="Directo"/>
    <x v="1"/>
    <x v="1"/>
    <n v="162092"/>
  </r>
  <r>
    <d v="2020-07-27T00:00:00"/>
    <n v="34731347"/>
    <n v="2804"/>
    <s v="162092"/>
    <s v="CHIP PREPAGO $3 NUMERADO"/>
    <n v="500"/>
    <n v="270"/>
    <n v="0.54"/>
    <s v="3SAMOTRO"/>
    <s v="MOVIGLOB FRED CASTILLO TELEFONICA C.L"/>
    <s v="1891761690001"/>
    <s v="AMBATO"/>
    <s v="Indirecto"/>
    <x v="0"/>
    <x v="1"/>
    <n v="162092"/>
  </r>
  <r>
    <d v="2020-07-27T00:00:00"/>
    <n v="34731350"/>
    <n v="3022"/>
    <s v="162146"/>
    <s v="USIM MULTISIM MOVISTAR"/>
    <n v="87"/>
    <n v="77.43000000000001"/>
    <n v="0.89"/>
    <s v="SINCODIGO"/>
    <s v="URBANO EXPRESS (TELEFONICA)"/>
    <s v="1791256115001"/>
    <s v="QUITO"/>
    <s v="Cliente Final"/>
    <x v="0"/>
    <x v="0"/>
    <n v="162146"/>
  </r>
  <r>
    <d v="2020-07-27T00:00:00"/>
    <n v="34731350"/>
    <n v="1398"/>
    <s v="1534"/>
    <s v="SIMCARD M2M POSPAGO GEMALTO"/>
    <n v="10"/>
    <n v="16.7"/>
    <n v="1.67"/>
    <s v="SINCODIGO"/>
    <s v="URBANO EXPRESS (TELEFONICA)"/>
    <s v="1791256115001"/>
    <s v="QUITO"/>
    <s v="Cliente Final"/>
    <x v="0"/>
    <x v="26"/>
    <n v="1534"/>
  </r>
  <r>
    <d v="2020-07-27T00:00:00"/>
    <n v="34731351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7T00:00:00"/>
    <n v="34731353"/>
    <n v="2804"/>
    <s v="162092"/>
    <s v="CHIP PREPAGO $3 NUMERADO"/>
    <n v="50"/>
    <n v="27"/>
    <n v="0.54"/>
    <s v="VMLJOTRO"/>
    <s v="VIMOTECH CIA. LTDA. (LOJA)"/>
    <s v="1191721140001"/>
    <s v="LOJA"/>
    <s v="Indirecto"/>
    <x v="0"/>
    <x v="1"/>
    <n v="162092"/>
  </r>
  <r>
    <d v="2020-07-27T00:00:00"/>
    <n v="34731353"/>
    <n v="3022"/>
    <s v="162146"/>
    <s v="USIM MULTISIM MOVISTAR"/>
    <n v="500"/>
    <n v="445"/>
    <n v="0.89"/>
    <s v="VMLJOTRO"/>
    <s v="VIMOTECH CIA. LTDA. (LOJA)"/>
    <s v="1191721140001"/>
    <s v="LOJA"/>
    <s v="Indirecto"/>
    <x v="0"/>
    <x v="0"/>
    <n v="162146"/>
  </r>
  <r>
    <d v="2020-07-27T00:00:00"/>
    <n v="34731353"/>
    <n v="2802"/>
    <s v="162090"/>
    <s v="CHIP PREPAGO $5 NUMERADO"/>
    <n v="50"/>
    <n v="27"/>
    <n v="0.54"/>
    <s v="VMLJOTRO"/>
    <s v="VIMOTECH CIA. LTDA. (LOJA)"/>
    <s v="1191721140001"/>
    <s v="LOJA"/>
    <s v="Indirecto"/>
    <x v="0"/>
    <x v="8"/>
    <n v="162090"/>
  </r>
  <r>
    <d v="2020-07-27T00:00:00"/>
    <n v="34731354"/>
    <n v="3022"/>
    <s v="162146"/>
    <s v="USIM MULTISIM MOVISTAR"/>
    <n v="37"/>
    <n v="32.93"/>
    <n v="0.89"/>
    <s v="SIN CODIGO"/>
    <s v="TRAMACO"/>
    <s v="1792161037001"/>
    <s v="(en blanco)"/>
    <s v="Cliente Final"/>
    <x v="0"/>
    <x v="0"/>
    <n v="162146"/>
  </r>
  <r>
    <d v="2020-07-27T00:00:00"/>
    <n v="34731356"/>
    <n v="3022"/>
    <s v="162146"/>
    <s v="USIM MULTISIM MOVISTAR"/>
    <n v="100"/>
    <n v="89"/>
    <n v="0.89"/>
    <s v="MARNEGQUIMAR3818"/>
    <s v="MARCELO GABRIEL LARREA ANDRADE SIMCARDS"/>
    <s v="1712422359001"/>
    <s v="QUITO"/>
    <s v="Indirecto"/>
    <x v="0"/>
    <x v="0"/>
    <n v="162146"/>
  </r>
  <r>
    <d v="2020-07-27T00:00:00"/>
    <n v="34731357"/>
    <n v="3022"/>
    <s v="162146"/>
    <s v="USIM MULTISIM MOVISTAR"/>
    <n v="50"/>
    <n v="44.5"/>
    <n v="0.89"/>
    <s v="SYKNEGQUISYK0321"/>
    <s v="ESTEFANIA ALEJANDRA IPIALES VELA"/>
    <s v="1721767471001"/>
    <s v="QUITO"/>
    <s v="Indirecto"/>
    <x v="0"/>
    <x v="0"/>
    <n v="162146"/>
  </r>
  <r>
    <d v="2020-07-27T00:00:00"/>
    <n v="34731359"/>
    <n v="3022"/>
    <s v="162146"/>
    <s v="USIM MULTISIM MOVISTAR"/>
    <n v="26"/>
    <n v="23.14"/>
    <n v="0.89"/>
    <s v="N/A"/>
    <s v="GACELA DELIVERY"/>
    <s v="992970545001"/>
    <s v="GUAYAQUIL"/>
    <s v="Cliente Final"/>
    <x v="0"/>
    <x v="0"/>
    <n v="162146"/>
  </r>
  <r>
    <d v="2020-07-27T00:00:00"/>
    <n v="34731360"/>
    <n v="3022"/>
    <s v="162146"/>
    <s v="USIM MULTISIM MOVISTAR"/>
    <n v="11"/>
    <n v="9.790000000000001"/>
    <n v="0.89"/>
    <s v="SINCODIGO"/>
    <s v="MOTORIZADO CELISTICS SIMCARDS"/>
    <s v="0000000000001"/>
    <s v="QUITO"/>
    <s v="Cliente Final"/>
    <x v="0"/>
    <x v="0"/>
    <n v="162146"/>
  </r>
  <r>
    <d v="2020-07-27T00:00:00"/>
    <n v="34731368"/>
    <n v="3022"/>
    <s v="162146"/>
    <s v="USIM MULTISIM MOVISTAR"/>
    <n v="100"/>
    <n v="89"/>
    <n v="0.89"/>
    <s v="HILROTRO"/>
    <s v="CESAR ROMERO (QUEVEDO)"/>
    <s v="1303164253001"/>
    <s v="QUEVEDO"/>
    <s v="Indirecto"/>
    <x v="0"/>
    <x v="0"/>
    <n v="162146"/>
  </r>
  <r>
    <d v="2020-07-27T00:00:00"/>
    <n v="34731371"/>
    <n v="3022"/>
    <s v="162146"/>
    <s v="USIM MULTISIM MOVISTAR"/>
    <n v="400"/>
    <n v="356"/>
    <n v="0.89"/>
    <s v="HIGYOTRO"/>
    <s v="CESAR ROMERO (GUAYAQUIL)"/>
    <s v="1303164253001"/>
    <s v="GUAYAQUIL"/>
    <s v="Indirecto"/>
    <x v="0"/>
    <x v="0"/>
    <n v="162146"/>
  </r>
  <r>
    <d v="2020-07-27T00:00:00"/>
    <n v="34731372"/>
    <n v="3022"/>
    <s v="162146"/>
    <s v="USIM MULTISIM MOVISTAR"/>
    <n v="100"/>
    <n v="89"/>
    <n v="0.89"/>
    <s v="GPQUOTRO"/>
    <s v="LUCERO OSORIO CECILIA CRISTINA"/>
    <s v="1715991228001"/>
    <s v="QUITO"/>
    <s v="Indirecto"/>
    <x v="0"/>
    <x v="0"/>
    <n v="162146"/>
  </r>
  <r>
    <d v="2020-07-27T00:00:00"/>
    <n v="34731375"/>
    <n v="3022"/>
    <s v="162146"/>
    <s v="USIM MULTISIM MOVISTAR"/>
    <n v="400"/>
    <n v="356"/>
    <n v="0.89"/>
    <s v="AWQUOTRO"/>
    <s v="CARLOS PATRICIO CAZAR LOPEZ"/>
    <s v="1712337995001"/>
    <s v="QUITO"/>
    <s v="Indirecto"/>
    <x v="0"/>
    <x v="0"/>
    <n v="162146"/>
  </r>
  <r>
    <d v="2020-07-27T00:00:00"/>
    <n v="34731376"/>
    <n v="3022"/>
    <s v="162146"/>
    <s v="USIM MULTISIM MOVISTAR"/>
    <n v="1000"/>
    <n v="890"/>
    <n v="0.89"/>
    <s v="CELINDQUIAGE0251"/>
    <s v="CAV AE CELISTICS RECREO SIMCARDS Y TARJETAS"/>
    <s v="1792161037001"/>
    <s v="QUITO"/>
    <s v="Indirecto"/>
    <x v="0"/>
    <x v="0"/>
    <n v="162146"/>
  </r>
  <r>
    <d v="2020-07-27T00:00:00"/>
    <n v="34731377"/>
    <n v="3022"/>
    <s v="162146"/>
    <s v="USIM MULTISIM MOVISTAR"/>
    <n v="400"/>
    <n v="356"/>
    <n v="0.89"/>
    <s v="NORINDQUICAV7304"/>
    <s v="CAVS AE NORPHONE EL CONDADO SIMCARDS"/>
    <s v="1091717898001"/>
    <s v="QUITO"/>
    <s v="Indirecto"/>
    <x v="0"/>
    <x v="0"/>
    <n v="162146"/>
  </r>
  <r>
    <d v="2020-07-27T00:00:00"/>
    <n v="34731378"/>
    <n v="3022"/>
    <s v="162146"/>
    <s v="USIM MULTISIM MOVISTAR"/>
    <n v="150"/>
    <n v="133.5"/>
    <n v="0.89"/>
    <s v="NPAMOTRO"/>
    <s v="NORPHONE AMBATO"/>
    <s v="1091717898001"/>
    <s v="AMBATO"/>
    <s v="Indirecto"/>
    <x v="0"/>
    <x v="0"/>
    <n v="162146"/>
  </r>
  <r>
    <d v="2020-07-27T00:00:00"/>
    <n v="34731379"/>
    <n v="3022"/>
    <s v="162146"/>
    <s v="USIM MULTISIM MOVISTAR"/>
    <n v="200"/>
    <n v="178"/>
    <n v="0.89"/>
    <s v="NORINDQUICAV7307"/>
    <s v="CAVS AE NORPHONE EL JARDIN SIMCARDS"/>
    <s v="1091717898001"/>
    <s v="QUITO"/>
    <s v="Indirecto"/>
    <x v="0"/>
    <x v="0"/>
    <n v="162146"/>
  </r>
  <r>
    <d v="2020-07-27T00:00:00"/>
    <n v="34731352"/>
    <n v="3114"/>
    <s v="162121"/>
    <s v="HALFSIM TUENTI CELOFAN PORTABILIDAD"/>
    <n v="102"/>
    <n v="55.08000000000001"/>
    <n v="0.54"/>
    <s v="6OMNOTRO"/>
    <s v="TONY ENRIQUE DELGADO CEDE¥O MANTA (TUENTI)"/>
    <s v="1308368222001"/>
    <s v="MANTA"/>
    <s v="Indirecto"/>
    <x v="0"/>
    <x v="25"/>
    <n v="162121"/>
  </r>
  <r>
    <d v="2020-07-27T00:00:00"/>
    <n v="34731352"/>
    <n v="3091"/>
    <s v="162142"/>
    <s v="HalfsimTuenti PrepagoCelofanNumerada $5sin sticker"/>
    <n v="105"/>
    <n v="56.7"/>
    <n v="0.54"/>
    <s v="6OMNOTRO"/>
    <s v="TONY ENRIQUE DELGADO CEDE¥O MANTA (TUENTI)"/>
    <s v="1308368222001"/>
    <s v="MANTA"/>
    <s v="Indirecto"/>
    <x v="0"/>
    <x v="29"/>
    <n v="162142"/>
  </r>
  <r>
    <d v="2020-07-27T00:00:00"/>
    <n v="34731355"/>
    <n v="2416"/>
    <s v="113950"/>
    <s v="Usim Tuenti Prepago Celofán Numerada $5 SinSticker"/>
    <n v="150"/>
    <n v="118.5"/>
    <n v="0.79"/>
    <s v="2GQUOTRO"/>
    <s v="PRILANTEC - UIO (TUENTI)"/>
    <s v="1792412501001"/>
    <s v="QUITO"/>
    <s v="Indirecto"/>
    <x v="0"/>
    <x v="4"/>
    <n v="113950"/>
  </r>
  <r>
    <d v="2020-07-27T00:00:00"/>
    <n v="34731355"/>
    <n v="3114"/>
    <s v="162121"/>
    <s v="HALFSIM TUENTI CELOFAN PORTABILIDAD"/>
    <n v="150"/>
    <n v="81"/>
    <n v="0.54"/>
    <s v="2GQUOTRO"/>
    <s v="PRILANTEC - UIO (TUENTI)"/>
    <s v="1792412501001"/>
    <s v="QUITO"/>
    <s v="Indirecto"/>
    <x v="0"/>
    <x v="25"/>
    <n v="162121"/>
  </r>
  <r>
    <d v="2020-07-27T00:00:00"/>
    <n v="34731358"/>
    <n v="2400"/>
    <s v="113950"/>
    <s v="Usim Tuenti Prepago Celofán Numerada $ 5.00"/>
    <n v="500"/>
    <n v="395"/>
    <n v="0.79"/>
    <s v="DISINDQUIUIO2978"/>
    <s v="DISTRIMARKET ZONIFICACION UIO TUENTI"/>
    <s v="1792141850001"/>
    <s v="QUITO"/>
    <s v="Indirecto"/>
    <x v="0"/>
    <x v="3"/>
    <n v="113950"/>
  </r>
  <r>
    <d v="2020-07-27T00:00:00"/>
    <n v="34731361"/>
    <n v="3114"/>
    <s v="162121"/>
    <s v="HALFSIM TUENTI CELOFAN PORTABILIDAD"/>
    <n v="100"/>
    <n v="54"/>
    <n v="0.54"/>
    <s v="N/A"/>
    <s v="MUESMUERAN IMBAQUINGO MARIA LUPE (TUENTI)"/>
    <s v="1706498415001"/>
    <s v="QUITO"/>
    <s v="Indirecto"/>
    <x v="0"/>
    <x v="25"/>
    <n v="162121"/>
  </r>
  <r>
    <d v="2020-07-27T00:00:00"/>
    <n v="34731362"/>
    <n v="2416"/>
    <s v="113950"/>
    <s v="Usim Tuenti Prepago Celofán Numerada $5 SinSticker"/>
    <n v="100"/>
    <n v="79"/>
    <n v="0.79"/>
    <s v="SOLINDMANSOL5978"/>
    <s v="SOL PARDO TUENTI"/>
    <s v="1308782679001"/>
    <s v="MANTA"/>
    <s v="Indirecto"/>
    <x v="0"/>
    <x v="4"/>
    <n v="113950"/>
  </r>
  <r>
    <d v="2020-07-27T00:00:00"/>
    <n v="34731363"/>
    <n v="2416"/>
    <s v="113950"/>
    <s v="Usim Tuenti Prepago Celofán Numerada $5 SinSticker"/>
    <n v="200"/>
    <n v="158"/>
    <n v="0.79"/>
    <s v="SAMINDMANSAM7280"/>
    <s v="SAMSEB MOBILE MANTA TUENTI"/>
    <s v="1313889774001"/>
    <s v="MANTA"/>
    <s v="Indirecto"/>
    <x v="0"/>
    <x v="4"/>
    <n v="113950"/>
  </r>
  <r>
    <d v="2020-07-27T00:00:00"/>
    <n v="34731364"/>
    <n v="2416"/>
    <s v="113950"/>
    <s v="Usim Tuenti Prepago Celofán Numerada $5 SinSticker"/>
    <n v="200"/>
    <n v="158"/>
    <n v="0.79"/>
    <s v="N/A"/>
    <s v="PLUS4G TUENTI (LA LIBERTAD)"/>
    <s v="0992984074001"/>
    <s v="LA LIBERTAD"/>
    <s v="Indirecto"/>
    <x v="0"/>
    <x v="4"/>
    <n v="113950"/>
  </r>
  <r>
    <d v="2020-07-27T00:00:00"/>
    <n v="34731364"/>
    <n v="3114"/>
    <s v="162121"/>
    <s v="HALFSIM TUENTI CELOFAN PORTABILIDAD"/>
    <n v="50"/>
    <n v="27"/>
    <n v="0.54"/>
    <s v="N/A"/>
    <s v="PLUS4G TUENTI (LA LIBERTAD)"/>
    <s v="0992984074001"/>
    <s v="LA LIBERTAD"/>
    <s v="Indirecto"/>
    <x v="0"/>
    <x v="25"/>
    <n v="162121"/>
  </r>
  <r>
    <d v="2020-07-27T00:00:00"/>
    <n v="34731365"/>
    <n v="2416"/>
    <s v="113950"/>
    <s v="Usim Tuenti Prepago Celofán Numerada $5 SinSticker"/>
    <n v="354"/>
    <n v="279.66"/>
    <n v="0.79"/>
    <s v="N/A"/>
    <s v="PLUS4G TUENTI (GUAYAQUIL)"/>
    <s v="0992984074001"/>
    <s v="GUAYAQUIL"/>
    <s v="Indirecto"/>
    <x v="0"/>
    <x v="4"/>
    <n v="113950"/>
  </r>
  <r>
    <d v="2020-07-27T00:00:00"/>
    <n v="34731365"/>
    <n v="3114"/>
    <s v="162121"/>
    <s v="HALFSIM TUENTI CELOFAN PORTABILIDAD"/>
    <n v="100"/>
    <n v="54"/>
    <n v="0.54"/>
    <s v="N/A"/>
    <s v="PLUS4G TUENTI (GUAYAQUIL)"/>
    <s v="0992984074001"/>
    <s v="GUAYAQUIL"/>
    <s v="Indirecto"/>
    <x v="0"/>
    <x v="25"/>
    <n v="162121"/>
  </r>
  <r>
    <d v="2020-07-27T00:00:00"/>
    <n v="34731374"/>
    <n v="3084"/>
    <s v="162142"/>
    <s v="Halfsim Tuenti Prepago Celofán Numerada $ 5.00"/>
    <n v="2"/>
    <n v="1.14"/>
    <n v="0.57"/>
    <s v="OTEINDGUATUE2938"/>
    <s v="TUENTI PRUEBAS GUAYAQUIL"/>
    <s v="0000000000065"/>
    <s v="GUAYAQUIL"/>
    <s v="Indirecto"/>
    <x v="0"/>
    <x v="10"/>
    <n v="162142"/>
  </r>
  <r>
    <d v="2020-07-27T00:00:00"/>
    <n v="34731374"/>
    <n v="3092"/>
    <s v="162142"/>
    <s v="Halfsim Tuenti Prepago Celofán Numerada $10.00 "/>
    <n v="2"/>
    <n v="1.08"/>
    <n v="0.54"/>
    <s v="OTEINDGUATUE2938"/>
    <s v="TUENTI PRUEBAS GUAYAQUIL"/>
    <s v="0000000000065"/>
    <s v="GUAYAQUIL"/>
    <s v="Indirecto"/>
    <x v="0"/>
    <x v="24"/>
    <n v="162142"/>
  </r>
  <r>
    <d v="2020-07-27T00:00:00"/>
    <n v="34731374"/>
    <n v="3093"/>
    <s v="162142"/>
    <s v="Halfsim Tuenti Prepago Celofán Numerada $20.00"/>
    <n v="2"/>
    <n v="1.08"/>
    <n v="0.54"/>
    <s v="OTEINDGUATUE2938"/>
    <s v="TUENTI PRUEBAS GUAYAQUIL"/>
    <s v="0000000000065"/>
    <s v="GUAYAQUIL"/>
    <s v="Indirecto"/>
    <x v="0"/>
    <x v="23"/>
    <n v="162142"/>
  </r>
  <r>
    <d v="2020-07-27T00:00:00"/>
    <n v="34731374"/>
    <n v="3114"/>
    <s v="162121"/>
    <s v="HALFSIM TUENTI CELOFAN PORTABILIDAD"/>
    <n v="2"/>
    <n v="1.08"/>
    <n v="0.54"/>
    <s v="OTEINDGUATUE2938"/>
    <s v="TUENTI PRUEBAS GUAYAQUIL"/>
    <s v="0000000000065"/>
    <s v="GUAYAQUIL"/>
    <s v="Indirecto"/>
    <x v="0"/>
    <x v="25"/>
    <n v="162121"/>
  </r>
  <r>
    <d v="2020-07-27T00:00:00"/>
    <n v="34731374"/>
    <n v="3101"/>
    <s v="162142"/>
    <s v="Halfsim Tuenti Prepago Celofán Numerada $25.00"/>
    <n v="2"/>
    <n v="1.08"/>
    <n v="0.54"/>
    <s v="OTEINDGUATUE2938"/>
    <s v="TUENTI PRUEBAS GUAYAQUIL"/>
    <s v="0000000000065"/>
    <s v="GUAYAQUIL"/>
    <s v="Indirecto"/>
    <x v="0"/>
    <x v="28"/>
    <n v="162142"/>
  </r>
  <r>
    <d v="2020-07-27T00:00:00"/>
    <n v="34731374"/>
    <n v="3091"/>
    <s v="162142"/>
    <s v="HalfsimTuenti PrepagoCelofanNumerada $5sin sticker"/>
    <n v="2"/>
    <n v="1.08"/>
    <n v="0.54"/>
    <s v="OTEINDGUATUE2938"/>
    <s v="TUENTI PRUEBAS GUAYAQUIL"/>
    <s v="0000000000065"/>
    <s v="GUAYAQUIL"/>
    <s v="Indirecto"/>
    <x v="0"/>
    <x v="29"/>
    <n v="162142"/>
  </r>
  <r>
    <d v="2020-07-28T00:00:00"/>
    <n v="34731400"/>
    <n v="3022"/>
    <s v="162146"/>
    <s v="USIM MULTISIM MOVISTAR"/>
    <n v="47"/>
    <n v="41.83"/>
    <n v="0.89"/>
    <s v="SINCODIGO"/>
    <s v="URBANO EXPRESS (TELEFONICA)"/>
    <s v="1791256115001"/>
    <s v="QUITO"/>
    <s v="Cliente Final"/>
    <x v="0"/>
    <x v="0"/>
    <n v="162146"/>
  </r>
  <r>
    <d v="2020-07-28T00:00:00"/>
    <n v="34731401"/>
    <n v="3022"/>
    <s v="162146"/>
    <s v="USIM MULTISIM MOVISTAR"/>
    <n v="2"/>
    <n v="1.78"/>
    <n v="0.89"/>
    <s v="SINCODIGO"/>
    <s v="URBANO EXPRESS (TELEFONICA)"/>
    <s v="1791256115001"/>
    <s v="QUITO"/>
    <s v="Cliente Final"/>
    <x v="0"/>
    <x v="0"/>
    <n v="162146"/>
  </r>
  <r>
    <d v="2020-07-28T00:00:00"/>
    <n v="34731402"/>
    <n v="3022"/>
    <s v="162146"/>
    <s v="USIM MULTISIM MOVISTAR"/>
    <n v="6"/>
    <n v="5.34"/>
    <n v="0.89"/>
    <s v="SIN CODIGO"/>
    <s v="TRAMACO"/>
    <s v="1792161037001"/>
    <s v="(en blanco)"/>
    <s v="Cliente Final"/>
    <x v="0"/>
    <x v="0"/>
    <n v="162146"/>
  </r>
  <r>
    <d v="2020-07-28T00:00:00"/>
    <n v="34731403"/>
    <n v="3022"/>
    <s v="162146"/>
    <s v="USIM MULTISIM MOVISTAR"/>
    <n v="3"/>
    <n v="2.67"/>
    <n v="0.89"/>
    <s v="SINCODIGO"/>
    <s v="MOTORIZADO CELISTICS SIMCARDS"/>
    <s v="0000000000001"/>
    <s v="QUITO"/>
    <s v="Cliente Final"/>
    <x v="0"/>
    <x v="0"/>
    <n v="162146"/>
  </r>
  <r>
    <d v="2020-07-28T00:00:00"/>
    <n v="34731409"/>
    <n v="3022"/>
    <s v="162146"/>
    <s v="USIM MULTISIM MOVISTAR"/>
    <n v="243"/>
    <n v="216.27"/>
    <n v="0.89"/>
    <s v="SINCODIGO"/>
    <s v="URBANO EXPRESS (TELEFONICA)"/>
    <s v="1791256115001"/>
    <s v="QUITO"/>
    <s v="Cliente Final"/>
    <x v="0"/>
    <x v="0"/>
    <n v="162146"/>
  </r>
  <r>
    <d v="2020-07-28T00:00:00"/>
    <n v="34731409"/>
    <n v="2761"/>
    <s v="162082"/>
    <s v="SIM KITE M2M 2FF STANDARD"/>
    <n v="2"/>
    <n v="2.92"/>
    <n v="1.46"/>
    <s v="SINCODIGO"/>
    <s v="URBANO EXPRESS (TELEFONICA)"/>
    <s v="1791256115001"/>
    <s v="QUITO"/>
    <s v="Cliente Final"/>
    <x v="0"/>
    <x v="14"/>
    <n v="162082"/>
  </r>
  <r>
    <d v="2020-07-28T00:00:00"/>
    <n v="34731409"/>
    <n v="2763"/>
    <s v="162084"/>
    <s v="SIM KITE M2M 3FF HIGH TEMP"/>
    <n v="2"/>
    <n v="2.9"/>
    <n v="1.45"/>
    <s v="SINCODIGO"/>
    <s v="URBANO EXPRESS (TELEFONICA)"/>
    <s v="1791256115001"/>
    <s v="QUITO"/>
    <s v="Cliente Final"/>
    <x v="0"/>
    <x v="6"/>
    <n v="162084"/>
  </r>
  <r>
    <d v="2020-07-28T00:00:00"/>
    <n v="34731409"/>
    <n v="2665"/>
    <s v="162115"/>
    <s v="SIMCARD M2M 2FF LTE"/>
    <n v="80"/>
    <n v="95.19999999999999"/>
    <n v="1.19"/>
    <s v="SINCODIGO"/>
    <s v="URBANO EXPRESS (TELEFONICA)"/>
    <s v="1791256115001"/>
    <s v="QUITO"/>
    <s v="Cliente Final"/>
    <x v="0"/>
    <x v="20"/>
    <n v="162046"/>
  </r>
  <r>
    <d v="2020-07-28T00:00:00"/>
    <n v="34731411"/>
    <n v="2804"/>
    <s v="162092"/>
    <s v="CHIP PREPAGO $3 NUMERADO"/>
    <n v="1000"/>
    <n v="540"/>
    <n v="0.54"/>
    <s v="SOLZONGUASOL2718"/>
    <s v="SOLUMOVECSA ZONIFICACION GUAYAQUIL"/>
    <s v="1792504015001"/>
    <s v="GUAYAQUIL"/>
    <s v="Indirecto"/>
    <x v="0"/>
    <x v="1"/>
    <n v="162092"/>
  </r>
  <r>
    <d v="2020-07-28T00:00:00"/>
    <n v="34731412"/>
    <n v="2804"/>
    <s v="162092"/>
    <s v="CHIP PREPAGO $3 NUMERADO"/>
    <n v="800"/>
    <n v="432"/>
    <n v="0.54"/>
    <s v="SOLZONMANSOL3200"/>
    <s v="SOLUMOVECSA ZONIFICACION MANABÍ"/>
    <s v="1792504015001"/>
    <s v="MANTA"/>
    <s v="Indirecto"/>
    <x v="0"/>
    <x v="1"/>
    <n v="162092"/>
  </r>
  <r>
    <d v="2020-07-28T00:00:00"/>
    <n v="34731414"/>
    <n v="3022"/>
    <s v="162146"/>
    <s v="USIM MULTISIM MOVISTAR"/>
    <n v="1000"/>
    <n v="890"/>
    <n v="0.89"/>
    <s v="SININDGUASIN1499"/>
    <s v="SINERGIA CONTACT CENTER SINENTCONT S.A."/>
    <s v="0992937807001"/>
    <s v="GUAYAQUIL"/>
    <s v="Indirecto"/>
    <x v="0"/>
    <x v="0"/>
    <n v="162146"/>
  </r>
  <r>
    <d v="2020-07-28T00:00:00"/>
    <n v="34731415"/>
    <n v="3022"/>
    <s v="162146"/>
    <s v="USIM MULTISIM MOVISTAR"/>
    <n v="2000"/>
    <n v="1780"/>
    <n v="0.89"/>
    <s v="CYQUOTRO"/>
    <s v="SERVICIOS CYBERCELL S.A. ( QUITO )"/>
    <s v="1791413962001"/>
    <s v="QUITO"/>
    <s v="Indirecto"/>
    <x v="0"/>
    <x v="0"/>
    <n v="162146"/>
  </r>
  <r>
    <d v="2020-07-28T00:00:00"/>
    <n v="34731416"/>
    <n v="3022"/>
    <s v="162146"/>
    <s v="USIM MULTISIM MOVISTAR"/>
    <n v="100"/>
    <n v="89"/>
    <n v="0.89"/>
    <s v="TAQUOTRO"/>
    <s v="FRANK LUIS ENRIQUEZ MEDINA"/>
    <s v="1707755748001"/>
    <s v="QUITO"/>
    <s v="Indirecto"/>
    <x v="0"/>
    <x v="0"/>
    <n v="162146"/>
  </r>
  <r>
    <d v="2020-07-28T00:00:00"/>
    <n v="34731417"/>
    <n v="3022"/>
    <s v="162146"/>
    <s v="USIM MULTISIM MOVISTAR"/>
    <n v="100"/>
    <n v="89"/>
    <n v="0.89"/>
    <s v="LMSNEGQUILMS7218"/>
    <s v="L&amp;M SOLUTIONS QUITO"/>
    <s v="1500369473001"/>
    <s v="QUITO"/>
    <s v="Indirecto"/>
    <x v="0"/>
    <x v="0"/>
    <n v="162146"/>
  </r>
  <r>
    <d v="2020-07-28T00:00:00"/>
    <n v="34731418"/>
    <n v="3022"/>
    <s v="162146"/>
    <s v="USIM MULTISIM MOVISTAR"/>
    <n v="250"/>
    <n v="222.5"/>
    <n v="0.89"/>
    <s v="N/A"/>
    <s v="XPERTO (PULL QUICENTRO SUR 2)"/>
    <s v="1792255007001"/>
    <s v="QUITO"/>
    <s v="Indirecto"/>
    <x v="0"/>
    <x v="0"/>
    <n v="162146"/>
  </r>
  <r>
    <d v="2020-07-28T00:00:00"/>
    <n v="34731419"/>
    <n v="3022"/>
    <s v="162146"/>
    <s v="USIM MULTISIM MOVISTAR"/>
    <n v="250"/>
    <n v="222.5"/>
    <n v="0.89"/>
    <s v="DWQ2OTRO"/>
    <s v="XPERTO (PULL QUICENTRO SUR)"/>
    <s v="1792255007001"/>
    <s v="QUITO"/>
    <s v="Indirecto"/>
    <x v="0"/>
    <x v="0"/>
    <n v="162146"/>
  </r>
  <r>
    <d v="2020-07-28T00:00:00"/>
    <n v="34731421"/>
    <n v="3022"/>
    <s v="162146"/>
    <s v="USIM MULTISIM MOVISTAR"/>
    <n v="100"/>
    <n v="89"/>
    <n v="0.89"/>
    <s v="COMINDQUICOM5240"/>
    <s v="COMERCIAL SANTA MONICA"/>
    <s v="1705387510001"/>
    <s v="QUITO"/>
    <s v="Indirecto"/>
    <x v="0"/>
    <x v="0"/>
    <n v="162146"/>
  </r>
  <r>
    <d v="2020-07-28T00:00:00"/>
    <n v="34731423"/>
    <n v="3022"/>
    <s v="162146"/>
    <s v="USIM MULTISIM MOVISTAR"/>
    <n v="28"/>
    <n v="24.92"/>
    <n v="0.89"/>
    <s v="SIN CODIGO"/>
    <s v="TRAMACO"/>
    <s v="1792161037001"/>
    <s v="(en blanco)"/>
    <s v="Cliente Final"/>
    <x v="0"/>
    <x v="0"/>
    <n v="162146"/>
  </r>
  <r>
    <d v="2020-07-28T00:00:00"/>
    <n v="34731424"/>
    <n v="3022"/>
    <s v="162146"/>
    <s v="USIM MULTISIM MOVISTAR"/>
    <n v="8"/>
    <n v="7.12"/>
    <n v="0.89"/>
    <s v="SINCODIGO"/>
    <s v="MOTORIZADO CELISTICS SIMCARDS"/>
    <s v="0000000000001"/>
    <s v="QUITO"/>
    <s v="Cliente Final"/>
    <x v="0"/>
    <x v="0"/>
    <n v="162146"/>
  </r>
  <r>
    <d v="2020-07-28T00:00:00"/>
    <n v="34731439"/>
    <n v="3022"/>
    <s v="162146"/>
    <s v="USIM MULTISIM MOVISTAR"/>
    <n v="200"/>
    <n v="178"/>
    <n v="0.89"/>
    <s v="CDO"/>
    <s v="CAV 9 DE OCTUBRE"/>
    <s v="1791256115001"/>
    <s v="GUAYAQUIL"/>
    <s v="Directo"/>
    <x v="1"/>
    <x v="0"/>
    <n v="162146"/>
  </r>
  <r>
    <d v="2020-07-28T00:00:00"/>
    <n v="34731440"/>
    <n v="3022"/>
    <s v="162146"/>
    <s v="USIM MULTISIM MOVISTAR"/>
    <n v="300"/>
    <n v="267"/>
    <n v="0.89"/>
    <s v="CCS"/>
    <s v="CAV CONDADO SHOPPING"/>
    <s v="1791256115001"/>
    <s v="QUITO"/>
    <s v="Directo"/>
    <x v="1"/>
    <x v="0"/>
    <n v="162146"/>
  </r>
  <r>
    <d v="2020-07-28T00:00:00"/>
    <n v="34731441"/>
    <n v="3022"/>
    <s v="162146"/>
    <s v="USIM MULTISIM MOVISTAR"/>
    <n v="200"/>
    <n v="178"/>
    <n v="0.89"/>
    <s v="CPA"/>
    <s v="CAV PLAZA DE LAS AMERICAS"/>
    <s v="1791256115001"/>
    <s v="QUITO"/>
    <s v="Directo"/>
    <x v="1"/>
    <x v="0"/>
    <n v="162146"/>
  </r>
  <r>
    <d v="2020-07-28T00:00:00"/>
    <n v="34731442"/>
    <n v="3022"/>
    <s v="162146"/>
    <s v="USIM MULTISIM MOVISTAR"/>
    <n v="100"/>
    <n v="89"/>
    <n v="0.89"/>
    <s v="CPG"/>
    <s v="CAV POLICENTRO"/>
    <s v="1791256115001"/>
    <s v="GUAYAQUIL"/>
    <s v="Directo"/>
    <x v="1"/>
    <x v="0"/>
    <n v="162146"/>
  </r>
  <r>
    <d v="2020-07-28T00:00:00"/>
    <n v="34731444"/>
    <n v="3022"/>
    <s v="162146"/>
    <s v="USIM MULTISIM MOVISTAR"/>
    <n v="500"/>
    <n v="445"/>
    <n v="0.89"/>
    <s v="RB"/>
    <s v="CAV MALL DEL RIO"/>
    <s v="1791256115001"/>
    <s v="CUENCA"/>
    <s v="Directo"/>
    <x v="1"/>
    <x v="0"/>
    <n v="162146"/>
  </r>
  <r>
    <d v="2020-07-28T00:00:00"/>
    <n v="34731445"/>
    <n v="3022"/>
    <s v="162146"/>
    <s v="USIM MULTISIM MOVISTAR"/>
    <n v="200"/>
    <n v="178"/>
    <n v="0.89"/>
    <s v="QH"/>
    <s v="CAV QUICENTRO"/>
    <s v="1791256115001"/>
    <s v="QUITO"/>
    <s v="Directo"/>
    <x v="1"/>
    <x v="0"/>
    <n v="162146"/>
  </r>
  <r>
    <d v="2020-07-28T00:00:00"/>
    <n v="34731446"/>
    <n v="3022"/>
    <s v="162146"/>
    <s v="USIM MULTISIM MOVISTAR"/>
    <n v="300"/>
    <n v="267"/>
    <n v="0.89"/>
    <s v="BS"/>
    <s v="CAV SAN MARINO (GUAYAQUIL)"/>
    <s v="1791256115001"/>
    <s v="GUAYAQUIL"/>
    <s v="Directo"/>
    <x v="1"/>
    <x v="0"/>
    <n v="162146"/>
  </r>
  <r>
    <d v="2020-07-28T00:00:00"/>
    <n v="34731404"/>
    <n v="2400"/>
    <s v="113950"/>
    <s v="Usim Tuenti Prepago Celofán Numerada $ 5.00"/>
    <n v="500"/>
    <n v="395"/>
    <n v="0.79"/>
    <s v="SOLZONLOJSOL4499"/>
    <s v="SOLUMOVECSA TUENTI-QUITO"/>
    <s v="1792504015001"/>
    <s v="QUITO"/>
    <s v="Indirecto"/>
    <x v="0"/>
    <x v="3"/>
    <n v="113950"/>
  </r>
  <r>
    <d v="2020-07-28T00:00:00"/>
    <n v="34731405"/>
    <n v="2400"/>
    <s v="113950"/>
    <s v="Usim Tuenti Prepago Celofán Numerada $ 5.00"/>
    <n v="500"/>
    <n v="395"/>
    <n v="0.79"/>
    <s v="SOLZONPASZON4678"/>
    <s v="SOLUMOVECSA TUENTI-PUYO"/>
    <s v="1792504015001"/>
    <s v="QUITO"/>
    <s v="Indirecto"/>
    <x v="0"/>
    <x v="3"/>
    <n v="113950"/>
  </r>
  <r>
    <d v="2020-07-28T00:00:00"/>
    <n v="34731406"/>
    <n v="2400"/>
    <s v="113950"/>
    <s v="Usim Tuenti Prepago Celofán Numerada $ 5.00"/>
    <n v="1000"/>
    <n v="790"/>
    <n v="0.79"/>
    <s v="SOLZONLOJSOL4497"/>
    <s v="SOLUMOVECSA TUENTI-MANTA"/>
    <s v="1792504015001"/>
    <s v="MANTA"/>
    <s v="Indirecto"/>
    <x v="0"/>
    <x v="3"/>
    <n v="113950"/>
  </r>
  <r>
    <d v="2020-07-28T00:00:00"/>
    <n v="34731407"/>
    <n v="2400"/>
    <s v="113950"/>
    <s v="Usim Tuenti Prepago Celofán Numerada $ 5.00"/>
    <n v="500"/>
    <n v="395"/>
    <n v="0.79"/>
    <s v="SOLZONLOJSOL4482"/>
    <s v="SOLUMOVECSA TUENTI-MACHALA"/>
    <s v="1792504015001"/>
    <s v="MACHALA"/>
    <s v="Indirecto"/>
    <x v="0"/>
    <x v="3"/>
    <n v="113950"/>
  </r>
  <r>
    <d v="2020-07-28T00:00:00"/>
    <n v="34731408"/>
    <n v="2400"/>
    <s v="113950"/>
    <s v="Usim Tuenti Prepago Celofán Numerada $ 5.00"/>
    <n v="1500"/>
    <n v="1185"/>
    <n v="0.79"/>
    <s v="SOLZONLOJSOL4478"/>
    <s v="SOLUMOVECSA TUENTI-GUAYAQUIL"/>
    <s v="1792504015001"/>
    <s v="GUAYAQUIL"/>
    <s v="Indirecto"/>
    <x v="0"/>
    <x v="3"/>
    <n v="113950"/>
  </r>
  <r>
    <d v="2020-07-28T00:00:00"/>
    <n v="34731410"/>
    <n v="2396"/>
    <s v="113950"/>
    <s v="Usim Tuenti Prepago Blíster Numerada $ 5.00"/>
    <n v="300"/>
    <n v="327"/>
    <n v="1.09"/>
    <s v="NANINDMACNAN3598"/>
    <s v="DONNYS ROBERTO FEIJOO SALAZAR (NANOMAX) TUENTI"/>
    <s v="0703178723001"/>
    <s v="MACHALA"/>
    <s v="Indirecto"/>
    <x v="0"/>
    <x v="12"/>
    <n v="113950"/>
  </r>
  <r>
    <d v="2020-07-28T00:00:00"/>
    <n v="34731410"/>
    <n v="3114"/>
    <s v="162121"/>
    <s v="HALFSIM TUENTI CELOFAN PORTABILIDAD"/>
    <n v="100"/>
    <n v="54"/>
    <n v="0.54"/>
    <s v="NANINDMACNAN3598"/>
    <s v="DONNYS ROBERTO FEIJOO SALAZAR (NANOMAX) TUENTI"/>
    <s v="0703178723001"/>
    <s v="MACHALA"/>
    <s v="Indirecto"/>
    <x v="0"/>
    <x v="25"/>
    <n v="162121"/>
  </r>
  <r>
    <d v="2020-07-28T00:00:00"/>
    <n v="34731448"/>
    <n v="2396"/>
    <s v="113950"/>
    <s v="Usim Tuenti Prepago Blíster Numerada $ 5.00"/>
    <n v="200"/>
    <n v="218"/>
    <n v="1.09"/>
    <s v="0SAMOTRO"/>
    <s v="EDISSON RAUL PARRA BARRERA TUENTI"/>
    <s v="1803673944001"/>
    <s v="AMBATO"/>
    <s v="Indirecto"/>
    <x v="0"/>
    <x v="12"/>
    <n v="113950"/>
  </r>
  <r>
    <d v="2020-07-28T00:00:00"/>
    <n v="34731448"/>
    <n v="3114"/>
    <s v="162121"/>
    <s v="HALFSIM TUENTI CELOFAN PORTABILIDAD"/>
    <n v="500"/>
    <n v="270"/>
    <n v="0.54"/>
    <s v="0SAMOTRO"/>
    <s v="EDISSON RAUL PARRA BARRERA TUENTI"/>
    <s v="1803673944001"/>
    <s v="AMBATO"/>
    <s v="Indirecto"/>
    <x v="0"/>
    <x v="25"/>
    <n v="162121"/>
  </r>
  <r>
    <d v="2020-07-28T00:00:00"/>
    <n v="34731449"/>
    <n v="2396"/>
    <s v="113950"/>
    <s v="Usim Tuenti Prepago Blíster Numerada $ 5.00"/>
    <n v="400"/>
    <n v="436.0000000000001"/>
    <n v="1.09"/>
    <s v="4VGYOTRO"/>
    <s v="RAUL ANTONIO ALVAREZ JARAMILLO - GUAYAQUIL (TUENTI"/>
    <s v="0912181591001"/>
    <s v="GUAYAQUIL"/>
    <s v="Indirecto"/>
    <x v="0"/>
    <x v="12"/>
    <n v="113950"/>
  </r>
  <r>
    <d v="2020-07-28T00:00:00"/>
    <n v="34731449"/>
    <n v="3114"/>
    <s v="162121"/>
    <s v="HALFSIM TUENTI CELOFAN PORTABILIDAD"/>
    <n v="200"/>
    <n v="108"/>
    <n v="0.54"/>
    <s v="4VGYOTRO"/>
    <s v="RAUL ANTONIO ALVAREZ JARAMILLO - GUAYAQUIL (TUENTI"/>
    <s v="0912181591001"/>
    <s v="GUAYAQUIL"/>
    <s v="Indirecto"/>
    <x v="0"/>
    <x v="25"/>
    <n v="162121"/>
  </r>
  <r>
    <d v="2020-07-28T00:00:00"/>
    <n v="34731450"/>
    <n v="2416"/>
    <s v="113950"/>
    <s v="Usim Tuenti Prepago Celofán Numerada $5 SinSticker"/>
    <n v="250"/>
    <n v="197.5"/>
    <n v="0.79"/>
    <s v="DARINDCUEDAR2958"/>
    <s v="DARDO CORP - XAVIER DAVID LEON CARRION (TUENTI)"/>
    <s v="0102777984001"/>
    <s v="CUENCA"/>
    <s v="Indirecto"/>
    <x v="0"/>
    <x v="4"/>
    <n v="113950"/>
  </r>
  <r>
    <d v="2020-07-28T00:00:00"/>
    <n v="34731450"/>
    <n v="3114"/>
    <s v="162121"/>
    <s v="HALFSIM TUENTI CELOFAN PORTABILIDAD"/>
    <n v="100"/>
    <n v="54"/>
    <n v="0.54"/>
    <s v="DARINDCUEDAR2958"/>
    <s v="DARDO CORP - XAVIER DAVID LEON CARRION (TUENTI)"/>
    <s v="0102777984001"/>
    <s v="CUENCA"/>
    <s v="Indirecto"/>
    <x v="0"/>
    <x v="25"/>
    <n v="162121"/>
  </r>
  <r>
    <d v="2020-07-29T00:00:00"/>
    <n v="34731471"/>
    <n v="3022"/>
    <s v="162146"/>
    <s v="USIM MULTISIM MOVISTAR"/>
    <n v="95"/>
    <n v="84.55"/>
    <n v="0.89"/>
    <s v="SINCODIGO"/>
    <s v="URBANO EXPRESS (TELEFONICA)"/>
    <s v="1791256115001"/>
    <s v="QUITO"/>
    <s v="Cliente Final"/>
    <x v="0"/>
    <x v="0"/>
    <n v="162146"/>
  </r>
  <r>
    <d v="2020-07-29T00:00:00"/>
    <n v="34731473"/>
    <n v="3022"/>
    <s v="162146"/>
    <s v="USIM MULTISIM MOVISTAR"/>
    <n v="19"/>
    <n v="16.91"/>
    <n v="0.89"/>
    <s v="SIN CODIGO"/>
    <s v="TRAMACO"/>
    <s v="1792161037001"/>
    <s v="(en blanco)"/>
    <s v="Cliente Final"/>
    <x v="0"/>
    <x v="0"/>
    <n v="162146"/>
  </r>
  <r>
    <d v="2020-07-29T00:00:00"/>
    <n v="34731474"/>
    <n v="3022"/>
    <s v="162146"/>
    <s v="USIM MULTISIM MOVISTAR"/>
    <n v="9"/>
    <n v="8.01"/>
    <n v="0.89"/>
    <s v="SINCODIGO"/>
    <s v="MOTORIZADO CELISTICS SIMCARDS"/>
    <s v="0000000000001"/>
    <s v="QUITO"/>
    <s v="Cliente Final"/>
    <x v="0"/>
    <x v="0"/>
    <n v="162146"/>
  </r>
  <r>
    <d v="2020-07-29T00:00:00"/>
    <n v="34731476"/>
    <n v="3022"/>
    <s v="162146"/>
    <s v="USIM MULTISIM MOVISTAR"/>
    <n v="50"/>
    <n v="44.5"/>
    <n v="0.89"/>
    <s v="MHAZOTRO"/>
    <s v="MOVIPHONE CIA. LTDA. (AZOGUES)"/>
    <s v="0391007160001"/>
    <s v="AZOGUES"/>
    <s v="Indirecto"/>
    <x v="0"/>
    <x v="0"/>
    <n v="162146"/>
  </r>
  <r>
    <d v="2020-07-29T00:00:00"/>
    <n v="34731477"/>
    <n v="2804"/>
    <s v="162092"/>
    <s v="CHIP PREPAGO $3 NUMERADO"/>
    <n v="500"/>
    <n v="270"/>
    <n v="0.54"/>
    <s v="MHAZOTRO"/>
    <s v="MOVIPHONE CIA. LTDA. (AZOGUES)"/>
    <s v="0391007160001"/>
    <s v="AZOGUES"/>
    <s v="Indirecto"/>
    <x v="0"/>
    <x v="1"/>
    <n v="162092"/>
  </r>
  <r>
    <d v="2020-07-29T00:00:00"/>
    <n v="34731482"/>
    <n v="2801"/>
    <s v="162089"/>
    <s v="CHIP PREPAGO $5 AUTOSERVICIO"/>
    <n v="300"/>
    <n v="160.5"/>
    <n v="0.535"/>
    <s v="CHQUOTRO"/>
    <s v="FARMAENLACE CIA"/>
    <s v="1791984722001"/>
    <s v="QUITO"/>
    <s v="Retail"/>
    <x v="0"/>
    <x v="9"/>
    <n v="162089"/>
  </r>
  <r>
    <d v="2020-07-29T00:00:00"/>
    <n v="34731483"/>
    <n v="3022"/>
    <s v="162146"/>
    <s v="USIM MULTISIM MOVISTAR"/>
    <n v="100"/>
    <n v="89"/>
    <n v="0.89"/>
    <s v=""/>
    <s v="IBETH ELIANA MARTINEZ GUERRERO"/>
    <s v="1309654414001"/>
    <s v="QUITO"/>
    <s v="Indirecto"/>
    <x v="0"/>
    <x v="0"/>
    <n v="162146"/>
  </r>
  <r>
    <d v="2020-07-29T00:00:00"/>
    <n v="34731484"/>
    <n v="2804"/>
    <s v="162092"/>
    <s v="CHIP PREPAGO $3 NUMERADO"/>
    <n v="600"/>
    <n v="324"/>
    <n v="0.54"/>
    <s v="JNSDOTRO"/>
    <s v="DISTRIMARKET S.A. (STO. DOMINGO)"/>
    <s v="1792141850001"/>
    <s v="SANTO DOMINGO"/>
    <s v="Indirecto"/>
    <x v="0"/>
    <x v="1"/>
    <n v="162092"/>
  </r>
  <r>
    <d v="2020-07-29T00:00:00"/>
    <n v="34731486"/>
    <n v="3022"/>
    <s v="162146"/>
    <s v="USIM MULTISIM MOVISTAR"/>
    <n v="200"/>
    <n v="178"/>
    <n v="0.89"/>
    <s v="LOONEGMANLOO7338"/>
    <s v="LOORSA COMUNICACIONES"/>
    <s v="0918571878001"/>
    <s v="GUAYAQUIL"/>
    <s v="Indirecto"/>
    <x v="0"/>
    <x v="0"/>
    <n v="162146"/>
  </r>
  <r>
    <d v="2020-07-29T00:00:00"/>
    <n v="34731487"/>
    <n v="3022"/>
    <s v="162146"/>
    <s v="USIM MULTISIM MOVISTAR"/>
    <n v="100"/>
    <n v="89"/>
    <n v="0.89"/>
    <s v="N/A"/>
    <s v="HELPUSER S.A."/>
    <s v="0993065285001"/>
    <s v="GUAYAQUIL"/>
    <s v="Indirecto"/>
    <x v="0"/>
    <x v="0"/>
    <n v="162146"/>
  </r>
  <r>
    <d v="2020-07-29T00:00:00"/>
    <n v="34731492"/>
    <n v="3022"/>
    <s v="162146"/>
    <s v="USIM MULTISIM MOVISTAR"/>
    <n v="100"/>
    <n v="89"/>
    <n v="0.89"/>
    <s v="NPIBOTRO"/>
    <s v="NORPHONE CIA. LTDA. (IBARRA)"/>
    <s v="1091717898001"/>
    <s v="IBARRA"/>
    <s v="Indirecto"/>
    <x v="0"/>
    <x v="0"/>
    <n v="162146"/>
  </r>
  <r>
    <d v="2020-07-29T00:00:00"/>
    <n v="34731493"/>
    <n v="3022"/>
    <s v="162146"/>
    <s v="USIM MULTISIM MOVISTAR"/>
    <n v="100"/>
    <n v="89"/>
    <n v="0.89"/>
    <s v="N/A"/>
    <s v="NORPHONE TULCAN"/>
    <s v="1091717898001"/>
    <s v="TULCAN"/>
    <s v="Indirecto"/>
    <x v="0"/>
    <x v="0"/>
    <n v="162146"/>
  </r>
  <r>
    <d v="2020-07-29T00:00:00"/>
    <n v="34731495"/>
    <n v="3022"/>
    <s v="162146"/>
    <s v="USIM MULTISIM MOVISTAR"/>
    <n v="150"/>
    <n v="133.5"/>
    <n v="0.89"/>
    <s v="NORINDLATNOR5178"/>
    <s v="NORPHONE CAVS DAS LATACUNGA"/>
    <s v="1091717898001"/>
    <s v="LATACUNGA"/>
    <s v="Indirecto"/>
    <x v="0"/>
    <x v="0"/>
    <n v="162146"/>
  </r>
  <r>
    <d v="2020-07-29T00:00:00"/>
    <n v="34731497"/>
    <n v="2802"/>
    <s v="162090"/>
    <s v="CHIP PREPAGO $5 NUMERADO"/>
    <n v="50"/>
    <n v="27"/>
    <n v="0.54"/>
    <s v="TXEOOTRO"/>
    <s v="TELEMOVILEXSA (MACHALA)"/>
    <s v="0791725496001"/>
    <s v="MACHALA"/>
    <s v="Indirecto"/>
    <x v="0"/>
    <x v="8"/>
    <n v="162090"/>
  </r>
  <r>
    <d v="2020-07-29T00:00:00"/>
    <n v="34731498"/>
    <n v="3022"/>
    <s v="162146"/>
    <s v="USIM MULTISIM MOVISTAR"/>
    <n v="140"/>
    <n v="124.6"/>
    <n v="0.89"/>
    <s v="SINCODIGO"/>
    <s v="URBANO EXPRESS (TELEFONICA)"/>
    <s v="1791256115001"/>
    <s v="QUITO"/>
    <s v="Cliente Final"/>
    <x v="0"/>
    <x v="0"/>
    <n v="162146"/>
  </r>
  <r>
    <d v="2020-07-29T00:00:00"/>
    <n v="34731498"/>
    <n v="2761"/>
    <s v="162082"/>
    <s v="SIM KITE M2M 2FF STANDARD"/>
    <n v="3"/>
    <n v="4.38"/>
    <n v="1.46"/>
    <s v="SINCODIGO"/>
    <s v="URBANO EXPRESS (TELEFONICA)"/>
    <s v="1791256115001"/>
    <s v="QUITO"/>
    <s v="Cliente Final"/>
    <x v="0"/>
    <x v="14"/>
    <n v="162082"/>
  </r>
  <r>
    <d v="2020-07-29T00:00:00"/>
    <n v="34731498"/>
    <n v="1398"/>
    <s v="1534"/>
    <s v="SIMCARD M2M POSPAGO GEMALTO"/>
    <n v="50"/>
    <n v="83.5"/>
    <n v="1.67"/>
    <s v="SINCODIGO"/>
    <s v="URBANO EXPRESS (TELEFONICA)"/>
    <s v="1791256115001"/>
    <s v="QUITO"/>
    <s v="Cliente Final"/>
    <x v="0"/>
    <x v="26"/>
    <n v="1534"/>
  </r>
  <r>
    <d v="2020-07-29T00:00:00"/>
    <n v="34731499"/>
    <n v="3022"/>
    <s v="162146"/>
    <s v="USIM MULTISIM MOVISTAR"/>
    <n v="400"/>
    <n v="356"/>
    <n v="0.89"/>
    <s v="PACINDGUAPAC9458"/>
    <s v="PACKTRON S.A GYE"/>
    <s v="1792416345001"/>
    <s v="GUAYAQUIL"/>
    <s v="Indirecto"/>
    <x v="0"/>
    <x v="0"/>
    <n v="162146"/>
  </r>
  <r>
    <d v="2020-07-29T00:00:00"/>
    <n v="34731501"/>
    <n v="3022"/>
    <s v="162146"/>
    <s v="USIM MULTISIM MOVISTAR"/>
    <n v="23"/>
    <n v="20.47"/>
    <n v="0.89"/>
    <s v="SIN CODIGO"/>
    <s v="TRAMACO"/>
    <s v="1792161037001"/>
    <s v="(en blanco)"/>
    <s v="Cliente Final"/>
    <x v="0"/>
    <x v="0"/>
    <n v="162146"/>
  </r>
  <r>
    <d v="2020-07-29T00:00:00"/>
    <n v="34731502"/>
    <n v="3022"/>
    <s v="162146"/>
    <s v="USIM MULTISIM MOVISTAR"/>
    <n v="10"/>
    <n v="8.9"/>
    <n v="0.89"/>
    <s v="N/A"/>
    <s v="GACELA DELIVERY"/>
    <s v="992970545001"/>
    <s v="GUAYAQUIL"/>
    <s v="Cliente Final"/>
    <x v="0"/>
    <x v="0"/>
    <n v="162146"/>
  </r>
  <r>
    <d v="2020-07-29T00:00:00"/>
    <n v="34731504"/>
    <n v="2801"/>
    <s v="162089"/>
    <s v="CHIP PREPAGO $5 AUTOSERVICIO"/>
    <n v="47"/>
    <n v="25.145"/>
    <n v="0.535"/>
    <s v="VWQUOTRO"/>
    <s v="FARCOMED S.A.RETAIL"/>
    <s v="1790710319001"/>
    <s v="QUITO"/>
    <s v="Retail"/>
    <x v="0"/>
    <x v="9"/>
    <n v="162089"/>
  </r>
  <r>
    <d v="2020-07-29T00:00:00"/>
    <n v="34731505"/>
    <n v="2801"/>
    <s v="162089"/>
    <s v="CHIP PREPAGO $5 AUTOSERVICIO"/>
    <n v="11"/>
    <n v="5.885000000000001"/>
    <n v="0.535"/>
    <s v="4SQUOTRO"/>
    <s v="TIECONE S.A. (RETAIL)"/>
    <s v="1792239710001"/>
    <s v="QUITO"/>
    <s v="Retail"/>
    <x v="0"/>
    <x v="9"/>
    <n v="162089"/>
  </r>
  <r>
    <d v="2020-07-29T00:00:00"/>
    <n v="34731506"/>
    <n v="2801"/>
    <s v="162089"/>
    <s v="CHIP PREPAGO $5 AUTOSERVICIO"/>
    <n v="111"/>
    <n v="59.38500000000001"/>
    <n v="0.535"/>
    <s v="WUQUOTRO"/>
    <s v="ECONOFARM S.A.RETAIL"/>
    <s v="1791715772001"/>
    <s v="QUITO"/>
    <s v="Retail"/>
    <x v="0"/>
    <x v="9"/>
    <n v="162089"/>
  </r>
  <r>
    <d v="2020-07-29T00:00:00"/>
    <n v="34731507"/>
    <n v="3022"/>
    <s v="162146"/>
    <s v="USIM MULTISIM MOVISTAR"/>
    <n v="450"/>
    <n v="400.5"/>
    <n v="0.89"/>
    <s v="NORINDGUANOR9018"/>
    <s v="NORPHONE C.C. Riocentro Norte SIMCARDS"/>
    <s v="1091717898001"/>
    <s v="GUAYAQUIL"/>
    <s v="Indirecto"/>
    <x v="0"/>
    <x v="0"/>
    <n v="162146"/>
  </r>
  <r>
    <d v="2020-07-29T00:00:00"/>
    <n v="34731508"/>
    <n v="2804"/>
    <s v="162092"/>
    <s v="CHIP PREPAGO $3 NUMERADO"/>
    <n v="100"/>
    <n v="54"/>
    <n v="0.54"/>
    <s v="DISZONIBADIS9652"/>
    <s v="DISTRIMARKET ZONIFICACION IBARRA"/>
    <s v="1792141850001"/>
    <s v="IBARRA"/>
    <s v="Indirecto"/>
    <x v="0"/>
    <x v="1"/>
    <n v="162092"/>
  </r>
  <r>
    <d v="2020-07-29T00:00:00"/>
    <n v="34731509"/>
    <n v="3022"/>
    <s v="162146"/>
    <s v="USIM MULTISIM MOVISTAR"/>
    <n v="250"/>
    <n v="222.5"/>
    <n v="0.89"/>
    <s v="N/A"/>
    <s v="WILLIAMS HAROLD CERCADO BARRAGAN (TENA)"/>
    <s v="1721572335001"/>
    <s v="TENA"/>
    <s v="Indirecto"/>
    <x v="0"/>
    <x v="0"/>
    <n v="162146"/>
  </r>
  <r>
    <d v="2020-07-29T00:00:00"/>
    <n v="34731511"/>
    <n v="3022"/>
    <s v="162146"/>
    <s v="USIM MULTISIM MOVISTAR"/>
    <n v="100"/>
    <n v="89"/>
    <n v="0.89"/>
    <s v="8TQUOTRO"/>
    <s v="ROBERTO PATRICIO JARAMILLO ECHEVERRIA"/>
    <s v="1711940815001"/>
    <s v="QUITO"/>
    <s v="Indirecto"/>
    <x v="0"/>
    <x v="0"/>
    <n v="162146"/>
  </r>
  <r>
    <d v="2020-07-29T00:00:00"/>
    <n v="34731513"/>
    <n v="3022"/>
    <s v="162146"/>
    <s v="USIM MULTISIM MOVISTAR"/>
    <n v="50"/>
    <n v="44.5"/>
    <n v="0.89"/>
    <s v="IBSINDQUIIBS9758"/>
    <s v="IBS CORAL ISLA GRANADOS PLAZA SIMCARDS"/>
    <s v="1792209242001"/>
    <s v="QUITO"/>
    <s v="Indirecto"/>
    <x v="0"/>
    <x v="0"/>
    <n v="162146"/>
  </r>
  <r>
    <d v="2020-07-29T00:00:00"/>
    <n v="34731514"/>
    <n v="3022"/>
    <s v="162146"/>
    <s v="USIM MULTISIM MOVISTAR"/>
    <n v="100"/>
    <n v="89"/>
    <n v="0.89"/>
    <s v="IBSINDQUIIBS9500"/>
    <s v="IBS CORAL ISLA SANGOLQUI SIMCARDS"/>
    <s v="1792209242001"/>
    <s v="QUITO"/>
    <s v="Indirecto"/>
    <x v="0"/>
    <x v="0"/>
    <n v="162146"/>
  </r>
  <r>
    <d v="2020-07-29T00:00:00"/>
    <n v="34731535"/>
    <n v="3022"/>
    <s v="162146"/>
    <s v="USIM MULTISIM MOVISTAR"/>
    <n v="200"/>
    <n v="178"/>
    <n v="0.89"/>
    <s v="CPS"/>
    <s v="CAV PORTAL SHOPPING"/>
    <s v="1791256115001"/>
    <s v="QUITO "/>
    <s v="Directo"/>
    <x v="1"/>
    <x v="0"/>
    <n v="162146"/>
  </r>
  <r>
    <d v="2020-07-29T00:00:00"/>
    <n v="34731478"/>
    <n v="3084"/>
    <s v="162142"/>
    <s v="Halfsim Tuenti Prepago Celofán Numerada $ 5.00"/>
    <n v="13"/>
    <n v="7.409999999999999"/>
    <n v="0.57"/>
    <s v="4IQUOTRO"/>
    <s v="TIECONE S.A. TUENTI"/>
    <s v="1792239710001"/>
    <s v="QUITO"/>
    <s v="Retail"/>
    <x v="0"/>
    <x v="10"/>
    <n v="162142"/>
  </r>
  <r>
    <d v="2020-07-29T00:00:00"/>
    <n v="34731479"/>
    <n v="3084"/>
    <s v="162142"/>
    <s v="Halfsim Tuenti Prepago Celofán Numerada $ 5.00"/>
    <n v="54"/>
    <n v="30.78"/>
    <n v="0.57"/>
    <s v="VWQUOTRO"/>
    <s v="FARCOMED QUITO TUENTI"/>
    <s v="1790710319001"/>
    <s v="QUITO"/>
    <s v="Retail"/>
    <x v="0"/>
    <x v="10"/>
    <n v="162142"/>
  </r>
  <r>
    <d v="2020-07-29T00:00:00"/>
    <n v="34731479"/>
    <n v="3092"/>
    <s v="162142"/>
    <s v="Halfsim Tuenti Prepago Celofán Numerada $10.00 "/>
    <n v="12"/>
    <n v="6.48"/>
    <n v="0.54"/>
    <s v="VWQUOTRO"/>
    <s v="FARCOMED QUITO TUENTI"/>
    <s v="1790710319001"/>
    <s v="QUITO"/>
    <s v="Retail"/>
    <x v="0"/>
    <x v="24"/>
    <n v="162142"/>
  </r>
  <r>
    <d v="2020-07-29T00:00:00"/>
    <n v="34731480"/>
    <n v="3084"/>
    <s v="162142"/>
    <s v="Halfsim Tuenti Prepago Celofán Numerada $ 5.00"/>
    <n v="400"/>
    <n v="228"/>
    <n v="0.57"/>
    <s v="FBQUOTRO"/>
    <s v="FARMAENLANCE CIA.LTDA QUITO TUENTI"/>
    <s v="1791984722001"/>
    <s v="QUITO"/>
    <s v="Retail"/>
    <x v="0"/>
    <x v="10"/>
    <n v="162142"/>
  </r>
  <r>
    <d v="2020-07-29T00:00:00"/>
    <n v="34731481"/>
    <n v="3084"/>
    <s v="162142"/>
    <s v="Halfsim Tuenti Prepago Celofán Numerada $ 5.00"/>
    <n v="329"/>
    <n v="187.53"/>
    <n v="0.57"/>
    <s v="WUQUOTRO"/>
    <s v="ECONOFARM S.A. TUENTI"/>
    <s v="1791715772001"/>
    <s v="QUITO"/>
    <s v="Retail"/>
    <x v="0"/>
    <x v="10"/>
    <n v="162142"/>
  </r>
  <r>
    <d v="2020-07-29T00:00:00"/>
    <n v="34731481"/>
    <n v="3092"/>
    <s v="162142"/>
    <s v="Halfsim Tuenti Prepago Celofán Numerada $10.00 "/>
    <n v="9"/>
    <n v="4.86"/>
    <n v="0.54"/>
    <s v="WUQUOTRO"/>
    <s v="ECONOFARM S.A. TUENTI"/>
    <s v="1791715772001"/>
    <s v="QUITO"/>
    <s v="Retail"/>
    <x v="0"/>
    <x v="24"/>
    <n v="162142"/>
  </r>
  <r>
    <d v="2020-07-29T00:00:00"/>
    <n v="34731485"/>
    <n v="3114"/>
    <s v="162121"/>
    <s v="HALFSIM TUENTI CELOFAN PORTABILIDAD"/>
    <n v="10"/>
    <n v="5.4"/>
    <n v="0.54"/>
    <s v="OTEINDGUATUE2938"/>
    <s v="TUENTI PRUEBAS GUAYAQUIL"/>
    <s v="0000000000065"/>
    <s v="GUAYAQUIL"/>
    <s v="Indirecto"/>
    <x v="0"/>
    <x v="25"/>
    <n v="162121"/>
  </r>
  <r>
    <d v="2020-07-29T00:00:00"/>
    <n v="34731485"/>
    <n v="3091"/>
    <s v="162142"/>
    <s v="HalfsimTuenti PrepagoCelofanNumerada $5sin sticker"/>
    <n v="30"/>
    <n v="16.2"/>
    <n v="0.54"/>
    <s v="OTEINDGUATUE2938"/>
    <s v="TUENTI PRUEBAS GUAYAQUIL"/>
    <s v="0000000000065"/>
    <s v="GUAYAQUIL"/>
    <s v="Indirecto"/>
    <x v="0"/>
    <x v="29"/>
    <n v="162142"/>
  </r>
  <r>
    <d v="2020-07-29T00:00:00"/>
    <n v="34731488"/>
    <n v="2400"/>
    <s v="113950"/>
    <s v="Usim Tuenti Prepago Celofán Numerada $ 5.00"/>
    <n v="1500"/>
    <n v="1185"/>
    <n v="0.79"/>
    <s v="DISINDQUIUIO2978"/>
    <s v="DISTRIMARKET ZONIFICACION UIO TUENTI"/>
    <s v="1792141850001"/>
    <s v="QUITO"/>
    <s v="Indirecto"/>
    <x v="0"/>
    <x v="3"/>
    <n v="113950"/>
  </r>
  <r>
    <d v="2020-07-29T00:00:00"/>
    <n v="34731489"/>
    <n v="2400"/>
    <s v="113950"/>
    <s v="Usim Tuenti Prepago Celofán Numerada $ 5.00"/>
    <n v="600"/>
    <n v="474"/>
    <n v="0.79"/>
    <s v="DISINDSANDIS2858"/>
    <s v="DISTRIMARKET ZONIFICACION SANTO DOMINGO TUENTI"/>
    <s v="1792141850001"/>
    <s v="SANTO DOMINGO"/>
    <s v="Indirecto"/>
    <x v="0"/>
    <x v="3"/>
    <n v="113950"/>
  </r>
  <r>
    <d v="2020-07-29T00:00:00"/>
    <n v="34731490"/>
    <n v="2396"/>
    <s v="113950"/>
    <s v="Usim Tuenti Prepago Blíster Numerada $ 5.00"/>
    <n v="500"/>
    <n v="545"/>
    <n v="1.09"/>
    <s v="NATINDMACNAT5998"/>
    <s v="NATALY MATUTE TUENTI"/>
    <s v="0704053982001"/>
    <s v="MACHALA"/>
    <s v="Indirecto"/>
    <x v="0"/>
    <x v="12"/>
    <n v="113950"/>
  </r>
  <r>
    <d v="2020-07-29T00:00:00"/>
    <n v="34731490"/>
    <n v="3114"/>
    <s v="162121"/>
    <s v="HALFSIM TUENTI CELOFAN PORTABILIDAD"/>
    <n v="200"/>
    <n v="108"/>
    <n v="0.54"/>
    <s v="NATINDMACNAT5998"/>
    <s v="NATALY MATUTE TUENTI"/>
    <s v="0704053982001"/>
    <s v="MACHALA"/>
    <s v="Indirecto"/>
    <x v="0"/>
    <x v="25"/>
    <n v="162121"/>
  </r>
  <r>
    <d v="2020-07-29T00:00:00"/>
    <n v="34731491"/>
    <n v="2396"/>
    <s v="113950"/>
    <s v="Usim Tuenti Prepago Blíster Numerada $ 5.00"/>
    <n v="200"/>
    <n v="218"/>
    <n v="1.09"/>
    <s v="GIAINDMANGIA5900"/>
    <s v="GIAN CARLO RODRIGUEZ (TUENTI-PORTOVIEJO)"/>
    <s v="1309177408001"/>
    <s v=" PORTOVIEJO"/>
    <s v="Indirecto"/>
    <x v="0"/>
    <x v="12"/>
    <n v="113950"/>
  </r>
  <r>
    <d v="2020-07-29T00:00:00"/>
    <n v="34731494"/>
    <n v="2396"/>
    <s v="113950"/>
    <s v="Usim Tuenti Prepago Blíster Numerada $ 5.00"/>
    <n v="100"/>
    <n v="109"/>
    <n v="1.09"/>
    <s v="6OMNOTRO"/>
    <s v="TONY ENRIQUE DELGADO CEDE¥O MANTA (TUENTI)"/>
    <s v="1308368222001"/>
    <s v="MANTA"/>
    <s v="Indirecto"/>
    <x v="0"/>
    <x v="12"/>
    <n v="113950"/>
  </r>
  <r>
    <d v="2020-07-29T00:00:00"/>
    <n v="34731496"/>
    <n v="2396"/>
    <s v="113950"/>
    <s v="Usim Tuenti Prepago Blíster Numerada $ 5.00"/>
    <n v="100"/>
    <n v="109"/>
    <n v="1.09"/>
    <s v="WININDSANWIN6637"/>
    <s v="Winners cell Tuenti"/>
    <s v="1720429685001"/>
    <s v="SANTO DOMINGO"/>
    <s v="Indirecto"/>
    <x v="0"/>
    <x v="12"/>
    <n v="113950"/>
  </r>
  <r>
    <d v="2020-07-29T00:00:00"/>
    <n v="34731496"/>
    <n v="3114"/>
    <s v="162121"/>
    <s v="HALFSIM TUENTI CELOFAN PORTABILIDAD"/>
    <n v="100"/>
    <n v="54"/>
    <n v="0.54"/>
    <s v="WININDSANWIN6637"/>
    <s v="Winners cell Tuenti"/>
    <s v="1720429685001"/>
    <s v="SANTO DOMINGO"/>
    <s v="Indirecto"/>
    <x v="0"/>
    <x v="25"/>
    <n v="162121"/>
  </r>
  <r>
    <d v="2020-07-29T00:00:00"/>
    <n v="34731510"/>
    <n v="2416"/>
    <s v="113950"/>
    <s v="Usim Tuenti Prepago Celofán Numerada $5 SinSticker"/>
    <n v="100"/>
    <n v="79"/>
    <n v="0.79"/>
    <s v="9KQUOTRO"/>
    <s v="LOPEZ RAMIREZ CARLOS PATRICIO (TUENTI)"/>
    <s v="1712771458001"/>
    <s v="QUITO"/>
    <s v="Indirecto"/>
    <x v="0"/>
    <x v="4"/>
    <n v="113950"/>
  </r>
  <r>
    <d v="2020-07-29T00:00:00"/>
    <n v="34731540"/>
    <n v="3084"/>
    <s v="162142"/>
    <s v="Halfsim Tuenti Prepago Celofán Numerada $ 5.00"/>
    <n v="307"/>
    <n v="174.99"/>
    <n v="0.57"/>
    <s v="2ZGYOTRO"/>
    <s v="GUETTAREQ GYE (TUENTI)"/>
    <s v="0992840234001"/>
    <s v="GUAYAQUIL"/>
    <s v="Indirecto"/>
    <x v="0"/>
    <x v="10"/>
    <n v="162142"/>
  </r>
  <r>
    <d v="2020-07-29T00:00:00"/>
    <n v="34731541"/>
    <n v="2416"/>
    <s v="113950"/>
    <s v="Usim Tuenti Prepago Celofán Numerada $5 SinSticker"/>
    <n v="417"/>
    <n v="329.43"/>
    <n v="0.79"/>
    <s v="4ULROTRO"/>
    <s v="ANDREA CECILIA ARIAS SALAZAR (TUENTI - QUEVEDO)"/>
    <s v="1205871443001"/>
    <s v="QUEVEDO"/>
    <s v="Indirecto"/>
    <x v="0"/>
    <x v="4"/>
    <n v="113950"/>
  </r>
  <r>
    <d v="2020-07-29T00:00:00"/>
    <n v="34731541"/>
    <n v="2396"/>
    <s v="113950"/>
    <s v="Usim Tuenti Prepago Blíster Numerada $ 5.00"/>
    <n v="83"/>
    <n v="90.47000000000001"/>
    <n v="1.09"/>
    <s v="4ULROTRO"/>
    <s v="ANDREA CECILIA ARIAS SALAZAR (TUENTI - QUEVEDO)"/>
    <s v="1205871443001"/>
    <s v="QUEVEDO"/>
    <s v="Indirecto"/>
    <x v="0"/>
    <x v="12"/>
    <n v="113950"/>
  </r>
  <r>
    <d v="2020-07-29T00:00:00"/>
    <n v="34731542"/>
    <n v="2925"/>
    <s v="162121"/>
    <s v="HALFSIM TUENTI"/>
    <n v="3000"/>
    <n v="1710"/>
    <n v="0.57"/>
    <s v="N/A"/>
    <s v="MOVILCELISTICS (TUENTI)"/>
    <s v="1792161037001"/>
    <s v="QUITO"/>
    <s v="Indirecto"/>
    <x v="0"/>
    <x v="19"/>
    <n v="162121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3" cacheId="5" dataOnRows="0" dataCaption="Valor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4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N3:R9" firstHeaderRow="1" firstDataRow="3" firstDataCol="2" rowPageCount="1" colPageCount="1"/>
  <pivotFields count="9">
    <pivotField axis="axisCol" showDropDowns="1" compact="0" outline="0" subtotalTop="1" dragToRow="1" dragToCol="1" dragToPage="1" dragToData="1" dragOff="1" showAll="0" topAutoShow="1" itemPageCount="10" sortType="manual" defaultSubtotal="0">
      <items count="9">
        <item t="data" sd="1" x="1"/>
        <item t="data" sd="1" x="3"/>
        <item t="data" sd="1" x="5"/>
        <item t="data" sd="1" x="6"/>
        <item t="data" sd="1" x="8"/>
        <item t="data" sd="1" x="4"/>
        <item t="data" sd="1" x="2"/>
        <item t="data" sd="1" x="0"/>
        <item t="data" sd="1" x="7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axis="axisPage" showDropDowns="1" compact="0" outline="0" subtotalTop="1" dragToRow="1" dragToCol="1" multipleItemSelectionAllowed="1" dragToPage="1" dragToData="1" dragOff="1" showAll="0" topAutoShow="1" itemPageCount="10" sortType="manual" defaultSubtotal="0">
      <items count="2">
        <item t="data" sd="1" x="0"/>
        <item t="data" h="1" sd="1" x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57">
        <item t="data" h="1" sd="1" x="9"/>
        <item t="data" h="1" sd="1" x="31"/>
        <item t="data" h="1" sd="1" x="1"/>
        <item t="data" h="1" sd="1" x="2"/>
        <item t="data" h="1" sd="1" x="5"/>
        <item t="data" h="1" sd="1" x="3"/>
        <item t="data" h="1" sd="1" x="30"/>
        <item t="data" h="1" sd="1" x="41"/>
        <item t="data" h="1" sd="1" x="4"/>
        <item t="data" h="1" sd="1" x="42"/>
        <item t="data" h="1" sd="1" x="43"/>
        <item t="data" h="1" sd="1" x="40"/>
        <item t="data" h="1" sd="1" x="7"/>
        <item t="data" h="1" sd="1" x="6"/>
        <item t="data" h="1" sd="1" x="44"/>
        <item t="data" h="1" sd="1" x="47"/>
        <item t="data" h="1" sd="1" x="46"/>
        <item t="data" h="1" sd="1" x="48"/>
        <item t="data" h="1" sd="1" x="54"/>
        <item t="data" h="1" sd="1" x="8"/>
        <item t="data" h="1" sd="1" x="29"/>
        <item t="data" h="1" sd="1" x="18"/>
        <item t="data" h="1" sd="1" x="19"/>
        <item t="data" sd="1" x="36"/>
        <item t="data" sd="1" x="49"/>
        <item t="data" h="1" sd="1" x="13"/>
        <item t="data" h="1" sd="1" x="14"/>
        <item t="data" h="1" sd="1" x="16"/>
        <item t="data" h="1" sd="1" x="17"/>
        <item t="data" h="1" sd="1" x="12"/>
        <item t="data" h="1" sd="1" x="15"/>
        <item t="data" h="1" sd="1" x="0"/>
        <item t="data" h="1" sd="1" x="10"/>
        <item t="data" h="1" sd="1" x="11"/>
        <item t="data" h="1" sd="1" x="33"/>
        <item t="data" h="1" sd="1" x="34"/>
        <item t="data" h="1" sd="1" x="35"/>
        <item t="data" h="1" sd="1" x="51"/>
        <item t="data" h="1" sd="1" x="52"/>
        <item t="data" h="1" sd="1" x="53"/>
        <item t="data" sd="1" x="32"/>
        <item t="data" h="1" sd="1" x="45"/>
        <item t="data" h="1" sd="1" x="20"/>
        <item t="data" h="1" sd="1" x="28"/>
        <item t="data" h="1" sd="1" x="39"/>
        <item t="data" h="1" sd="1" x="50"/>
        <item t="data" h="1" sd="1" x="23"/>
        <item t="data" h="1" sd="1" x="37"/>
        <item t="data" h="1" sd="1" x="38"/>
        <item t="data" h="1" sd="1" x="55"/>
        <item t="data" h="1" sd="1" x="56"/>
        <item t="data" h="1" sd="1" x="24"/>
        <item t="data" h="1" sd="1" x="25"/>
        <item t="data" h="1" sd="1" x="26"/>
        <item t="data" h="1" sd="1" x="27"/>
        <item t="data" h="1" sd="1" x="21"/>
        <item t="data" h="1" sd="1" x="22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7">
        <item t="data" sd="1" x="1"/>
        <item t="data" sd="1" x="2"/>
        <item t="data" sd="1" x="22"/>
        <item t="data" sd="1" x="4"/>
        <item t="data" sd="1" x="5"/>
        <item t="data" sd="1" x="23"/>
        <item t="data" sd="1" x="24"/>
        <item t="data" sd="1" x="3"/>
        <item t="data" sd="1" x="6"/>
        <item t="data" sd="1" x="34"/>
        <item t="data" sd="1" x="33"/>
        <item t="data" sd="1" x="21"/>
        <item t="data" sd="1" x="15"/>
        <item t="data" sd="1" x="16"/>
        <item t="data" sd="1" x="10"/>
        <item t="data" sd="1" x="11"/>
        <item t="data" sd="1" x="13"/>
        <item t="data" sd="1" x="14"/>
        <item t="data" sd="1" x="9"/>
        <item t="data" sd="1" x="12"/>
        <item t="data" sd="1" x="0"/>
        <item t="data" sd="1" x="7"/>
        <item t="data" sd="1" x="8"/>
        <item t="data" sd="1" x="25"/>
        <item t="data" sd="1" x="26"/>
        <item t="data" sd="1" x="27"/>
        <item t="data" sd="1" x="28"/>
        <item t="data" sd="1" x="31"/>
        <item t="data" sd="1" x="17"/>
        <item t="data" sd="1" x="20"/>
        <item t="data" sd="1" x="19"/>
        <item t="data" sd="1" x="30"/>
        <item t="data" sd="1" x="32"/>
        <item t="data" sd="1" x="29"/>
        <item t="data" sd="1" x="18"/>
        <item t="data" sd="1" x="35"/>
        <item t="data" sd="1" x="36"/>
      </items>
    </pivotField>
    <pivotField axis="axisCol" showDropDowns="1" compact="0" outline="0" subtotalTop="1" dragToRow="1" dragToCol="1" dragToPage="1" dragToData="1" dragOff="1" showAll="0" topAutoShow="1" itemPageCount="10" sortType="ascending" defaultSubtotal="0">
      <items count="2">
        <item t="data" sd="1" x="1"/>
        <item t="data" sd="1" x="0"/>
      </items>
    </pivotField>
  </pivotFields>
  <rowFields count="2">
    <field x="7"/>
    <field x="6"/>
  </rowFields>
  <rowItems count="4">
    <i t="data" r="0" i="0">
      <x v="6"/>
      <x v="40"/>
    </i>
    <i t="data" r="0" i="0">
      <x v="26"/>
      <x v="23"/>
    </i>
    <i t="data" r="0" i="0">
      <x v="27"/>
      <x v="24"/>
    </i>
    <i t="grand" r="0" i="0">
      <x v="0"/>
    </i>
  </rowItems>
  <colFields count="2">
    <field x="8"/>
    <field x="0"/>
  </colFields>
  <colItems count="3">
    <i t="data" r="0" i="0">
      <x v="1"/>
      <x v="2"/>
    </i>
    <i t="data" r="1" i="0">
      <x v="8"/>
    </i>
    <i t="grand" r="0" i="0">
      <x v="0"/>
    </i>
  </colItems>
  <pageFields count="1">
    <pageField fld="5" hier="-1"/>
  </pageFields>
  <dataFields count="1">
    <dataField name="Suma de STOCK" fld="4" subtotal="sum" showDataAs="normal" baseField="0" baseItem="0"/>
  </dataFields>
  <formats count="84">
    <format action="formatting" dxfId="210">
      <pivotArea type="all" dataOnly="0" outline="0" fieldPosition="0"/>
    </format>
    <format action="formatting" dxfId="209">
      <pivotArea type="all" dataOnly="0" outline="0" fieldPosition="0"/>
    </format>
    <format action="formatting" dxfId="208">
      <pivotArea type="normal" dataOnly="1" outline="0" collapsedLevelsAreSubtotals="1" fieldPosition="0"/>
    </format>
    <format action="formatting" dxfId="207">
      <pivotArea field="8" type="button" dataOnly="0" labelOnly="1" outline="0" axis="axisCol" fieldPosition="0"/>
    </format>
    <format action="formatting" dxfId="206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action="formatting" dxfId="205">
      <pivotArea type="normal" dataOnly="0" labelOnly="1" grandRow="1" outline="0" fieldPosition="0"/>
    </format>
    <format action="formatting" dxfId="204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203">
      <pivotArea type="normal" dataOnly="0" labelOnly="1" outline="0" fieldPosition="0">
        <references count="2">
          <reference field="6">
            <x v="3"/>
            <x v="11"/>
          </reference>
          <reference field="7" selected="0">
            <x v="1"/>
          </reference>
        </references>
      </pivotArea>
    </format>
    <format action="formatting" dxfId="202">
      <pivotArea type="normal" dataOnly="0" labelOnly="1" outline="0" fieldPosition="0">
        <references count="2">
          <reference field="6">
            <x v="6"/>
          </reference>
          <reference field="7" selected="0">
            <x v="2"/>
          </reference>
        </references>
      </pivotArea>
    </format>
    <format action="formatting" dxfId="201">
      <pivotArea type="normal" dataOnly="0" labelOnly="1" outline="0" fieldPosition="0">
        <references count="2">
          <reference field="6">
            <x v="7"/>
            <x v="8"/>
          </reference>
          <reference field="7" selected="0">
            <x v="3"/>
          </reference>
        </references>
      </pivotArea>
    </format>
    <format action="formatting" dxfId="200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199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198">
      <pivotArea type="normal" dataOnly="0" labelOnly="1" outline="0" fieldPosition="0">
        <references count="2">
          <reference field="6">
            <x v="10"/>
            <x v="12"/>
            <x v="13"/>
            <x v="14"/>
            <x v="15"/>
            <x v="16"/>
            <x v="17"/>
            <x v="19"/>
          </reference>
          <reference field="7" selected="0">
            <x v="7"/>
          </reference>
        </references>
      </pivotArea>
    </format>
    <format action="formatting" dxfId="197">
      <pivotArea type="normal" dataOnly="0" labelOnly="1" outline="0" fieldPosition="0">
        <references count="2">
          <reference field="6">
            <x v="20"/>
          </reference>
          <reference field="7" selected="0">
            <x v="11"/>
          </reference>
        </references>
      </pivotArea>
    </format>
    <format action="formatting" dxfId="196">
      <pivotArea type="normal" dataOnly="0" labelOnly="1" outline="0" fieldPosition="0">
        <references count="2">
          <reference field="6">
            <x v="21"/>
          </reference>
          <reference field="7" selected="0">
            <x v="12"/>
          </reference>
        </references>
      </pivotArea>
    </format>
    <format action="formatting" dxfId="195">
      <pivotArea type="normal" dataOnly="0" labelOnly="1" outline="0" fieldPosition="0">
        <references count="2">
          <reference field="6">
            <x v="22"/>
          </reference>
          <reference field="7" selected="0">
            <x v="13"/>
          </reference>
        </references>
      </pivotArea>
    </format>
    <format action="formatting" dxfId="194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193">
      <pivotArea type="all" dataOnly="0" outline="0" fieldPosition="0"/>
    </format>
    <format action="formatting" dxfId="192">
      <pivotArea type="normal" dataOnly="1" outline="0" collapsedLevelsAreSubtotals="1" fieldPosition="0"/>
    </format>
    <format action="formatting" dxfId="191">
      <pivotArea field="8" type="button" dataOnly="0" labelOnly="1" outline="0" axis="axisCol" fieldPosition="0"/>
    </format>
    <format action="formatting" dxfId="190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action="formatting" dxfId="189">
      <pivotArea type="normal" dataOnly="0" labelOnly="1" grandRow="1" outline="0" fieldPosition="0"/>
    </format>
    <format action="formatting" dxfId="188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187">
      <pivotArea type="normal" dataOnly="0" labelOnly="1" outline="0" fieldPosition="0">
        <references count="2">
          <reference field="6">
            <x v="3"/>
            <x v="11"/>
          </reference>
          <reference field="7" selected="0">
            <x v="1"/>
          </reference>
        </references>
      </pivotArea>
    </format>
    <format action="formatting" dxfId="186">
      <pivotArea type="normal" dataOnly="0" labelOnly="1" outline="0" fieldPosition="0">
        <references count="2">
          <reference field="6">
            <x v="6"/>
          </reference>
          <reference field="7" selected="0">
            <x v="2"/>
          </reference>
        </references>
      </pivotArea>
    </format>
    <format action="formatting" dxfId="185">
      <pivotArea type="normal" dataOnly="0" labelOnly="1" outline="0" fieldPosition="0">
        <references count="2">
          <reference field="6">
            <x v="7"/>
            <x v="8"/>
          </reference>
          <reference field="7" selected="0">
            <x v="3"/>
          </reference>
        </references>
      </pivotArea>
    </format>
    <format action="formatting" dxfId="184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183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182">
      <pivotArea type="normal" dataOnly="0" labelOnly="1" outline="0" fieldPosition="0">
        <references count="2">
          <reference field="6">
            <x v="10"/>
            <x v="12"/>
            <x v="13"/>
            <x v="14"/>
            <x v="15"/>
            <x v="16"/>
            <x v="17"/>
            <x v="19"/>
          </reference>
          <reference field="7" selected="0">
            <x v="7"/>
          </reference>
        </references>
      </pivotArea>
    </format>
    <format action="formatting" dxfId="181">
      <pivotArea type="normal" dataOnly="0" labelOnly="1" outline="0" fieldPosition="0">
        <references count="2">
          <reference field="6">
            <x v="20"/>
          </reference>
          <reference field="7" selected="0">
            <x v="11"/>
          </reference>
        </references>
      </pivotArea>
    </format>
    <format action="formatting" dxfId="180">
      <pivotArea type="normal" dataOnly="0" labelOnly="1" outline="0" fieldPosition="0">
        <references count="2">
          <reference field="6">
            <x v="21"/>
          </reference>
          <reference field="7" selected="0">
            <x v="12"/>
          </reference>
        </references>
      </pivotArea>
    </format>
    <format action="formatting" dxfId="179">
      <pivotArea type="normal" dataOnly="0" labelOnly="1" outline="0" fieldPosition="0">
        <references count="2">
          <reference field="6">
            <x v="22"/>
          </reference>
          <reference field="7" selected="0">
            <x v="13"/>
          </reference>
        </references>
      </pivotArea>
    </format>
    <format action="formatting" dxfId="178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177">
      <pivotArea type="all" dataOnly="0" outline="0" fieldPosition="0"/>
    </format>
    <format action="formatting" dxfId="176">
      <pivotArea type="normal" dataOnly="1" outline="0" collapsedLevelsAreSubtotals="1" fieldPosition="0"/>
    </format>
    <format action="formatting" dxfId="175">
      <pivotArea field="8" type="button" dataOnly="0" labelOnly="1" outline="0" axis="axisCol" fieldPosition="0"/>
    </format>
    <format action="formatting" dxfId="174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action="formatting" dxfId="173">
      <pivotArea type="normal" dataOnly="0" labelOnly="1" grandRow="1" outline="0" fieldPosition="0"/>
    </format>
    <format action="formatting" dxfId="172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171">
      <pivotArea type="normal" dataOnly="0" labelOnly="1" outline="0" fieldPosition="0">
        <references count="2">
          <reference field="6">
            <x v="3"/>
            <x v="11"/>
          </reference>
          <reference field="7" selected="0">
            <x v="1"/>
          </reference>
        </references>
      </pivotArea>
    </format>
    <format action="formatting" dxfId="170">
      <pivotArea type="normal" dataOnly="0" labelOnly="1" outline="0" fieldPosition="0">
        <references count="2">
          <reference field="6">
            <x v="6"/>
          </reference>
          <reference field="7" selected="0">
            <x v="2"/>
          </reference>
        </references>
      </pivotArea>
    </format>
    <format action="formatting" dxfId="169">
      <pivotArea type="normal" dataOnly="0" labelOnly="1" outline="0" fieldPosition="0">
        <references count="2">
          <reference field="6">
            <x v="7"/>
            <x v="8"/>
          </reference>
          <reference field="7" selected="0">
            <x v="3"/>
          </reference>
        </references>
      </pivotArea>
    </format>
    <format action="formatting" dxfId="168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167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166">
      <pivotArea type="normal" dataOnly="0" labelOnly="1" outline="0" fieldPosition="0">
        <references count="2">
          <reference field="6">
            <x v="5"/>
            <x v="10"/>
            <x v="12"/>
            <x v="13"/>
            <x v="14"/>
            <x v="15"/>
            <x v="16"/>
            <x v="17"/>
            <x v="19"/>
          </reference>
          <reference field="7" selected="0">
            <x v="7"/>
          </reference>
        </references>
      </pivotArea>
    </format>
    <format action="formatting" dxfId="165">
      <pivotArea type="normal" dataOnly="0" labelOnly="1" outline="0" fieldPosition="0">
        <references count="2">
          <reference field="6">
            <x v="0"/>
          </reference>
          <reference field="7" selected="0">
            <x v="8"/>
          </reference>
        </references>
      </pivotArea>
    </format>
    <format action="formatting" dxfId="164">
      <pivotArea type="normal" dataOnly="0" labelOnly="1" outline="0" fieldPosition="0">
        <references count="2">
          <reference field="6">
            <x v="20"/>
          </reference>
          <reference field="7" selected="0">
            <x v="11"/>
          </reference>
        </references>
      </pivotArea>
    </format>
    <format action="formatting" dxfId="163">
      <pivotArea type="normal" dataOnly="0" labelOnly="1" outline="0" fieldPosition="0">
        <references count="2">
          <reference field="6">
            <x v="21"/>
          </reference>
          <reference field="7" selected="0">
            <x v="12"/>
          </reference>
        </references>
      </pivotArea>
    </format>
    <format action="formatting" dxfId="162">
      <pivotArea type="normal" dataOnly="0" labelOnly="1" outline="0" fieldPosition="0">
        <references count="2">
          <reference field="6">
            <x v="22"/>
          </reference>
          <reference field="7" selected="0">
            <x v="13"/>
          </reference>
        </references>
      </pivotArea>
    </format>
    <format action="formatting" dxfId="161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160">
      <pivotArea type="all" dataOnly="0" outline="0" fieldPosition="0"/>
    </format>
    <format action="formatting" dxfId="159">
      <pivotArea type="normal" dataOnly="1" outline="0" collapsedLevelsAreSubtotals="1" fieldPosition="0"/>
    </format>
    <format action="formatting" dxfId="158">
      <pivotArea field="8" type="button" dataOnly="0" labelOnly="1" outline="0" axis="axisCol" fieldPosition="0"/>
    </format>
    <format action="formatting" dxfId="157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action="formatting" dxfId="156">
      <pivotArea type="normal" dataOnly="0" labelOnly="1" grandRow="1" outline="0" fieldPosition="0"/>
    </format>
    <format action="formatting" dxfId="155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154">
      <pivotArea type="normal" dataOnly="0" labelOnly="1" outline="0" fieldPosition="0">
        <references count="2">
          <reference field="6">
            <x v="3"/>
            <x v="11"/>
          </reference>
          <reference field="7" selected="0">
            <x v="1"/>
          </reference>
        </references>
      </pivotArea>
    </format>
    <format action="formatting" dxfId="153">
      <pivotArea type="normal" dataOnly="0" labelOnly="1" outline="0" fieldPosition="0">
        <references count="2">
          <reference field="6">
            <x v="6"/>
          </reference>
          <reference field="7" selected="0">
            <x v="2"/>
          </reference>
        </references>
      </pivotArea>
    </format>
    <format action="formatting" dxfId="152">
      <pivotArea type="normal" dataOnly="0" labelOnly="1" outline="0" fieldPosition="0">
        <references count="2">
          <reference field="6">
            <x v="7"/>
            <x v="8"/>
          </reference>
          <reference field="7" selected="0">
            <x v="3"/>
          </reference>
        </references>
      </pivotArea>
    </format>
    <format action="formatting" dxfId="151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150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149">
      <pivotArea type="normal" dataOnly="0" labelOnly="1" outline="0" fieldPosition="0">
        <references count="2">
          <reference field="6">
            <x v="5"/>
            <x v="10"/>
            <x v="12"/>
            <x v="13"/>
            <x v="14"/>
            <x v="15"/>
            <x v="16"/>
            <x v="17"/>
            <x v="19"/>
          </reference>
          <reference field="7" selected="0">
            <x v="7"/>
          </reference>
        </references>
      </pivotArea>
    </format>
    <format action="formatting" dxfId="148">
      <pivotArea type="normal" dataOnly="0" labelOnly="1" outline="0" fieldPosition="0">
        <references count="2">
          <reference field="6">
            <x v="0"/>
          </reference>
          <reference field="7" selected="0">
            <x v="8"/>
          </reference>
        </references>
      </pivotArea>
    </format>
    <format action="formatting" dxfId="147">
      <pivotArea type="normal" dataOnly="0" labelOnly="1" outline="0" fieldPosition="0">
        <references count="2">
          <reference field="6">
            <x v="20"/>
          </reference>
          <reference field="7" selected="0">
            <x v="11"/>
          </reference>
        </references>
      </pivotArea>
    </format>
    <format action="formatting" dxfId="146">
      <pivotArea type="normal" dataOnly="0" labelOnly="1" outline="0" fieldPosition="0">
        <references count="2">
          <reference field="6">
            <x v="21"/>
          </reference>
          <reference field="7" selected="0">
            <x v="12"/>
          </reference>
        </references>
      </pivotArea>
    </format>
    <format action="formatting" dxfId="145">
      <pivotArea type="normal" dataOnly="0" labelOnly="1" outline="0" fieldPosition="0">
        <references count="2">
          <reference field="6">
            <x v="22"/>
          </reference>
          <reference field="7" selected="0">
            <x v="13"/>
          </reference>
        </references>
      </pivotArea>
    </format>
    <format action="formatting" dxfId="144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143">
      <pivotArea type="all" dataOnly="0" outline="0" fieldPosition="0"/>
    </format>
    <format action="formatting" dxfId="142">
      <pivotArea type="normal" dataOnly="1" outline="0" collapsedLevelsAreSubtotals="1" fieldPosition="0"/>
    </format>
    <format action="formatting" dxfId="141">
      <pivotArea field="8" type="button" dataOnly="0" labelOnly="1" outline="0" axis="axisCol" fieldPosition="0"/>
    </format>
    <format action="formatting" dxfId="140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action="formatting" dxfId="139">
      <pivotArea type="normal" dataOnly="0" labelOnly="1" grandRow="1" outline="0" fieldPosition="0"/>
    </format>
    <format action="formatting" dxfId="138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137">
      <pivotArea type="normal" dataOnly="0" labelOnly="1" outline="0" fieldPosition="0">
        <references count="2">
          <reference field="6">
            <x v="3"/>
            <x v="11"/>
          </reference>
          <reference field="7" selected="0">
            <x v="1"/>
          </reference>
        </references>
      </pivotArea>
    </format>
    <format action="formatting" dxfId="136">
      <pivotArea type="normal" dataOnly="0" labelOnly="1" outline="0" fieldPosition="0">
        <references count="2">
          <reference field="6">
            <x v="6"/>
          </reference>
          <reference field="7" selected="0">
            <x v="2"/>
          </reference>
        </references>
      </pivotArea>
    </format>
    <format action="formatting" dxfId="135">
      <pivotArea type="normal" dataOnly="0" labelOnly="1" outline="0" fieldPosition="0">
        <references count="2">
          <reference field="6">
            <x v="7"/>
            <x v="8"/>
          </reference>
          <reference field="7" selected="0">
            <x v="3"/>
          </reference>
        </references>
      </pivotArea>
    </format>
    <format action="formatting" dxfId="134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133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132">
      <pivotArea type="normal" dataOnly="0" labelOnly="1" outline="0" fieldPosition="0">
        <references count="2">
          <reference field="6">
            <x v="5"/>
            <x v="10"/>
            <x v="12"/>
            <x v="13"/>
            <x v="14"/>
            <x v="15"/>
            <x v="16"/>
            <x v="17"/>
            <x v="19"/>
          </reference>
          <reference field="7" selected="0">
            <x v="7"/>
          </reference>
        </references>
      </pivotArea>
    </format>
    <format action="formatting" dxfId="131">
      <pivotArea type="normal" dataOnly="0" labelOnly="1" outline="0" fieldPosition="0">
        <references count="2">
          <reference field="6">
            <x v="0"/>
          </reference>
          <reference field="7" selected="0">
            <x v="8"/>
          </reference>
        </references>
      </pivotArea>
    </format>
    <format action="formatting" dxfId="130">
      <pivotArea type="normal" dataOnly="0" labelOnly="1" outline="0" fieldPosition="0">
        <references count="2">
          <reference field="6">
            <x v="20"/>
          </reference>
          <reference field="7" selected="0">
            <x v="11"/>
          </reference>
        </references>
      </pivotArea>
    </format>
    <format action="formatting" dxfId="129">
      <pivotArea type="normal" dataOnly="0" labelOnly="1" outline="0" fieldPosition="0">
        <references count="2">
          <reference field="6">
            <x v="21"/>
          </reference>
          <reference field="7" selected="0">
            <x v="12"/>
          </reference>
        </references>
      </pivotArea>
    </format>
    <format action="formatting" dxfId="128">
      <pivotArea type="normal" dataOnly="0" labelOnly="1" outline="0" fieldPosition="0">
        <references count="2">
          <reference field="6">
            <x v="22"/>
          </reference>
          <reference field="7" selected="0">
            <x v="13"/>
          </reference>
        </references>
      </pivotArea>
    </format>
    <format action="formatting" dxfId="127">
      <pivotArea type="normal" dataOnly="0" labelOnly="1" outline="0" fieldPosition="0">
        <references count="1">
          <reference field="8">
            <x v="1"/>
          </reference>
        </references>
      </pivotArea>
    </format>
  </formats>
  <pivotTableStyleInfo name="PivotStyleMedium14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 dinámica1" cacheId="3" dataOnRows="0" dataCaption="Valor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4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H47" firstHeaderRow="1" firstDataRow="3" firstDataCol="2" rowPageCount="1" colPageCount="1"/>
  <pivotFields count="9">
    <pivotField axis="axisCol" showDropDowns="1" compact="0" outline="0" subtotalTop="1" dragToRow="1" dragToCol="1" dragToPage="1" dragToData="1" dragOff="1" showAll="0" topAutoShow="1" itemPageCount="10" sortType="manual" defaultSubtotal="0">
      <items count="9">
        <item t="data" sd="1" x="1"/>
        <item t="data" sd="1" x="3"/>
        <item t="data" sd="1" x="5"/>
        <item t="data" sd="1" x="6"/>
        <item t="data" sd="1" x="8"/>
        <item t="data" sd="1" x="4"/>
        <item t="data" sd="1" x="2"/>
        <item t="data" sd="1" x="0"/>
        <item t="data" sd="1" x="7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axis="axisPage" showDropDowns="1" compact="0" outline="0" subtotalTop="1" dragToRow="1" dragToCol="1" multipleItemSelectionAllowed="1" dragToPage="1" dragToData="1" dragOff="1" showAll="0" topAutoShow="1" itemPageCount="10" sortType="manual" defaultSubtotal="0">
      <items count="2">
        <item t="data" sd="1" x="0"/>
        <item t="data" h="1" sd="1" x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57">
        <item t="data" sd="1" x="9"/>
        <item t="data" sd="1" x="31"/>
        <item t="data" sd="1" x="1"/>
        <item t="data" sd="1" x="2"/>
        <item t="data" sd="1" x="5"/>
        <item t="data" sd="1" x="30"/>
        <item t="data" sd="1" x="41"/>
        <item t="data" sd="1" x="4"/>
        <item t="data" sd="1" x="42"/>
        <item t="data" sd="1" x="43"/>
        <item t="data" sd="1" x="40"/>
        <item t="data" sd="1" x="7"/>
        <item t="data" sd="1" x="6"/>
        <item t="data" sd="1" x="44"/>
        <item t="data" sd="1" x="47"/>
        <item t="data" sd="1" x="46"/>
        <item t="data" sd="1" x="48"/>
        <item t="data" sd="1" x="54"/>
        <item t="data" sd="1" x="8"/>
        <item t="data" sd="1" x="29"/>
        <item t="data" sd="1" x="18"/>
        <item t="data" sd="1" x="19"/>
        <item t="data" sd="1" x="36"/>
        <item t="data" sd="1" x="49"/>
        <item t="data" sd="1" x="13"/>
        <item t="data" sd="1" x="14"/>
        <item t="data" sd="1" x="16"/>
        <item t="data" sd="1" x="17"/>
        <item t="data" sd="1" x="12"/>
        <item t="data" sd="1" x="15"/>
        <item t="data" sd="1" x="0"/>
        <item t="data" sd="1" x="10"/>
        <item t="data" sd="1" x="11"/>
        <item t="data" sd="1" x="33"/>
        <item t="data" sd="1" x="34"/>
        <item t="data" sd="1" x="35"/>
        <item t="data" sd="1" x="51"/>
        <item t="data" sd="1" x="52"/>
        <item t="data" sd="1" x="53"/>
        <item t="data" sd="1" x="32"/>
        <item t="data" sd="1" x="45"/>
        <item t="data" sd="1" x="20"/>
        <item t="data" sd="1" x="28"/>
        <item t="data" sd="1" x="39"/>
        <item t="data" sd="1" x="50"/>
        <item t="data" sd="1" x="23"/>
        <item t="data" sd="1" x="37"/>
        <item t="data" sd="1" x="38"/>
        <item t="data" sd="1" x="55"/>
        <item t="data" sd="1" x="56"/>
        <item t="data" sd="1" x="24"/>
        <item t="data" sd="1" x="25"/>
        <item t="data" sd="1" x="26"/>
        <item t="data" sd="1" x="27"/>
        <item t="data" sd="1" x="21"/>
        <item t="data" sd="1" x="22"/>
        <item t="data" sd="1" x="3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7">
        <item t="data" sd="1" x="1"/>
        <item t="data" sd="1" x="2"/>
        <item t="data" sd="1" x="22"/>
        <item t="data" sd="1" x="4"/>
        <item t="data" sd="1" x="5"/>
        <item t="data" sd="1" x="23"/>
        <item t="data" sd="1" x="24"/>
        <item t="data" sd="1" x="3"/>
        <item t="data" sd="1" x="6"/>
        <item t="data" sd="1" x="34"/>
        <item t="data" sd="1" x="33"/>
        <item t="data" sd="1" x="21"/>
        <item t="data" sd="1" x="15"/>
        <item t="data" sd="1" x="16"/>
        <item t="data" sd="1" x="10"/>
        <item t="data" sd="1" x="11"/>
        <item t="data" sd="1" x="13"/>
        <item t="data" sd="1" x="14"/>
        <item t="data" sd="1" x="9"/>
        <item t="data" sd="1" x="12"/>
        <item t="data" sd="1" x="0"/>
        <item t="data" sd="1" x="7"/>
        <item t="data" sd="1" x="8"/>
        <item t="data" sd="1" x="25"/>
        <item t="data" sd="1" x="26"/>
        <item t="data" sd="1" x="27"/>
        <item t="data" sd="1" x="28"/>
        <item t="data" sd="1" x="31"/>
        <item t="data" sd="1" x="17"/>
        <item t="data" sd="1" x="20"/>
        <item t="data" sd="1" x="19"/>
        <item t="data" sd="1" x="30"/>
        <item t="data" sd="1" x="32"/>
        <item t="data" sd="1" x="29"/>
        <item t="data" sd="1" x="18"/>
        <item t="data" sd="1" x="35"/>
        <item t="data" sd="1" x="36"/>
      </items>
    </pivotField>
    <pivotField axis="axisCol" showDropDowns="1" compact="0" outline="0" subtotalTop="1" dragToRow="1" dragToCol="1" dragToPage="1" dragToData="1" dragOff="1" showAll="0" topAutoShow="1" itemPageCount="10" sortType="ascending" defaultSubtotal="0">
      <items count="2">
        <item t="data" sd="1" x="1"/>
        <item t="data" sd="1" x="0"/>
      </items>
    </pivotField>
  </pivotFields>
  <rowFields count="2">
    <field x="7"/>
    <field x="6"/>
  </rowFields>
  <rowItems count="42">
    <i t="data" r="0" i="0">
      <x v="0"/>
      <x v="2"/>
    </i>
    <i t="data" r="0" i="0">
      <x v="1"/>
      <x v="3"/>
    </i>
    <i t="data" r="0" i="0">
      <x v="3"/>
      <x v="7"/>
    </i>
    <i t="data" r="0" i="0">
      <x v="4"/>
      <x v="4"/>
    </i>
    <i t="data" r="0" i="0">
      <x v="5"/>
      <x v="1"/>
    </i>
    <i t="data" r="0" i="0">
      <x v="6"/>
      <x v="39"/>
    </i>
    <i t="data" r="0" i="0">
      <x v="7"/>
      <x v="11"/>
    </i>
    <i t="data" r="1" i="0">
      <x v="12"/>
    </i>
    <i t="data" r="1" i="0">
      <x v="18"/>
    </i>
    <i t="data" r="1" i="0">
      <x v="56"/>
    </i>
    <i t="data" r="0" i="0">
      <x v="8"/>
      <x v="0"/>
    </i>
    <i t="data" r="0" i="0">
      <x v="11"/>
      <x v="19"/>
    </i>
    <i t="data" r="0" i="0">
      <x v="12"/>
      <x v="20"/>
    </i>
    <i t="data" r="0" i="0">
      <x v="13"/>
      <x v="21"/>
    </i>
    <i t="data" r="0" i="0">
      <x v="14"/>
      <x v="24"/>
    </i>
    <i t="data" r="0" i="0">
      <x v="15"/>
      <x v="25"/>
    </i>
    <i t="data" r="0" i="0">
      <x v="16"/>
      <x v="26"/>
    </i>
    <i t="data" r="0" i="0">
      <x v="17"/>
      <x v="27"/>
    </i>
    <i t="data" r="0" i="0">
      <x v="18"/>
      <x v="28"/>
    </i>
    <i t="data" r="0" i="0">
      <x v="19"/>
      <x v="29"/>
    </i>
    <i t="data" r="0" i="0">
      <x v="20"/>
      <x v="30"/>
    </i>
    <i t="data" r="0" i="0">
      <x v="21"/>
      <x v="31"/>
    </i>
    <i t="data" r="0" i="0">
      <x v="22"/>
      <x v="32"/>
    </i>
    <i t="data" r="0" i="0">
      <x v="23"/>
      <x v="33"/>
    </i>
    <i t="data" r="0" i="0">
      <x v="24"/>
      <x v="34"/>
    </i>
    <i t="data" r="0" i="0">
      <x v="25"/>
      <x v="35"/>
    </i>
    <i t="data" r="0" i="0">
      <x v="26"/>
      <x v="22"/>
    </i>
    <i t="data" r="0" i="0">
      <x v="27"/>
      <x v="23"/>
    </i>
    <i t="data" r="0" i="0">
      <x v="28"/>
      <x v="41"/>
    </i>
    <i t="data" r="0" i="0">
      <x v="29"/>
      <x v="42"/>
    </i>
    <i t="data" r="0" i="0">
      <x v="30"/>
      <x v="45"/>
    </i>
    <i t="data" r="1" i="0">
      <x v="50"/>
    </i>
    <i t="data" r="1" i="0">
      <x v="51"/>
    </i>
    <i t="data" r="1" i="0">
      <x v="52"/>
    </i>
    <i t="data" r="1" i="0">
      <x v="53"/>
    </i>
    <i t="data" r="0" i="0">
      <x v="33"/>
      <x v="46"/>
    </i>
    <i t="data" r="0" i="0">
      <x v="34"/>
      <x v="47"/>
    </i>
    <i t="data" r="1" i="0">
      <x v="54"/>
    </i>
    <i t="data" r="1" i="0">
      <x v="55"/>
    </i>
    <i t="data" r="0" i="0">
      <x v="35"/>
      <x v="48"/>
    </i>
    <i t="data" r="0" i="0">
      <x v="36"/>
      <x v="49"/>
    </i>
    <i t="grand" r="0" i="0">
      <x v="0"/>
    </i>
  </rowItems>
  <colFields count="2">
    <field x="8"/>
    <field x="0"/>
  </colFields>
  <colItems count="6">
    <i t="data" r="0" i="0">
      <x v="1"/>
      <x v="0"/>
    </i>
    <i t="data" r="1" i="0">
      <x v="2"/>
    </i>
    <i t="data" r="1" i="0">
      <x v="4"/>
    </i>
    <i t="data" r="1" i="0">
      <x v="7"/>
    </i>
    <i t="data" r="1" i="0">
      <x v="8"/>
    </i>
    <i t="grand" r="0" i="0">
      <x v="0"/>
    </i>
  </colItems>
  <pageFields count="1">
    <pageField fld="5" hier="-1"/>
  </pageFields>
  <dataFields count="1">
    <dataField name="Suma de STOCK" fld="4" subtotal="sum" showDataAs="normal" baseField="0" baseItem="0"/>
  </dataFields>
  <formats count="90">
    <format action="formatting" dxfId="126">
      <pivotArea type="all" dataOnly="0" outline="0" fieldPosition="0"/>
    </format>
    <format action="formatting" dxfId="125">
      <pivotArea type="all" dataOnly="0" outline="0" fieldPosition="0"/>
    </format>
    <format action="formatting" dxfId="124">
      <pivotArea type="normal" dataOnly="1" outline="0" collapsedLevelsAreSubtotals="1" fieldPosition="0"/>
    </format>
    <format action="formatting" dxfId="123">
      <pivotArea field="8" type="button" dataOnly="0" labelOnly="1" outline="0" axis="axisCol" fieldPosition="0"/>
    </format>
    <format action="formatting" dxfId="122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action="formatting" dxfId="121">
      <pivotArea type="normal" dataOnly="0" labelOnly="1" grandRow="1" outline="0" fieldPosition="0"/>
    </format>
    <format action="formatting" dxfId="120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119">
      <pivotArea type="normal" dataOnly="0" labelOnly="1" outline="0" fieldPosition="0">
        <references count="2">
          <reference field="6">
            <x v="3"/>
            <x v="10"/>
          </reference>
          <reference field="7" selected="0">
            <x v="1"/>
          </reference>
        </references>
      </pivotArea>
    </format>
    <format action="formatting" dxfId="118">
      <pivotArea type="normal" dataOnly="0" labelOnly="1" outline="0" fieldPosition="0">
        <references count="2">
          <reference field="6">
            <x v="5"/>
          </reference>
          <reference field="7" selected="0">
            <x v="2"/>
          </reference>
        </references>
      </pivotArea>
    </format>
    <format action="formatting" dxfId="117">
      <pivotArea type="normal" dataOnly="0" labelOnly="1" outline="0" fieldPosition="0">
        <references count="2">
          <reference field="6">
            <x v="6"/>
            <x v="7"/>
          </reference>
          <reference field="7" selected="0">
            <x v="3"/>
          </reference>
        </references>
      </pivotArea>
    </format>
    <format action="formatting" dxfId="116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115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114">
      <pivotArea type="normal" dataOnly="0" labelOnly="1" outline="0" fieldPosition="0">
        <references count="2">
          <reference field="6">
            <x v="9"/>
            <x v="11"/>
            <x v="12"/>
            <x v="13"/>
            <x v="14"/>
            <x v="15"/>
            <x v="16"/>
            <x v="18"/>
          </reference>
          <reference field="7" selected="0">
            <x v="7"/>
          </reference>
        </references>
      </pivotArea>
    </format>
    <format action="formatting" dxfId="113">
      <pivotArea type="normal" dataOnly="0" labelOnly="1" outline="0" fieldPosition="0">
        <references count="2">
          <reference field="6">
            <x v="19"/>
          </reference>
          <reference field="7" selected="0">
            <x v="11"/>
          </reference>
        </references>
      </pivotArea>
    </format>
    <format action="formatting" dxfId="112">
      <pivotArea type="normal" dataOnly="0" labelOnly="1" outline="0" fieldPosition="0">
        <references count="2">
          <reference field="6">
            <x v="20"/>
          </reference>
          <reference field="7" selected="0">
            <x v="12"/>
          </reference>
        </references>
      </pivotArea>
    </format>
    <format action="formatting" dxfId="111">
      <pivotArea type="normal" dataOnly="0" labelOnly="1" outline="0" fieldPosition="0">
        <references count="2">
          <reference field="6">
            <x v="21"/>
          </reference>
          <reference field="7" selected="0">
            <x v="13"/>
          </reference>
        </references>
      </pivotArea>
    </format>
    <format action="formatting" dxfId="110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109">
      <pivotArea type="all" dataOnly="0" outline="0" fieldPosition="0"/>
    </format>
    <format action="formatting" dxfId="108">
      <pivotArea type="normal" dataOnly="1" outline="0" collapsedLevelsAreSubtotals="1" fieldPosition="0"/>
    </format>
    <format action="formatting" dxfId="107">
      <pivotArea field="8" type="button" dataOnly="0" labelOnly="1" outline="0" axis="axisCol" fieldPosition="0"/>
    </format>
    <format action="formatting" dxfId="106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10"/>
            <x v="11"/>
            <x v="12"/>
            <x v="13"/>
          </reference>
        </references>
      </pivotArea>
    </format>
    <format action="formatting" dxfId="105">
      <pivotArea type="normal" dataOnly="0" labelOnly="1" grandRow="1" outline="0" fieldPosition="0"/>
    </format>
    <format action="formatting" dxfId="104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103">
      <pivotArea type="normal" dataOnly="0" labelOnly="1" outline="0" fieldPosition="0">
        <references count="2">
          <reference field="6">
            <x v="3"/>
            <x v="10"/>
          </reference>
          <reference field="7" selected="0">
            <x v="1"/>
          </reference>
        </references>
      </pivotArea>
    </format>
    <format action="formatting" dxfId="102">
      <pivotArea type="normal" dataOnly="0" labelOnly="1" outline="0" fieldPosition="0">
        <references count="2">
          <reference field="6">
            <x v="5"/>
          </reference>
          <reference field="7" selected="0">
            <x v="2"/>
          </reference>
        </references>
      </pivotArea>
    </format>
    <format action="formatting" dxfId="101">
      <pivotArea type="normal" dataOnly="0" labelOnly="1" outline="0" fieldPosition="0">
        <references count="2">
          <reference field="6">
            <x v="6"/>
            <x v="7"/>
          </reference>
          <reference field="7" selected="0">
            <x v="3"/>
          </reference>
        </references>
      </pivotArea>
    </format>
    <format action="formatting" dxfId="100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99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98">
      <pivotArea type="normal" dataOnly="0" labelOnly="1" outline="0" fieldPosition="0">
        <references count="2">
          <reference field="6">
            <x v="9"/>
            <x v="11"/>
            <x v="12"/>
            <x v="13"/>
            <x v="14"/>
            <x v="15"/>
            <x v="16"/>
            <x v="18"/>
          </reference>
          <reference field="7" selected="0">
            <x v="7"/>
          </reference>
        </references>
      </pivotArea>
    </format>
    <format action="formatting" dxfId="97">
      <pivotArea type="normal" dataOnly="0" labelOnly="1" outline="0" fieldPosition="0">
        <references count="2">
          <reference field="6">
            <x v="19"/>
          </reference>
          <reference field="7" selected="0">
            <x v="11"/>
          </reference>
        </references>
      </pivotArea>
    </format>
    <format action="formatting" dxfId="96">
      <pivotArea type="normal" dataOnly="0" labelOnly="1" outline="0" fieldPosition="0">
        <references count="2">
          <reference field="6">
            <x v="20"/>
          </reference>
          <reference field="7" selected="0">
            <x v="12"/>
          </reference>
        </references>
      </pivotArea>
    </format>
    <format action="formatting" dxfId="95">
      <pivotArea type="normal" dataOnly="0" labelOnly="1" outline="0" fieldPosition="0">
        <references count="2">
          <reference field="6">
            <x v="21"/>
          </reference>
          <reference field="7" selected="0">
            <x v="13"/>
          </reference>
        </references>
      </pivotArea>
    </format>
    <format action="formatting" dxfId="94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93">
      <pivotArea type="all" dataOnly="0" outline="0" fieldPosition="0"/>
    </format>
    <format action="formatting" dxfId="92">
      <pivotArea type="normal" dataOnly="1" outline="0" collapsedLevelsAreSubtotals="1" fieldPosition="0"/>
    </format>
    <format action="formatting" dxfId="91">
      <pivotArea field="8" type="button" dataOnly="0" labelOnly="1" outline="0" axis="axisCol" fieldPosition="0"/>
    </format>
    <format action="formatting" dxfId="90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action="formatting" dxfId="89">
      <pivotArea type="normal" dataOnly="0" labelOnly="1" grandRow="1" outline="0" fieldPosition="0"/>
    </format>
    <format action="formatting" dxfId="88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87">
      <pivotArea type="normal" dataOnly="0" labelOnly="1" outline="0" fieldPosition="0">
        <references count="2">
          <reference field="6">
            <x v="3"/>
            <x v="10"/>
          </reference>
          <reference field="7" selected="0">
            <x v="1"/>
          </reference>
        </references>
      </pivotArea>
    </format>
    <format action="formatting" dxfId="86">
      <pivotArea type="normal" dataOnly="0" labelOnly="1" outline="0" fieldPosition="0">
        <references count="2">
          <reference field="6">
            <x v="5"/>
          </reference>
          <reference field="7" selected="0">
            <x v="2"/>
          </reference>
        </references>
      </pivotArea>
    </format>
    <format action="formatting" dxfId="85">
      <pivotArea type="normal" dataOnly="0" labelOnly="1" outline="0" fieldPosition="0">
        <references count="2">
          <reference field="6">
            <x v="6"/>
            <x v="7"/>
          </reference>
          <reference field="7" selected="0">
            <x v="3"/>
          </reference>
        </references>
      </pivotArea>
    </format>
    <format action="formatting" dxfId="84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83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82">
      <pivotArea type="normal" dataOnly="0" labelOnly="1" outline="0" fieldPosition="0">
        <references count="2">
          <reference field="6">
            <x v="9"/>
            <x v="11"/>
            <x v="12"/>
            <x v="13"/>
            <x v="14"/>
            <x v="15"/>
            <x v="16"/>
            <x v="18"/>
          </reference>
          <reference field="7" selected="0">
            <x v="7"/>
          </reference>
        </references>
      </pivotArea>
    </format>
    <format action="formatting" dxfId="81">
      <pivotArea type="normal" dataOnly="0" labelOnly="1" outline="0" fieldPosition="0">
        <references count="2">
          <reference field="6">
            <x v="0"/>
          </reference>
          <reference field="7" selected="0">
            <x v="8"/>
          </reference>
        </references>
      </pivotArea>
    </format>
    <format action="formatting" dxfId="80">
      <pivotArea type="normal" dataOnly="0" labelOnly="1" outline="0" fieldPosition="0">
        <references count="2">
          <reference field="6">
            <x v="19"/>
          </reference>
          <reference field="7" selected="0">
            <x v="11"/>
          </reference>
        </references>
      </pivotArea>
    </format>
    <format action="formatting" dxfId="79">
      <pivotArea type="normal" dataOnly="0" labelOnly="1" outline="0" fieldPosition="0">
        <references count="2">
          <reference field="6">
            <x v="20"/>
          </reference>
          <reference field="7" selected="0">
            <x v="12"/>
          </reference>
        </references>
      </pivotArea>
    </format>
    <format action="formatting" dxfId="78">
      <pivotArea type="normal" dataOnly="0" labelOnly="1" outline="0" fieldPosition="0">
        <references count="2">
          <reference field="6">
            <x v="21"/>
          </reference>
          <reference field="7" selected="0">
            <x v="13"/>
          </reference>
        </references>
      </pivotArea>
    </format>
    <format action="formatting" dxfId="77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76">
      <pivotArea type="all" dataOnly="0" outline="0" fieldPosition="0"/>
    </format>
    <format action="formatting" dxfId="75">
      <pivotArea type="normal" dataOnly="1" outline="0" collapsedLevelsAreSubtotals="1" fieldPosition="0"/>
    </format>
    <format action="formatting" dxfId="74">
      <pivotArea field="8" type="button" dataOnly="0" labelOnly="1" outline="0" axis="axisCol" fieldPosition="0"/>
    </format>
    <format action="formatting" dxfId="73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action="formatting" dxfId="72">
      <pivotArea type="normal" dataOnly="0" labelOnly="1" grandRow="1" outline="0" fieldPosition="0"/>
    </format>
    <format action="formatting" dxfId="71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70">
      <pivotArea type="normal" dataOnly="0" labelOnly="1" outline="0" fieldPosition="0">
        <references count="2">
          <reference field="6">
            <x v="3"/>
            <x v="10"/>
          </reference>
          <reference field="7" selected="0">
            <x v="1"/>
          </reference>
        </references>
      </pivotArea>
    </format>
    <format action="formatting" dxfId="69">
      <pivotArea type="normal" dataOnly="0" labelOnly="1" outline="0" fieldPosition="0">
        <references count="2">
          <reference field="6">
            <x v="5"/>
          </reference>
          <reference field="7" selected="0">
            <x v="2"/>
          </reference>
        </references>
      </pivotArea>
    </format>
    <format action="formatting" dxfId="68">
      <pivotArea type="normal" dataOnly="0" labelOnly="1" outline="0" fieldPosition="0">
        <references count="2">
          <reference field="6">
            <x v="6"/>
            <x v="7"/>
          </reference>
          <reference field="7" selected="0">
            <x v="3"/>
          </reference>
        </references>
      </pivotArea>
    </format>
    <format action="formatting" dxfId="67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66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65">
      <pivotArea type="normal" dataOnly="0" labelOnly="1" outline="0" fieldPosition="0">
        <references count="2">
          <reference field="6">
            <x v="9"/>
            <x v="11"/>
            <x v="12"/>
            <x v="13"/>
            <x v="14"/>
            <x v="15"/>
            <x v="16"/>
            <x v="18"/>
          </reference>
          <reference field="7" selected="0">
            <x v="7"/>
          </reference>
        </references>
      </pivotArea>
    </format>
    <format action="formatting" dxfId="64">
      <pivotArea type="normal" dataOnly="0" labelOnly="1" outline="0" fieldPosition="0">
        <references count="2">
          <reference field="6">
            <x v="0"/>
          </reference>
          <reference field="7" selected="0">
            <x v="8"/>
          </reference>
        </references>
      </pivotArea>
    </format>
    <format action="formatting" dxfId="63">
      <pivotArea type="normal" dataOnly="0" labelOnly="1" outline="0" fieldPosition="0">
        <references count="2">
          <reference field="6">
            <x v="19"/>
          </reference>
          <reference field="7" selected="0">
            <x v="11"/>
          </reference>
        </references>
      </pivotArea>
    </format>
    <format action="formatting" dxfId="62">
      <pivotArea type="normal" dataOnly="0" labelOnly="1" outline="0" fieldPosition="0">
        <references count="2">
          <reference field="6">
            <x v="20"/>
          </reference>
          <reference field="7" selected="0">
            <x v="12"/>
          </reference>
        </references>
      </pivotArea>
    </format>
    <format action="formatting" dxfId="61">
      <pivotArea type="normal" dataOnly="0" labelOnly="1" outline="0" fieldPosition="0">
        <references count="2">
          <reference field="6">
            <x v="21"/>
          </reference>
          <reference field="7" selected="0">
            <x v="13"/>
          </reference>
        </references>
      </pivotArea>
    </format>
    <format action="formatting" dxfId="60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59">
      <pivotArea type="all" dataOnly="0" outline="0" fieldPosition="0"/>
    </format>
    <format action="formatting" dxfId="58">
      <pivotArea type="normal" dataOnly="1" outline="0" collapsedLevelsAreSubtotals="1" fieldPosition="0"/>
    </format>
    <format action="formatting" dxfId="57">
      <pivotArea field="8" type="button" dataOnly="0" labelOnly="1" outline="0" axis="axisCol" fieldPosition="0"/>
    </format>
    <format action="formatting" dxfId="56">
      <pivotArea type="normal" dataOnly="0" labelOnly="1" outline="0" fieldPosition="0">
        <references count="1">
          <reference field="7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  <format action="formatting" dxfId="55">
      <pivotArea type="normal" dataOnly="0" labelOnly="1" grandRow="1" outline="0" fieldPosition="0"/>
    </format>
    <format action="formatting" dxfId="54">
      <pivotArea type="normal" dataOnly="0" labelOnly="1" outline="0" fieldPosition="0">
        <references count="2">
          <reference field="6">
            <x v="2"/>
          </reference>
          <reference field="7" selected="0">
            <x v="0"/>
          </reference>
        </references>
      </pivotArea>
    </format>
    <format action="formatting" dxfId="53">
      <pivotArea type="normal" dataOnly="0" labelOnly="1" outline="0" fieldPosition="0">
        <references count="2">
          <reference field="6">
            <x v="3"/>
            <x v="10"/>
          </reference>
          <reference field="7" selected="0">
            <x v="1"/>
          </reference>
        </references>
      </pivotArea>
    </format>
    <format action="formatting" dxfId="52">
      <pivotArea type="normal" dataOnly="0" labelOnly="1" outline="0" fieldPosition="0">
        <references count="2">
          <reference field="6">
            <x v="5"/>
          </reference>
          <reference field="7" selected="0">
            <x v="2"/>
          </reference>
        </references>
      </pivotArea>
    </format>
    <format action="formatting" dxfId="51">
      <pivotArea type="normal" dataOnly="0" labelOnly="1" outline="0" fieldPosition="0">
        <references count="2">
          <reference field="6">
            <x v="6"/>
            <x v="7"/>
          </reference>
          <reference field="7" selected="0">
            <x v="3"/>
          </reference>
        </references>
      </pivotArea>
    </format>
    <format action="formatting" dxfId="50">
      <pivotArea type="normal" dataOnly="0" labelOnly="1" outline="0" fieldPosition="0">
        <references count="2">
          <reference field="6">
            <x v="4"/>
          </reference>
          <reference field="7" selected="0">
            <x v="4"/>
          </reference>
        </references>
      </pivotArea>
    </format>
    <format action="formatting" dxfId="49">
      <pivotArea type="normal" dataOnly="0" labelOnly="1" outline="0" fieldPosition="0">
        <references count="2">
          <reference field="6">
            <x v="1"/>
          </reference>
          <reference field="7" selected="0">
            <x v="5"/>
          </reference>
        </references>
      </pivotArea>
    </format>
    <format action="formatting" dxfId="48">
      <pivotArea type="normal" dataOnly="0" labelOnly="1" outline="0" fieldPosition="0">
        <references count="2">
          <reference field="6">
            <x v="9"/>
            <x v="11"/>
            <x v="12"/>
            <x v="13"/>
            <x v="14"/>
            <x v="15"/>
            <x v="16"/>
            <x v="18"/>
          </reference>
          <reference field="7" selected="0">
            <x v="7"/>
          </reference>
        </references>
      </pivotArea>
    </format>
    <format action="formatting" dxfId="47">
      <pivotArea type="normal" dataOnly="0" labelOnly="1" outline="0" fieldPosition="0">
        <references count="2">
          <reference field="6">
            <x v="0"/>
          </reference>
          <reference field="7" selected="0">
            <x v="8"/>
          </reference>
        </references>
      </pivotArea>
    </format>
    <format action="formatting" dxfId="46">
      <pivotArea type="normal" dataOnly="0" labelOnly="1" outline="0" fieldPosition="0">
        <references count="2">
          <reference field="6">
            <x v="19"/>
          </reference>
          <reference field="7" selected="0">
            <x v="11"/>
          </reference>
        </references>
      </pivotArea>
    </format>
    <format action="formatting" dxfId="45">
      <pivotArea type="normal" dataOnly="0" labelOnly="1" outline="0" fieldPosition="0">
        <references count="2">
          <reference field="6">
            <x v="20"/>
          </reference>
          <reference field="7" selected="0">
            <x v="12"/>
          </reference>
        </references>
      </pivotArea>
    </format>
    <format action="formatting" dxfId="44">
      <pivotArea type="normal" dataOnly="0" labelOnly="1" outline="0" fieldPosition="0">
        <references count="2">
          <reference field="6">
            <x v="21"/>
          </reference>
          <reference field="7" selected="0">
            <x v="13"/>
          </reference>
        </references>
      </pivotArea>
    </format>
    <format action="formatting" dxfId="43">
      <pivotArea type="normal" dataOnly="0" labelOnly="1" outline="0" fieldPosition="0">
        <references count="1">
          <reference field="8">
            <x v="1"/>
          </reference>
        </references>
      </pivotArea>
    </format>
    <format action="formatting" dxfId="42">
      <pivotArea type="normal" dataOnly="1" grandRow="1" grandCol="1" outline="0" collapsedLevelsAreSubtotals="1" fieldPosition="0"/>
    </format>
    <format action="formatting" dxfId="41">
      <pivotArea field="8" type="normal" dataOnly="1" grandRow="1" outline="0" axis="axisCol" fieldPosition="0">
        <references count="2">
          <reference field="0" selected="0">
            <x v="0"/>
            <x v="2"/>
            <x v="4"/>
          </reference>
          <reference field="8" selected="0">
            <x v="1"/>
          </reference>
        </references>
      </pivotArea>
    </format>
    <format action="formatting" dxfId="40">
      <pivotArea field="8" type="normal" dataOnly="1" grandRow="1" outline="0" axis="axisCol" fieldPosition="0">
        <references count="2">
          <reference field="0" selected="0">
            <x v="2"/>
          </reference>
          <reference field="8" selected="0">
            <x v="1"/>
          </reference>
        </references>
      </pivotArea>
    </format>
    <format action="formatting" dxfId="39">
      <pivotArea type="normal" dataOnly="1" grandRow="1" grandCol="1" outline="0" collapsedLevelsAreSubtotals="1" fieldPosition="0"/>
    </format>
    <format action="formatting" dxfId="38">
      <pivotArea field="8" type="normal" dataOnly="1" grandRow="1" outline="0" axis="axisCol" fieldPosition="0">
        <references count="2">
          <reference field="0" selected="0">
            <x v="0"/>
            <x v="2"/>
            <x v="4"/>
          </reference>
          <reference field="8" selected="0">
            <x v="1"/>
          </reference>
        </references>
      </pivotArea>
    </format>
    <format action="formatting" dxfId="37">
      <pivotArea field="8" type="normal" dataOnly="1" grandRow="1" outline="0" axis="axisCol" fieldPosition="0">
        <references count="2">
          <reference field="0" selected="0">
            <x v="2"/>
          </reference>
          <reference field="8" selected="0">
            <x v="1"/>
          </reference>
        </references>
      </pivotArea>
    </format>
  </formats>
  <pivotTableStyleInfo name="PivotStyleMedium14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Dinámica1" cacheId="4" dataOnRows="0" dataCaption="Valores" showError="0" showMissing="1" updatedVersion="6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C37" firstHeaderRow="1" firstDataRow="1" firstDataCol="2"/>
  <pivotFields count="16">
    <pivotField showDropDowns="1" compact="0" numFmtId="14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dataField="1" showDropDowns="1" compact="0" outline="0" subtotalTop="1" dragToRow="1" dragToCol="1" dragToPage="1" dragToData="1" dragOff="1" showAll="0" topAutoShow="1" itemPageCount="10" sortType="manual" defaultSubtotal="0"/>
    <pivotField showDropDowns="1" compact="0" numFmtId="44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0">
        <item t="data" sd="1" x="1"/>
        <item t="data" sd="1" x="9"/>
        <item t="data" sd="1" x="14"/>
        <item t="data" sd="1" x="26"/>
        <item t="data" sd="1" x="5"/>
        <item t="data" sd="1" x="11"/>
        <item t="data" sd="1" x="13"/>
        <item t="data" sd="1" x="12"/>
        <item t="data" sd="1" x="3"/>
        <item t="data" sd="1" x="4"/>
        <item t="data" sd="1" x="6"/>
        <item t="data" sd="1" x="0"/>
        <item t="data" sd="1" x="20"/>
        <item t="data" sd="1" x="8"/>
        <item t="data" sd="1" x="7"/>
        <item t="data" sd="1" x="2"/>
        <item t="data" sd="1" x="10"/>
        <item t="data" sd="1" x="15"/>
        <item t="data" sd="1" x="16"/>
        <item t="data" sd="1" x="17"/>
        <item t="data" sd="1" x="18"/>
        <item t="data" sd="1" x="19"/>
        <item t="data" sd="1" x="21"/>
        <item t="data" sd="1" x="24"/>
        <item t="data" sd="1" x="22"/>
        <item t="data" sd="1" x="23"/>
        <item t="data" sd="1" x="25"/>
        <item t="data" sd="1" x="27"/>
        <item t="data" sd="1" x="28"/>
        <item t="data" sd="1" x="29"/>
      </items>
    </pivotField>
    <pivotField showDropDowns="1" compact="0" outline="0" subtotalTop="1" dragToRow="1" dragToCol="1" dragToPage="1" dragToData="1" dragOff="1" showAll="0" topAutoShow="1" itemPageCount="10" sortType="manual" defaultSubtotal="0"/>
  </pivotFields>
  <rowFields count="2">
    <field x="13"/>
    <field x="14"/>
  </rowFields>
  <rowItems count="33">
    <i t="data" r="0" i="0">
      <x v="0"/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6"/>
    </i>
    <i t="data" r="1" i="0">
      <x v="17"/>
    </i>
    <i t="data" r="1" i="0">
      <x v="18"/>
    </i>
    <i t="data" r="1" i="0">
      <x v="19"/>
    </i>
    <i t="data" r="1" i="0">
      <x v="20"/>
    </i>
    <i t="data" r="1" i="0">
      <x v="21"/>
    </i>
    <i t="data" r="1" i="0">
      <x v="23"/>
    </i>
    <i t="data" r="1" i="0">
      <x v="24"/>
    </i>
    <i t="data" r="1" i="0">
      <x v="25"/>
    </i>
    <i t="data" r="1" i="0">
      <x v="26"/>
    </i>
    <i t="data" r="1" i="0">
      <x v="27"/>
    </i>
    <i t="data" r="1" i="0">
      <x v="28"/>
    </i>
    <i t="data" r="1" i="0">
      <x v="29"/>
    </i>
    <i t="data" r="0" i="0">
      <x v="1"/>
      <x v="0"/>
    </i>
    <i t="data" r="1" i="0">
      <x v="11"/>
    </i>
    <i t="data" r="1" i="0">
      <x v="15"/>
    </i>
    <i t="data" r="1" i="0">
      <x v="22"/>
    </i>
    <i t="grand" r="0" i="0">
      <x v="0"/>
    </i>
  </rowItems>
  <colItems count="1">
    <i t="data" r="0" i="0"/>
  </colItems>
  <dataFields count="1">
    <dataField name="Suma de CANTIDAD" fld="5" subtotal="sum" showDataAs="normal" baseField="0" baseItem="0"/>
  </dataFields>
  <formats count="27">
    <format action="formatting" dxfId="36">
      <pivotArea type="all" dataOnly="0" outline="0" fieldPosition="0"/>
    </format>
    <format action="formatting" dxfId="35">
      <pivotArea type="normal" dataOnly="1" outline="0" collapsedLevelsAreSubtotals="1" fieldPosition="0"/>
    </format>
    <format action="formatting" dxfId="34">
      <pivotArea field="13" type="button" dataOnly="0" labelOnly="1" outline="0" axis="axisRow" fieldPosition="0"/>
    </format>
    <format action="formatting" dxfId="33">
      <pivotArea field="14" type="button" dataOnly="0" labelOnly="1" outline="0" axis="axisRow" fieldPosition="1"/>
    </format>
    <format action="formatting" dxfId="32">
      <pivotArea type="normal" dataOnly="0" labelOnly="1" outline="0" axis="axisValues" fieldPosition="0"/>
    </format>
    <format action="formatting" dxfId="31">
      <pivotArea type="normal" dataOnly="0" labelOnly="1" outline="0" fieldPosition="0">
        <references count="1">
          <reference field="13"/>
        </references>
      </pivotArea>
    </format>
    <format action="formatting" dxfId="30">
      <pivotArea type="normal" dataOnly="0" labelOnly="1" grandRow="1" outline="0" fieldPosition="0"/>
    </format>
    <format action="formatting" dxfId="29">
      <pivotArea type="normal" dataOnly="0" labelOnly="1" outline="0" fieldPosition="0">
        <references count="2">
          <reference field="13" selected="0">
            <x v="0"/>
          </reference>
          <reference field="14"/>
        </references>
      </pivotArea>
    </format>
    <format action="formatting" dxfId="28">
      <pivotArea type="normal" dataOnly="0" labelOnly="1" outline="0" axis="axisValues" fieldPosition="0"/>
    </format>
    <format action="formatting" dxfId="27">
      <pivotArea type="all" dataOnly="0" outline="0" fieldPosition="0"/>
    </format>
    <format action="formatting" dxfId="26">
      <pivotArea type="normal" dataOnly="1" outline="0" collapsedLevelsAreSubtotals="1" fieldPosition="0"/>
    </format>
    <format action="formatting" dxfId="25">
      <pivotArea field="13" type="button" dataOnly="0" labelOnly="1" outline="0" axis="axisRow" fieldPosition="0"/>
    </format>
    <format action="formatting" dxfId="24">
      <pivotArea field="14" type="button" dataOnly="0" labelOnly="1" outline="0" axis="axisRow" fieldPosition="1"/>
    </format>
    <format action="formatting" dxfId="23">
      <pivotArea type="normal" dataOnly="0" labelOnly="1" outline="0" axis="axisValues" fieldPosition="0"/>
    </format>
    <format action="formatting" dxfId="22">
      <pivotArea type="normal" dataOnly="0" labelOnly="1" outline="0" fieldPosition="0">
        <references count="1">
          <reference field="13"/>
        </references>
      </pivotArea>
    </format>
    <format action="formatting" dxfId="21">
      <pivotArea type="normal" dataOnly="0" labelOnly="1" grandRow="1" outline="0" fieldPosition="0"/>
    </format>
    <format action="formatting" dxfId="20">
      <pivotArea type="normal" dataOnly="0" labelOnly="1" outline="0" fieldPosition="0">
        <references count="2">
          <reference field="13" selected="0">
            <x v="0"/>
          </reference>
          <reference field="14"/>
        </references>
      </pivotArea>
    </format>
    <format action="formatting" dxfId="19">
      <pivotArea type="normal" dataOnly="0" labelOnly="1" outline="0" axis="axisValues" fieldPosition="0"/>
    </format>
    <format action="formatting" dxfId="18">
      <pivotArea field="13" type="button" dataOnly="0" labelOnly="1" outline="0" axis="axisRow" fieldPosition="0"/>
    </format>
    <format action="formatting" dxfId="17">
      <pivotArea field="14" type="button" dataOnly="0" labelOnly="1" outline="0" axis="axisRow" fieldPosition="1"/>
    </format>
    <format action="formatting" dxfId="16">
      <pivotArea type="normal" dataOnly="0" labelOnly="1" outline="0" axis="axisValues" fieldPosition="0"/>
    </format>
    <format action="formatting" dxfId="15">
      <pivotArea type="normal" dataOnly="0" labelOnly="1" outline="0" axis="axisValues" fieldPosition="0"/>
    </format>
    <format action="formatting" dxfId="14">
      <pivotArea field="13" type="button" dataOnly="0" labelOnly="1" outline="0" axis="axisRow" fieldPosition="0"/>
    </format>
    <format action="formatting" dxfId="13">
      <pivotArea field="14" type="button" dataOnly="0" labelOnly="1" outline="0" axis="axisRow" fieldPosition="1"/>
    </format>
    <format action="formatting" dxfId="12">
      <pivotArea type="normal" dataOnly="0" labelOnly="1" outline="0" axis="axisValues" fieldPosition="0"/>
    </format>
    <format action="formatting" dxfId="11">
      <pivotArea type="normal" dataOnly="0" labelOnly="1" outline="0" axis="axisValues" fieldPosition="0"/>
    </format>
    <format action="formatting" dxfId="10">
      <pivotArea type="normal" dataOnly="0" labelOnly="1" outline="0" fieldPosition="0">
        <references count="1">
          <reference field="13"/>
        </references>
      </pivotArea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pivotTable" Target="/xl/pivotTables/pivotTable3.xml" Id="rId2"/></Relationships>
</file>

<file path=xl/worksheets/sheet1.xml><?xml version="1.0" encoding="utf-8"?>
<worksheet xmlns="http://schemas.openxmlformats.org/spreadsheetml/2006/main">
  <sheetPr codeName="Hoja1">
    <tabColor rgb="FFFF0000"/>
    <outlinePr summaryBelow="1" summaryRight="1"/>
    <pageSetUpPr/>
  </sheetPr>
  <dimension ref="A1:S1001"/>
  <sheetViews>
    <sheetView showGridLines="0" tabSelected="1" topLeftCell="A13" zoomScaleNormal="100" workbookViewId="0">
      <selection activeCell="A31" sqref="A31"/>
    </sheetView>
  </sheetViews>
  <sheetFormatPr baseColWidth="10" defaultColWidth="15.6640625" defaultRowHeight="10.2"/>
  <cols>
    <col collapsed="1" width="15.5" customWidth="1" style="21" min="1" max="1"/>
    <col collapsed="1" width="4.33203125" customWidth="1" style="86" min="2" max="2"/>
    <col collapsed="1" width="9.6640625" customWidth="1" style="21" min="3" max="3"/>
    <col collapsed="1" width="42.6640625" bestFit="1" customWidth="1" style="21" min="4" max="4"/>
    <col width="10.88671875" customWidth="1" style="21" min="5" max="5"/>
    <col collapsed="1" width="9.6640625" bestFit="1" customWidth="1" style="21" min="6" max="6"/>
    <col collapsed="1" width="7.5546875" bestFit="1" customWidth="1" style="21" min="7" max="7"/>
    <col collapsed="1" width="9.33203125" bestFit="1" customWidth="1" style="21" min="8" max="8"/>
    <col collapsed="1" width="9.33203125" bestFit="1" customWidth="1" style="7" min="9" max="9"/>
    <col collapsed="1" width="12" bestFit="1" customWidth="1" style="86" min="10" max="10"/>
    <col collapsed="1" width="15.44140625" bestFit="1" customWidth="1" style="86" min="11" max="11"/>
    <col collapsed="1" width="10.6640625" bestFit="1" customWidth="1" style="21" min="12" max="12"/>
    <col collapsed="1" width="13.109375" customWidth="1" style="21" min="13" max="13"/>
    <col collapsed="1" width="9.88671875" bestFit="1" customWidth="1" style="21" min="14" max="14"/>
    <col collapsed="1" width="11.33203125" customWidth="1" style="21" min="15" max="15"/>
    <col collapsed="1" width="9" bestFit="1" customWidth="1" style="21" min="16" max="16"/>
    <col collapsed="1" width="10.5546875" customWidth="1" style="21" min="17" max="17"/>
    <col collapsed="1" width="15.5" bestFit="1" customWidth="1" style="21" min="18" max="18"/>
    <col collapsed="1" width="26" customWidth="1" style="21" min="19" max="16384"/>
  </cols>
  <sheetData>
    <row r="1" ht="14.4" customHeight="1"/>
    <row r="2">
      <c r="H2" s="35" t="n"/>
    </row>
    <row r="3" ht="13.2" customHeight="1">
      <c r="F3" s="47" t="n"/>
    </row>
    <row r="4" ht="13.2" customHeight="1">
      <c r="F4" s="48" t="n"/>
    </row>
    <row r="5">
      <c r="C5" s="13" t="n"/>
      <c r="D5" s="13" t="n"/>
      <c r="E5" s="13" t="n"/>
    </row>
    <row r="6" ht="15" customHeight="1">
      <c r="C6" s="14" t="inlineStr">
        <is>
          <t>CUADRO DE MANDO LOGÍSTICA</t>
        </is>
      </c>
      <c r="D6" s="14" t="n"/>
      <c r="E6" s="14" t="n"/>
      <c r="J6" s="70" t="inlineStr">
        <is>
          <t>DIAS DE STOCK</t>
        </is>
      </c>
      <c r="R6" s="40" t="n"/>
    </row>
    <row r="7" ht="11.4" customHeight="1">
      <c r="C7" s="14" t="inlineStr">
        <is>
          <t>ROTACIÓN DE SIMCARD</t>
        </is>
      </c>
      <c r="D7" s="14" t="n"/>
      <c r="E7" s="87" t="inlineStr">
        <is>
          <t>DÍAS DEL PERÍODO — escriba AUTO o un número fijo:</t>
        </is>
      </c>
      <c r="I7" s="88" t="inlineStr">
        <is>
          <t>AUTO</t>
        </is>
      </c>
      <c r="J7" s="71" t="inlineStr">
        <is>
          <t>MENOR O IGUAL A 7 DIAS</t>
        </is>
      </c>
      <c r="K7" s="89" t="n"/>
      <c r="L7" s="90" t="inlineStr">
        <is>
          <t>MENOR O IGUAL A 90</t>
        </is>
      </c>
      <c r="M7" s="91" t="n"/>
      <c r="N7" s="91" t="n"/>
      <c r="O7" s="91" t="n"/>
      <c r="P7" s="91" t="n"/>
      <c r="Q7" s="92" t="n"/>
    </row>
    <row r="8">
      <c r="C8" s="15" t="inlineStr">
        <is>
          <t>Inventario disponible:</t>
        </is>
      </c>
      <c r="D8" s="15" t="n"/>
      <c r="E8" s="87" t="inlineStr">
        <is>
          <t>Días con despacho detectados en la hoja origen:</t>
        </is>
      </c>
      <c r="I8" s="93">
        <f>IFERROR(SUMPRODUCT(1/COUNTIF(OFFSET('DESPACHOS 20 DIAS'!$A$2,0,0,MAX(1,COUNTA('DESPACHOS 20 DIAS'!$A:$A)-1),1),OFFSET('DESPACHOS 20 DIAS'!$A$2,0,0,MAX(1,COUNTA('DESPACHOS 20 DIAS'!$A:$A)-1),1))),0)</f>
        <v/>
      </c>
      <c r="J8" s="72" t="inlineStr">
        <is>
          <t>De 8 a 14 días</t>
        </is>
      </c>
      <c r="K8" s="89" t="n"/>
      <c r="L8" s="90" t="inlineStr">
        <is>
          <t>MAYOR  A 90 Y MENOR O IGUAL A 150</t>
        </is>
      </c>
      <c r="M8" s="91" t="n"/>
      <c r="N8" s="91" t="n"/>
      <c r="O8" s="91" t="n"/>
      <c r="P8" s="91" t="n"/>
      <c r="Q8" s="92" t="n"/>
    </row>
    <row r="9">
      <c r="C9" s="65">
        <f>TODAY()</f>
        <v/>
      </c>
      <c r="E9" s="94" t="inlineStr">
        <is>
          <t>Divisor aplicado al promedio diario:</t>
        </is>
      </c>
      <c r="I9" s="95">
        <f>IF(ISNUMBER($I$7),$I$7,IF($I$8&gt;0,$I$8,20))</f>
        <v/>
      </c>
      <c r="J9" s="66" t="inlineStr">
        <is>
          <t>Mas de 15 días</t>
        </is>
      </c>
      <c r="K9" s="89" t="n"/>
      <c r="L9" s="90" t="inlineStr">
        <is>
          <t>MAYOR A 150</t>
        </is>
      </c>
      <c r="M9" s="91" t="n"/>
      <c r="N9" s="91" t="n"/>
      <c r="O9" s="91" t="n"/>
      <c r="P9" s="91" t="n"/>
      <c r="Q9" s="92" t="n"/>
    </row>
    <row r="10">
      <c r="C10" s="20" t="n"/>
      <c r="D10" s="65" t="n"/>
      <c r="E10" s="65" t="n"/>
      <c r="J10" s="96" t="inlineStr">
        <is>
          <t>Sin rotación en el período = gris (antes se pintaba de verde)</t>
        </is>
      </c>
    </row>
    <row r="11" ht="11.25" customHeight="1">
      <c r="A11" s="97" t="inlineStr">
        <is>
          <t>CLAVE</t>
        </is>
      </c>
      <c r="B11" s="97" t="inlineStr">
        <is>
          <t>No.</t>
        </is>
      </c>
      <c r="C11" s="78" t="inlineStr">
        <is>
          <t>CODIGO JANUS</t>
        </is>
      </c>
      <c r="D11" s="78" t="inlineStr">
        <is>
          <t>ARTICULO JANUS</t>
        </is>
      </c>
      <c r="E11" s="78" t="inlineStr">
        <is>
          <t>Tipo</t>
        </is>
      </c>
      <c r="F11" s="78" t="inlineStr">
        <is>
          <t>DESPACHO</t>
        </is>
      </c>
      <c r="G11" s="98" t="n"/>
      <c r="H11" s="98" t="n"/>
      <c r="I11" s="99" t="n"/>
      <c r="J11" s="100" t="inlineStr">
        <is>
          <t xml:space="preserve">STOCK </t>
        </is>
      </c>
      <c r="K11" s="98" t="n"/>
      <c r="L11" s="98" t="n"/>
      <c r="M11" s="75" t="inlineStr">
        <is>
          <t>DIAS DE STOCK SIN PRODUCIR</t>
        </is>
      </c>
      <c r="N11" s="16" t="n"/>
      <c r="O11" s="101" t="inlineStr">
        <is>
          <t>DIAS DE STOCK DISPONIBLE PRODUCIDO</t>
        </is>
      </c>
      <c r="P11" s="102" t="n"/>
      <c r="Q11" s="103" t="inlineStr">
        <is>
          <t>DÍAS DE STOCK TOTAL</t>
        </is>
      </c>
      <c r="R11" s="103" t="inlineStr">
        <is>
          <t>ESTADO</t>
        </is>
      </c>
      <c r="S11" s="103" t="inlineStr">
        <is>
          <t>ALERTA DE PRODUCCIÓN</t>
        </is>
      </c>
    </row>
    <row r="12" ht="30.6" customHeight="1">
      <c r="A12" s="104" t="n"/>
      <c r="B12" s="104" t="n"/>
      <c r="C12" s="104" t="n"/>
      <c r="D12" s="104" t="n"/>
      <c r="E12" s="104" t="n"/>
      <c r="F12" s="34" t="inlineStr">
        <is>
          <t>CANAL INDIRECTO</t>
        </is>
      </c>
      <c r="G12" s="34" t="inlineStr">
        <is>
          <t>CANAL DIRECTO</t>
        </is>
      </c>
      <c r="H12" s="78" t="inlineStr">
        <is>
          <t>TOTAL DESPACHO</t>
        </is>
      </c>
      <c r="I12" s="18" t="inlineStr">
        <is>
          <t>PROMEDIO DIARIO DE DESPACHO</t>
        </is>
      </c>
      <c r="J12" s="97" t="inlineStr">
        <is>
          <t>STOCK EN PROCESO DE LIBERACIÓN</t>
        </is>
      </c>
      <c r="K12" s="97" t="inlineStr">
        <is>
          <t>EN PRODUCCIÓN</t>
        </is>
      </c>
      <c r="L12" s="97" t="inlineStr">
        <is>
          <t>STOCK SIN PRODUCIR</t>
        </is>
      </c>
      <c r="M12" s="105" t="n"/>
      <c r="N12" s="19" t="inlineStr">
        <is>
          <t>STOCK DISPONIBLE PRODUCIDO</t>
        </is>
      </c>
      <c r="O12" s="104" t="n"/>
      <c r="P12" s="97" t="inlineStr">
        <is>
          <t>STOCK TOTAL</t>
        </is>
      </c>
      <c r="Q12" s="104" t="n"/>
      <c r="R12" s="104" t="n"/>
      <c r="S12" s="104" t="n"/>
    </row>
    <row r="13">
      <c r="A13" s="106" t="inlineStr">
        <is>
          <t>KITE.ESTANDAR</t>
        </is>
      </c>
      <c r="B13" s="64" t="n">
        <v>1</v>
      </c>
      <c r="C13" s="63" t="inlineStr">
        <is>
          <t>162082</t>
        </is>
      </c>
      <c r="D13" s="63" t="inlineStr">
        <is>
          <t>SIM KITE M2M 2FF STANDARD</t>
        </is>
      </c>
      <c r="E13" s="63" t="inlineStr">
        <is>
          <t>Blanca</t>
        </is>
      </c>
      <c r="F13" s="107">
        <f>SUMIFS('DESPACHOS 20 DIAS'!F:F,'DESPACHOS 20 DIAS'!D:D,$C13,'DESPACHOS 20 DIAS'!E:E,$D13,'DESPACHOS 20 DIAS'!N:N,"CANAL INDIRECTO")</f>
        <v/>
      </c>
      <c r="G13" s="107">
        <f>SUMIFS('DESPACHOS 20 DIAS'!F:F,'DESPACHOS 20 DIAS'!D:D,$C13,'DESPACHOS 20 DIAS'!E:E,$D13,'DESPACHOS 20 DIAS'!N:N,"CANAL DIRECTO")</f>
        <v/>
      </c>
      <c r="H13" s="107">
        <f>F13+G13</f>
        <v/>
      </c>
      <c r="I13" s="108">
        <f>IFERROR(H13/DIAS_PERIODO,0)</f>
        <v/>
      </c>
      <c r="J13" s="107" t="n">
        <v>0</v>
      </c>
      <c r="K13" s="107">
        <f>SUMIFS(INVENTARIO!E:E,INVENTARIO!D:D,$C13,INVENTARIO!B:B,$D13,INVENTARIO!A:A,"PRODUCCION")</f>
        <v/>
      </c>
      <c r="L13" s="107">
        <f>SUMIFS(INVENTARIO!E:E,INVENTARIO!D:D,$C13,INVENTARIO!B:B,$D13,INVENTARIO!A:A,"MATERIA PRIMA")</f>
        <v/>
      </c>
      <c r="M13" s="109">
        <f>IF($I13=0,"",L13/$I13)</f>
        <v/>
      </c>
      <c r="N13" s="107">
        <f>SUMIFS(INVENTARIO!E:E,INVENTARIO!D:D,$C13,INVENTARIO!B:B,$D13,INVENTARIO!A:A,"BODEGA CENTRAL")+SUMIFS(INVENTARIO!E:E,INVENTARIO!D:D,$C13,INVENTARIO!B:B,$D13,INVENTARIO!A:A,"DELIVERY")</f>
        <v/>
      </c>
      <c r="O13" s="109">
        <f>IF($I13=0,"",N13/$I13)</f>
        <v/>
      </c>
      <c r="P13" s="107">
        <f>L13+N13+K13</f>
        <v/>
      </c>
      <c r="Q13" s="109">
        <f>IF($I13=0,"",P13/$I13)</f>
        <v/>
      </c>
      <c r="R13" s="110">
        <f>IF($D13="","",IF($I13=0,"SIN ROTACIÓN",IF($E13="","",IF($E13="Numerada",IF($Q13&lt;8,"CRÍTICO",IF($Q13&lt;15,"ALERTA","OK")),IF($Q13&lt;=90,"CRÍTICO",IF($Q13&lt;=150,"ALERTA","OK"))))))</f>
        <v/>
      </c>
      <c r="S13" s="110">
        <f>IF(OR($C13="",$E13="",$I13=0),"",IF($E13="Numerada",IF(AND($O13&lt;8,$Q13&gt;=8),"PRODUCIR - "&amp;TEXT($O13,"0")&amp;" d terminado",""),IF(AND($O13&lt;=90,$Q13&gt;90),"PRODUCIR - "&amp;TEXT($O13,"0")&amp;" d terminado","")))</f>
        <v/>
      </c>
    </row>
    <row r="14">
      <c r="A14" s="106" t="inlineStr">
        <is>
          <t>KITE.ESTANDAR</t>
        </is>
      </c>
      <c r="B14" s="64" t="n">
        <v>2</v>
      </c>
      <c r="C14" s="63" t="inlineStr">
        <is>
          <t>162086</t>
        </is>
      </c>
      <c r="D14" s="63" t="inlineStr">
        <is>
          <t>SIM KITE M2M 4FF</t>
        </is>
      </c>
      <c r="E14" s="63" t="inlineStr">
        <is>
          <t>Blanca</t>
        </is>
      </c>
      <c r="F14" s="107">
        <f>SUMIFS('DESPACHOS 20 DIAS'!F:F,'DESPACHOS 20 DIAS'!D:D,$C14,'DESPACHOS 20 DIAS'!E:E,$D14,'DESPACHOS 20 DIAS'!N:N,"CANAL INDIRECTO")</f>
        <v/>
      </c>
      <c r="G14" s="107">
        <f>SUMIFS('DESPACHOS 20 DIAS'!F:F,'DESPACHOS 20 DIAS'!D:D,$C14,'DESPACHOS 20 DIAS'!E:E,$D14,'DESPACHOS 20 DIAS'!N:N,"CANAL DIRECTO")</f>
        <v/>
      </c>
      <c r="H14" s="107">
        <f>F14+G14</f>
        <v/>
      </c>
      <c r="I14" s="108">
        <f>IFERROR(H14/DIAS_PERIODO,0)</f>
        <v/>
      </c>
      <c r="J14" s="107" t="n">
        <v>0</v>
      </c>
      <c r="K14" s="107">
        <f>SUMIFS(INVENTARIO!E:E,INVENTARIO!D:D,$C14,INVENTARIO!B:B,$D14,INVENTARIO!A:A,"PRODUCCION")</f>
        <v/>
      </c>
      <c r="L14" s="107">
        <f>SUMIFS(INVENTARIO!E:E,INVENTARIO!D:D,$C14,INVENTARIO!B:B,$D14,INVENTARIO!A:A,"MATERIA PRIMA")</f>
        <v/>
      </c>
      <c r="M14" s="109">
        <f>IF($I14=0,"",L14/$I14)</f>
        <v/>
      </c>
      <c r="N14" s="107">
        <f>SUMIFS(INVENTARIO!E:E,INVENTARIO!D:D,$C14,INVENTARIO!B:B,$D14,INVENTARIO!A:A,"BODEGA CENTRAL")+SUMIFS(INVENTARIO!E:E,INVENTARIO!D:D,$C14,INVENTARIO!B:B,$D14,INVENTARIO!A:A,"DELIVERY")</f>
        <v/>
      </c>
      <c r="O14" s="109">
        <f>IF($I14=0,"",N14/$I14)</f>
        <v/>
      </c>
      <c r="P14" s="107">
        <f>L14+N14+K14</f>
        <v/>
      </c>
      <c r="Q14" s="109">
        <f>IF($I14=0,"",P14/$I14)</f>
        <v/>
      </c>
      <c r="R14" s="110">
        <f>IF($D14="","",IF($I14=0,"SIN ROTACIÓN",IF($E14="","",IF($E14="Numerada",IF($Q14&lt;8,"CRÍTICO",IF($Q14&lt;15,"ALERTA","OK")),IF($Q14&lt;=90,"CRÍTICO",IF($Q14&lt;=150,"ALERTA","OK"))))))</f>
        <v/>
      </c>
      <c r="S14" s="110">
        <f>IF(OR($C14="",$E14="",$I14=0),"",IF($E14="Numerada",IF(AND($O14&lt;8,$Q14&gt;=8),"PRODUCIR - "&amp;TEXT($O14,"0")&amp;" d terminado",""),IF(AND($O14&lt;=90,$Q14&gt;90),"PRODUCIR - "&amp;TEXT($O14,"0")&amp;" d terminado","")))</f>
        <v/>
      </c>
    </row>
    <row r="15">
      <c r="A15" s="106" t="inlineStr">
        <is>
          <t>KITE.ESTANDAR</t>
        </is>
      </c>
      <c r="B15" s="64" t="n">
        <v>3</v>
      </c>
      <c r="C15" s="63" t="inlineStr">
        <is>
          <t>162439</t>
        </is>
      </c>
      <c r="D15" s="63" t="inlineStr">
        <is>
          <t>HALFSIM KITE M2M 2FF</t>
        </is>
      </c>
      <c r="E15" s="63" t="inlineStr">
        <is>
          <t>Blanca</t>
        </is>
      </c>
      <c r="F15" s="107">
        <f>SUMIFS('DESPACHOS 20 DIAS'!F:F,'DESPACHOS 20 DIAS'!D:D,$C15,'DESPACHOS 20 DIAS'!E:E,$D15,'DESPACHOS 20 DIAS'!N:N,"CANAL INDIRECTO")</f>
        <v/>
      </c>
      <c r="G15" s="107">
        <f>SUMIFS('DESPACHOS 20 DIAS'!F:F,'DESPACHOS 20 DIAS'!D:D,$C15,'DESPACHOS 20 DIAS'!E:E,$D15,'DESPACHOS 20 DIAS'!N:N,"CANAL DIRECTO")</f>
        <v/>
      </c>
      <c r="H15" s="107">
        <f>F15+G15</f>
        <v/>
      </c>
      <c r="I15" s="108">
        <f>IFERROR(H15/DIAS_PERIODO,0)</f>
        <v/>
      </c>
      <c r="J15" s="107" t="n">
        <v>0</v>
      </c>
      <c r="K15" s="107">
        <f>SUMIFS(INVENTARIO!E:E,INVENTARIO!D:D,$C15,INVENTARIO!B:B,$D15,INVENTARIO!A:A,"PRODUCCION")</f>
        <v/>
      </c>
      <c r="L15" s="107">
        <f>SUMIFS(INVENTARIO!E:E,INVENTARIO!D:D,$C15,INVENTARIO!B:B,$D15,INVENTARIO!A:A,"MATERIA PRIMA")</f>
        <v/>
      </c>
      <c r="M15" s="109">
        <f>IF($I15=0,"",L15/$I15)</f>
        <v/>
      </c>
      <c r="N15" s="107">
        <f>SUMIFS(INVENTARIO!E:E,INVENTARIO!D:D,$C15,INVENTARIO!B:B,$D15,INVENTARIO!A:A,"BODEGA CENTRAL")+SUMIFS(INVENTARIO!E:E,INVENTARIO!D:D,$C15,INVENTARIO!B:B,$D15,INVENTARIO!A:A,"DELIVERY")</f>
        <v/>
      </c>
      <c r="O15" s="109">
        <f>IF($I15=0,"",N15/$I15)</f>
        <v/>
      </c>
      <c r="P15" s="107">
        <f>L15+N15+K15</f>
        <v/>
      </c>
      <c r="Q15" s="109">
        <f>IF($I15=0,"",P15/$I15)</f>
        <v/>
      </c>
      <c r="R15" s="110">
        <f>IF($D15="","",IF($I15=0,"SIN ROTACIÓN",IF($E15="","",IF($E15="Numerada",IF($Q15&lt;8,"CRÍTICO",IF($Q15&lt;15,"ALERTA","OK")),IF($Q15&lt;=90,"CRÍTICO",IF($Q15&lt;=150,"ALERTA","OK"))))))</f>
        <v/>
      </c>
      <c r="S15" s="110">
        <f>IF(OR($C15="",$E15="",$I15=0),"",IF($E15="Numerada",IF(AND($O15&lt;8,$Q15&gt;=8),"PRODUCIR - "&amp;TEXT($O15,"0")&amp;" d terminado",""),IF(AND($O15&lt;=90,$Q15&gt;90),"PRODUCIR - "&amp;TEXT($O15,"0")&amp;" d terminado","")))</f>
        <v/>
      </c>
    </row>
    <row r="16">
      <c r="B16" s="111" t="n"/>
      <c r="C16" s="111" t="n"/>
      <c r="D16" s="112" t="inlineStr">
        <is>
          <t>Subtotal SIM / HALFSIM KITE M2M ESTÁNDAR</t>
        </is>
      </c>
      <c r="E16" s="111" t="inlineStr">
        <is>
          <t>Blanca</t>
        </is>
      </c>
      <c r="F16" s="113">
        <f>SUMIFS(F$13:F$73,$A$13:$A$73,"KITE.ESTANDAR")</f>
        <v/>
      </c>
      <c r="G16" s="113">
        <f>SUMIFS(G$13:G$73,$A$13:$A$73,"KITE.ESTANDAR")</f>
        <v/>
      </c>
      <c r="H16" s="113">
        <f>SUMIFS(H$13:H$73,$A$13:$A$73,"KITE.ESTANDAR")</f>
        <v/>
      </c>
      <c r="I16" s="114">
        <f>IFERROR(H16/DIAS_PERIODO,0)</f>
        <v/>
      </c>
      <c r="J16" s="113">
        <f>SUMIFS(J$13:J$73,$A$13:$A$73,"KITE.ESTANDAR")</f>
        <v/>
      </c>
      <c r="K16" s="113">
        <f>SUMIFS(K$13:K$73,$A$13:$A$73,"KITE.ESTANDAR")</f>
        <v/>
      </c>
      <c r="L16" s="113">
        <f>SUMIFS(L$13:L$73,$A$13:$A$73,"KITE.ESTANDAR")</f>
        <v/>
      </c>
      <c r="M16" s="115">
        <f>IF($I16=0,"",L16/$I16)</f>
        <v/>
      </c>
      <c r="N16" s="113">
        <f>SUMIFS(N$13:N$73,$A$13:$A$73,"KITE.ESTANDAR")</f>
        <v/>
      </c>
      <c r="O16" s="116">
        <f>IF($I16=0,"",N16/$I16)</f>
        <v/>
      </c>
      <c r="P16" s="113">
        <f>SUMIFS(P$13:P$73,$A$13:$A$73,"KITE.ESTANDAR")</f>
        <v/>
      </c>
      <c r="Q16" s="116">
        <f>IF($I16=0,"",P16/$I16)</f>
        <v/>
      </c>
      <c r="R16" s="117">
        <f>IF($D16="","",IF($I16=0,"SIN ROTACIÓN",IF($E16="","",IF($E16="Numerada",IF($Q16&lt;8,"CRÍTICO",IF($Q16&lt;15,"ALERTA","OK")),IF($Q16&lt;=90,"CRÍTICO",IF($Q16&lt;=150,"ALERTA","OK"))))))</f>
        <v/>
      </c>
      <c r="S16" s="117">
        <f>IF(OR($C16="",$E16="",$I16=0),"",IF($E16="Numerada",IF(AND($O16&lt;8,$Q16&gt;=8),"PRODUCIR - "&amp;TEXT($O16,"0")&amp;" d terminado",""),IF(AND($O16&lt;=90,$Q16&gt;90),"PRODUCIR - "&amp;TEXT($O16,"0")&amp;" d terminado","")))</f>
        <v/>
      </c>
    </row>
    <row r="17">
      <c r="A17" s="106" t="inlineStr">
        <is>
          <t>KITE.DEVCTRL</t>
        </is>
      </c>
      <c r="B17" s="64" t="n">
        <v>4</v>
      </c>
      <c r="C17" s="63" t="inlineStr">
        <is>
          <t>162593</t>
        </is>
      </c>
      <c r="D17" s="63" t="inlineStr">
        <is>
          <t>HALFSIM KITE M2M 3FF DEVICE CONTROL BLANCA</t>
        </is>
      </c>
      <c r="E17" s="63" t="inlineStr">
        <is>
          <t>Blanca</t>
        </is>
      </c>
      <c r="F17" s="107">
        <f>SUMIFS('DESPACHOS 20 DIAS'!F:F,'DESPACHOS 20 DIAS'!D:D,$C17,'DESPACHOS 20 DIAS'!E:E,$D17,'DESPACHOS 20 DIAS'!N:N,"CANAL INDIRECTO")</f>
        <v/>
      </c>
      <c r="G17" s="107">
        <f>SUMIFS('DESPACHOS 20 DIAS'!F:F,'DESPACHOS 20 DIAS'!D:D,$C17,'DESPACHOS 20 DIAS'!E:E,$D17,'DESPACHOS 20 DIAS'!N:N,"CANAL DIRECTO")</f>
        <v/>
      </c>
      <c r="H17" s="107">
        <f>F17+G17</f>
        <v/>
      </c>
      <c r="I17" s="108">
        <f>IFERROR(H17/DIAS_PERIODO,0)</f>
        <v/>
      </c>
      <c r="J17" s="107" t="n">
        <v>0</v>
      </c>
      <c r="K17" s="107">
        <f>SUMIFS(INVENTARIO!E:E,INVENTARIO!D:D,$C17,INVENTARIO!B:B,$D17,INVENTARIO!A:A,"PRODUCCION")</f>
        <v/>
      </c>
      <c r="L17" s="107">
        <f>SUMIFS(INVENTARIO!E:E,INVENTARIO!D:D,$C17,INVENTARIO!B:B,$D17,INVENTARIO!A:A,"MATERIA PRIMA")</f>
        <v/>
      </c>
      <c r="M17" s="109">
        <f>IF($I17=0,"",L17/$I17)</f>
        <v/>
      </c>
      <c r="N17" s="107">
        <f>SUMIFS(INVENTARIO!E:E,INVENTARIO!D:D,$C17,INVENTARIO!B:B,$D17,INVENTARIO!A:A,"BODEGA CENTRAL")+SUMIFS(INVENTARIO!E:E,INVENTARIO!D:D,$C17,INVENTARIO!B:B,$D17,INVENTARIO!A:A,"DELIVERY")</f>
        <v/>
      </c>
      <c r="O17" s="109">
        <f>IF($I17=0,"",N17/$I17)</f>
        <v/>
      </c>
      <c r="P17" s="107">
        <f>L17+N17+K17</f>
        <v/>
      </c>
      <c r="Q17" s="109">
        <f>IF($I17=0,"",P17/$I17)</f>
        <v/>
      </c>
      <c r="R17" s="110">
        <f>IF($D17="","",IF($I17=0,"SIN ROTACIÓN",IF($E17="","",IF($E17="Numerada",IF($Q17&lt;8,"CRÍTICO",IF($Q17&lt;15,"ALERTA","OK")),IF($Q17&lt;=90,"CRÍTICO",IF($Q17&lt;=150,"ALERTA","OK"))))))</f>
        <v/>
      </c>
      <c r="S17" s="110">
        <f>IF(OR($C17="",$E17="",$I17=0),"",IF($E17="Numerada",IF(AND($O17&lt;8,$Q17&gt;=8),"PRODUCIR - "&amp;TEXT($O17,"0")&amp;" d terminado",""),IF(AND($O17&lt;=90,$Q17&gt;90),"PRODUCIR - "&amp;TEXT($O17,"0")&amp;" d terminado","")))</f>
        <v/>
      </c>
    </row>
    <row r="18">
      <c r="A18" s="106" t="inlineStr">
        <is>
          <t>KITE.DEVCTRL</t>
        </is>
      </c>
      <c r="B18" s="64" t="n">
        <v>5</v>
      </c>
      <c r="C18" s="63" t="inlineStr">
        <is>
          <t>162594</t>
        </is>
      </c>
      <c r="D18" s="63" t="inlineStr">
        <is>
          <t>HALFSIM KITE M2M 2FF DEVICE CONTROL BLANCA</t>
        </is>
      </c>
      <c r="E18" s="63" t="inlineStr">
        <is>
          <t>Blanca</t>
        </is>
      </c>
      <c r="F18" s="107">
        <f>SUMIFS('DESPACHOS 20 DIAS'!F:F,'DESPACHOS 20 DIAS'!D:D,$C18,'DESPACHOS 20 DIAS'!E:E,$D18,'DESPACHOS 20 DIAS'!N:N,"CANAL INDIRECTO")</f>
        <v/>
      </c>
      <c r="G18" s="107">
        <f>SUMIFS('DESPACHOS 20 DIAS'!F:F,'DESPACHOS 20 DIAS'!D:D,$C18,'DESPACHOS 20 DIAS'!E:E,$D18,'DESPACHOS 20 DIAS'!N:N,"CANAL DIRECTO")</f>
        <v/>
      </c>
      <c r="H18" s="107">
        <f>F18+G18</f>
        <v/>
      </c>
      <c r="I18" s="108">
        <f>IFERROR(H18/DIAS_PERIODO,0)</f>
        <v/>
      </c>
      <c r="J18" s="107" t="n">
        <v>0</v>
      </c>
      <c r="K18" s="107">
        <f>SUMIFS(INVENTARIO!E:E,INVENTARIO!D:D,$C18,INVENTARIO!B:B,$D18,INVENTARIO!A:A,"PRODUCCION")</f>
        <v/>
      </c>
      <c r="L18" s="107">
        <f>SUMIFS(INVENTARIO!E:E,INVENTARIO!D:D,$C18,INVENTARIO!B:B,$D18,INVENTARIO!A:A,"MATERIA PRIMA")</f>
        <v/>
      </c>
      <c r="M18" s="109">
        <f>IF($I18=0,"",L18/$I18)</f>
        <v/>
      </c>
      <c r="N18" s="107">
        <f>SUMIFS(INVENTARIO!E:E,INVENTARIO!D:D,$C18,INVENTARIO!B:B,$D18,INVENTARIO!A:A,"BODEGA CENTRAL")+SUMIFS(INVENTARIO!E:E,INVENTARIO!D:D,$C18,INVENTARIO!B:B,$D18,INVENTARIO!A:A,"DELIVERY")</f>
        <v/>
      </c>
      <c r="O18" s="109">
        <f>IF($I18=0,"",N18/$I18)</f>
        <v/>
      </c>
      <c r="P18" s="107">
        <f>L18+N18+K18</f>
        <v/>
      </c>
      <c r="Q18" s="109">
        <f>IF($I18=0,"",P18/$I18)</f>
        <v/>
      </c>
      <c r="R18" s="110">
        <f>IF($D18="","",IF($I18=0,"SIN ROTACIÓN",IF($E18="","",IF($E18="Numerada",IF($Q18&lt;8,"CRÍTICO",IF($Q18&lt;15,"ALERTA","OK")),IF($Q18&lt;=90,"CRÍTICO",IF($Q18&lt;=150,"ALERTA","OK"))))))</f>
        <v/>
      </c>
      <c r="S18" s="110">
        <f>IF(OR($C18="",$E18="",$I18=0),"",IF($E18="Numerada",IF(AND($O18&lt;8,$Q18&gt;=8),"PRODUCIR - "&amp;TEXT($O18,"0")&amp;" d terminado",""),IF(AND($O18&lt;=90,$Q18&gt;90),"PRODUCIR - "&amp;TEXT($O18,"0")&amp;" d terminado","")))</f>
        <v/>
      </c>
    </row>
    <row r="19">
      <c r="A19" s="106" t="inlineStr">
        <is>
          <t>KITE.DEVCTRL</t>
        </is>
      </c>
      <c r="B19" s="64" t="n">
        <v>6</v>
      </c>
      <c r="C19" s="63" t="inlineStr">
        <is>
          <t>162594</t>
        </is>
      </c>
      <c r="D19" s="63" t="inlineStr">
        <is>
          <t>HALFSIM KITE M2M 2FF DEVICE CONTROL TELEFONICA</t>
        </is>
      </c>
      <c r="E19" s="63" t="inlineStr">
        <is>
          <t>Blanca</t>
        </is>
      </c>
      <c r="F19" s="107">
        <f>SUMIFS('DESPACHOS 20 DIAS'!F:F,'DESPACHOS 20 DIAS'!D:D,$C19,'DESPACHOS 20 DIAS'!E:E,$D19,'DESPACHOS 20 DIAS'!N:N,"CANAL INDIRECTO")</f>
        <v/>
      </c>
      <c r="G19" s="107">
        <f>SUMIFS('DESPACHOS 20 DIAS'!F:F,'DESPACHOS 20 DIAS'!D:D,$C19,'DESPACHOS 20 DIAS'!E:E,$D19,'DESPACHOS 20 DIAS'!N:N,"CANAL DIRECTO")</f>
        <v/>
      </c>
      <c r="H19" s="107">
        <f>F19+G19</f>
        <v/>
      </c>
      <c r="I19" s="108">
        <f>IFERROR(H19/DIAS_PERIODO,0)</f>
        <v/>
      </c>
      <c r="J19" s="107" t="n">
        <v>0</v>
      </c>
      <c r="K19" s="107">
        <f>SUMIFS(INVENTARIO!E:E,INVENTARIO!D:D,$C19,INVENTARIO!B:B,$D19,INVENTARIO!A:A,"PRODUCCION")</f>
        <v/>
      </c>
      <c r="L19" s="107">
        <f>SUMIFS(INVENTARIO!E:E,INVENTARIO!D:D,$C19,INVENTARIO!B:B,$D19,INVENTARIO!A:A,"MATERIA PRIMA")</f>
        <v/>
      </c>
      <c r="M19" s="109">
        <f>IF($I19=0,"",L19/$I19)</f>
        <v/>
      </c>
      <c r="N19" s="107">
        <f>SUMIFS(INVENTARIO!E:E,INVENTARIO!D:D,$C19,INVENTARIO!B:B,$D19,INVENTARIO!A:A,"BODEGA CENTRAL")+SUMIFS(INVENTARIO!E:E,INVENTARIO!D:D,$C19,INVENTARIO!B:B,$D19,INVENTARIO!A:A,"DELIVERY")</f>
        <v/>
      </c>
      <c r="O19" s="109">
        <f>IF($I19=0,"",N19/$I19)</f>
        <v/>
      </c>
      <c r="P19" s="107">
        <f>L19+N19+K19</f>
        <v/>
      </c>
      <c r="Q19" s="109">
        <f>IF($I19=0,"",P19/$I19)</f>
        <v/>
      </c>
      <c r="R19" s="110">
        <f>IF($D19="","",IF($I19=0,"SIN ROTACIÓN",IF($E19="","",IF($E19="Numerada",IF($Q19&lt;8,"CRÍTICO",IF($Q19&lt;15,"ALERTA","OK")),IF($Q19&lt;=90,"CRÍTICO",IF($Q19&lt;=150,"ALERTA","OK"))))))</f>
        <v/>
      </c>
      <c r="S19" s="110">
        <f>IF(OR($C19="",$E19="",$I19=0),"",IF($E19="Numerada",IF(AND($O19&lt;8,$Q19&gt;=8),"PRODUCIR - "&amp;TEXT($O19,"0")&amp;" d terminado",""),IF(AND($O19&lt;=90,$Q19&gt;90),"PRODUCIR - "&amp;TEXT($O19,"0")&amp;" d terminado","")))</f>
        <v/>
      </c>
    </row>
    <row r="20">
      <c r="A20" s="106" t="inlineStr">
        <is>
          <t>KITE.DEVCTRL</t>
        </is>
      </c>
      <c r="B20" s="64" t="n">
        <v>7</v>
      </c>
      <c r="C20" s="63" t="inlineStr">
        <is>
          <t>162699</t>
        </is>
      </c>
      <c r="D20" s="63" t="inlineStr">
        <is>
          <t>HALFSIM KITE M2M 4FF DEVICE CONTROL TELEFONICA</t>
        </is>
      </c>
      <c r="E20" s="63" t="inlineStr">
        <is>
          <t>Blanca</t>
        </is>
      </c>
      <c r="F20" s="107">
        <f>SUMIFS('DESPACHOS 20 DIAS'!F:F,'DESPACHOS 20 DIAS'!D:D,$C20,'DESPACHOS 20 DIAS'!E:E,$D20,'DESPACHOS 20 DIAS'!N:N,"CANAL INDIRECTO")</f>
        <v/>
      </c>
      <c r="G20" s="107">
        <f>SUMIFS('DESPACHOS 20 DIAS'!F:F,'DESPACHOS 20 DIAS'!D:D,$C20,'DESPACHOS 20 DIAS'!E:E,$D20,'DESPACHOS 20 DIAS'!N:N,"CANAL DIRECTO")</f>
        <v/>
      </c>
      <c r="H20" s="107">
        <f>F20+G20</f>
        <v/>
      </c>
      <c r="I20" s="108">
        <f>IFERROR(H20/DIAS_PERIODO,0)</f>
        <v/>
      </c>
      <c r="J20" s="107" t="n">
        <v>0</v>
      </c>
      <c r="K20" s="107">
        <f>SUMIFS(INVENTARIO!E:E,INVENTARIO!D:D,$C20,INVENTARIO!B:B,$D20,INVENTARIO!A:A,"PRODUCCION")</f>
        <v/>
      </c>
      <c r="L20" s="107">
        <f>SUMIFS(INVENTARIO!E:E,INVENTARIO!D:D,$C20,INVENTARIO!B:B,$D20,INVENTARIO!A:A,"MATERIA PRIMA")</f>
        <v/>
      </c>
      <c r="M20" s="109">
        <f>IF($I20=0,"",L20/$I20)</f>
        <v/>
      </c>
      <c r="N20" s="107">
        <f>SUMIFS(INVENTARIO!E:E,INVENTARIO!D:D,$C20,INVENTARIO!B:B,$D20,INVENTARIO!A:A,"BODEGA CENTRAL")+SUMIFS(INVENTARIO!E:E,INVENTARIO!D:D,$C20,INVENTARIO!B:B,$D20,INVENTARIO!A:A,"DELIVERY")</f>
        <v/>
      </c>
      <c r="O20" s="109">
        <f>IF($I20=0,"",N20/$I20)</f>
        <v/>
      </c>
      <c r="P20" s="107">
        <f>L20+N20+K20</f>
        <v/>
      </c>
      <c r="Q20" s="109">
        <f>IF($I20=0,"",P20/$I20)</f>
        <v/>
      </c>
      <c r="R20" s="110">
        <f>IF($D20="","",IF($I20=0,"SIN ROTACIÓN",IF($E20="","",IF($E20="Numerada",IF($Q20&lt;8,"CRÍTICO",IF($Q20&lt;15,"ALERTA","OK")),IF($Q20&lt;=90,"CRÍTICO",IF($Q20&lt;=150,"ALERTA","OK"))))))</f>
        <v/>
      </c>
      <c r="S20" s="110">
        <f>IF(OR($C20="",$E20="",$I20=0),"",IF($E20="Numerada",IF(AND($O20&lt;8,$Q20&gt;=8),"PRODUCIR - "&amp;TEXT($O20,"0")&amp;" d terminado",""),IF(AND($O20&lt;=90,$Q20&gt;90),"PRODUCIR - "&amp;TEXT($O20,"0")&amp;" d terminado","")))</f>
        <v/>
      </c>
    </row>
    <row r="21" ht="14.4" customHeight="1">
      <c r="A21" s="106" t="inlineStr">
        <is>
          <t>KITE.DEVCTRL</t>
        </is>
      </c>
      <c r="B21" s="64" t="n">
        <v>8</v>
      </c>
      <c r="C21" s="63" t="inlineStr">
        <is>
          <t>162699</t>
        </is>
      </c>
      <c r="D21" s="63" t="inlineStr">
        <is>
          <t>HALFSIM KITE M2M 4FF DEVICE CONTROL BLANCA</t>
        </is>
      </c>
      <c r="E21" s="63" t="inlineStr">
        <is>
          <t>Blanca</t>
        </is>
      </c>
      <c r="F21" s="107">
        <f>SUMIFS('DESPACHOS 20 DIAS'!F:F,'DESPACHOS 20 DIAS'!D:D,$C21,'DESPACHOS 20 DIAS'!E:E,$D21,'DESPACHOS 20 DIAS'!N:N,"CANAL INDIRECTO")</f>
        <v/>
      </c>
      <c r="G21" s="107">
        <f>SUMIFS('DESPACHOS 20 DIAS'!F:F,'DESPACHOS 20 DIAS'!D:D,$C21,'DESPACHOS 20 DIAS'!E:E,$D21,'DESPACHOS 20 DIAS'!N:N,"CANAL DIRECTO")</f>
        <v/>
      </c>
      <c r="H21" s="107">
        <f>F21+G21</f>
        <v/>
      </c>
      <c r="I21" s="108">
        <f>IFERROR(H21/DIAS_PERIODO,0)</f>
        <v/>
      </c>
      <c r="J21" s="107" t="n">
        <v>0</v>
      </c>
      <c r="K21" s="107">
        <f>SUMIFS(INVENTARIO!E:E,INVENTARIO!D:D,$C21,INVENTARIO!B:B,$D21,INVENTARIO!A:A,"PRODUCCION")</f>
        <v/>
      </c>
      <c r="L21" s="107">
        <f>SUMIFS(INVENTARIO!E:E,INVENTARIO!D:D,$C21,INVENTARIO!B:B,$D21,INVENTARIO!A:A,"MATERIA PRIMA")</f>
        <v/>
      </c>
      <c r="M21" s="109">
        <f>IF($I21=0,"",L21/$I21)</f>
        <v/>
      </c>
      <c r="N21" s="107">
        <f>SUMIFS(INVENTARIO!E:E,INVENTARIO!D:D,$C21,INVENTARIO!B:B,$D21,INVENTARIO!A:A,"BODEGA CENTRAL")+SUMIFS(INVENTARIO!E:E,INVENTARIO!D:D,$C21,INVENTARIO!B:B,$D21,INVENTARIO!A:A,"DELIVERY")</f>
        <v/>
      </c>
      <c r="O21" s="109">
        <f>IF($I21=0,"",N21/$I21)</f>
        <v/>
      </c>
      <c r="P21" s="107">
        <f>L21+N21+K21</f>
        <v/>
      </c>
      <c r="Q21" s="109">
        <f>IF($I21=0,"",P21/$I21)</f>
        <v/>
      </c>
      <c r="R21" s="110">
        <f>IF($D21="","",IF($I21=0,"SIN ROTACIÓN",IF($E21="","",IF($E21="Numerada",IF($Q21&lt;8,"CRÍTICO",IF($Q21&lt;15,"ALERTA","OK")),IF($Q21&lt;=90,"CRÍTICO",IF($Q21&lt;=150,"ALERTA","OK"))))))</f>
        <v/>
      </c>
      <c r="S21" s="110">
        <f>IF(OR($C21="",$E21="",$I21=0),"",IF($E21="Numerada",IF(AND($O21&lt;8,$Q21&gt;=8),"PRODUCIR - "&amp;TEXT($O21,"0")&amp;" d terminado",""),IF(AND($O21&lt;=90,$Q21&gt;90),"PRODUCIR - "&amp;TEXT($O21,"0")&amp;" d terminado","")))</f>
        <v/>
      </c>
    </row>
    <row r="22">
      <c r="B22" s="111" t="n"/>
      <c r="C22" s="111" t="n"/>
      <c r="D22" s="112" t="inlineStr">
        <is>
          <t>Subtotal HALFSIM KITE M2M DEVICE CONTROL</t>
        </is>
      </c>
      <c r="E22" s="111" t="inlineStr">
        <is>
          <t>Blanca</t>
        </is>
      </c>
      <c r="F22" s="113">
        <f>SUMIFS(F$13:F$73,$A$13:$A$73,"KITE.DEVCTRL")</f>
        <v/>
      </c>
      <c r="G22" s="113">
        <f>SUMIFS(G$13:G$73,$A$13:$A$73,"KITE.DEVCTRL")</f>
        <v/>
      </c>
      <c r="H22" s="113">
        <f>SUMIFS(H$13:H$73,$A$13:$A$73,"KITE.DEVCTRL")</f>
        <v/>
      </c>
      <c r="I22" s="114">
        <f>IFERROR(H22/DIAS_PERIODO,0)</f>
        <v/>
      </c>
      <c r="J22" s="113">
        <f>SUMIFS(J$13:J$73,$A$13:$A$73,"KITE.DEVCTRL")</f>
        <v/>
      </c>
      <c r="K22" s="113">
        <f>SUMIFS(K$13:K$73,$A$13:$A$73,"KITE.DEVCTRL")</f>
        <v/>
      </c>
      <c r="L22" s="113">
        <f>SUMIFS(L$13:L$73,$A$13:$A$73,"KITE.DEVCTRL")</f>
        <v/>
      </c>
      <c r="M22" s="115">
        <f>IF($I22=0,"",L22/$I22)</f>
        <v/>
      </c>
      <c r="N22" s="113">
        <f>SUMIFS(N$13:N$73,$A$13:$A$73,"KITE.DEVCTRL")</f>
        <v/>
      </c>
      <c r="O22" s="116">
        <f>IF($I22=0,"",N22/$I22)</f>
        <v/>
      </c>
      <c r="P22" s="113">
        <f>SUMIFS(P$13:P$73,$A$13:$A$73,"KITE.DEVCTRL")</f>
        <v/>
      </c>
      <c r="Q22" s="116">
        <f>IF($I22=0,"",P22/$I22)</f>
        <v/>
      </c>
      <c r="R22" s="117">
        <f>IF($D22="","",IF($I22=0,"SIN ROTACIÓN",IF($E22="","",IF($E22="Numerada",IF($Q22&lt;8,"CRÍTICO",IF($Q22&lt;15,"ALERTA","OK")),IF($Q22&lt;=90,"CRÍTICO",IF($Q22&lt;=150,"ALERTA","OK"))))))</f>
        <v/>
      </c>
      <c r="S22" s="117">
        <f>IF(OR($C22="",$E22="",$I22=0),"",IF($E22="Numerada",IF(AND($O22&lt;8,$Q22&gt;=8),"PRODUCIR - "&amp;TEXT($O22,"0")&amp;" d terminado",""),IF(AND($O22&lt;=90,$Q22&gt;90),"PRODUCIR - "&amp;TEXT($O22,"0")&amp;" d terminado","")))</f>
        <v/>
      </c>
    </row>
    <row r="23">
      <c r="B23" s="118" t="n"/>
      <c r="C23" s="118" t="n"/>
      <c r="D23" s="119" t="inlineStr">
        <is>
          <t>TOTAL KITE M2M</t>
        </is>
      </c>
      <c r="E23" s="118" t="inlineStr">
        <is>
          <t>Blanca</t>
        </is>
      </c>
      <c r="F23" s="120">
        <f>SUMIFS(F$13:F$73,$A$13:$A$73,"KITE.*")</f>
        <v/>
      </c>
      <c r="G23" s="120">
        <f>SUMIFS(G$13:G$73,$A$13:$A$73,"KITE.*")</f>
        <v/>
      </c>
      <c r="H23" s="120">
        <f>SUMIFS(H$13:H$73,$A$13:$A$73,"KITE.*")</f>
        <v/>
      </c>
      <c r="I23" s="121">
        <f>IFERROR(H23/DIAS_PERIODO,0)</f>
        <v/>
      </c>
      <c r="J23" s="120">
        <f>SUMIFS(J$13:J$73,$A$13:$A$73,"KITE.*")</f>
        <v/>
      </c>
      <c r="K23" s="120">
        <f>SUMIFS(K$13:K$73,$A$13:$A$73,"KITE.*")</f>
        <v/>
      </c>
      <c r="L23" s="120">
        <f>SUMIFS(L$13:L$73,$A$13:$A$73,"KITE.*")</f>
        <v/>
      </c>
      <c r="M23" s="122">
        <f>IF($I23=0,"",L23/$I23)</f>
        <v/>
      </c>
      <c r="N23" s="120">
        <f>SUMIFS(N$13:N$73,$A$13:$A$73,"KITE.*")</f>
        <v/>
      </c>
      <c r="O23" s="123">
        <f>IF($I23=0,"",N23/$I23)</f>
        <v/>
      </c>
      <c r="P23" s="120">
        <f>SUMIFS(P$13:P$73,$A$13:$A$73,"KITE.*")</f>
        <v/>
      </c>
      <c r="Q23" s="123">
        <f>IF($I23=0,"",P23/$I23)</f>
        <v/>
      </c>
      <c r="R23" s="124">
        <f>IF($D23="","",IF($I23=0,"SIN ROTACIÓN",IF($E23="","",IF($E23="Numerada",IF($Q23&lt;8,"CRÍTICO",IF($Q23&lt;15,"ALERTA","OK")),IF($Q23&lt;=90,"CRÍTICO",IF($Q23&lt;=150,"ALERTA","OK"))))))</f>
        <v/>
      </c>
      <c r="S23" s="124">
        <f>IF(OR($C23="",$E23="",$I23=0),"",IF($E23="Numerada",IF(AND($O23&lt;8,$Q23&gt;=8),"PRODUCIR - "&amp;TEXT($O23,"0")&amp;" d terminado",""),IF(AND($O23&lt;=90,$Q23&gt;90),"PRODUCIR - "&amp;TEXT($O23,"0")&amp;" d terminado","")))</f>
        <v/>
      </c>
    </row>
    <row r="24">
      <c r="A24" s="106" t="inlineStr">
        <is>
          <t>M2MLTE.LTE</t>
        </is>
      </c>
      <c r="B24" s="64" t="n">
        <v>9</v>
      </c>
      <c r="C24" s="63" t="inlineStr">
        <is>
          <t>162115</t>
        </is>
      </c>
      <c r="D24" s="63" t="inlineStr">
        <is>
          <t>SIMCARD M2M 2FF LTE</t>
        </is>
      </c>
      <c r="E24" s="63" t="inlineStr">
        <is>
          <t>Blanca</t>
        </is>
      </c>
      <c r="F24" s="107">
        <f>SUMIFS('DESPACHOS 20 DIAS'!F:F,'DESPACHOS 20 DIAS'!D:D,$C24,'DESPACHOS 20 DIAS'!E:E,$D24,'DESPACHOS 20 DIAS'!N:N,"CANAL INDIRECTO")</f>
        <v/>
      </c>
      <c r="G24" s="107">
        <f>SUMIFS('DESPACHOS 20 DIAS'!F:F,'DESPACHOS 20 DIAS'!D:D,$C24,'DESPACHOS 20 DIAS'!E:E,$D24,'DESPACHOS 20 DIAS'!N:N,"CANAL DIRECTO")</f>
        <v/>
      </c>
      <c r="H24" s="107">
        <f>F24+G24</f>
        <v/>
      </c>
      <c r="I24" s="108">
        <f>IFERROR(H24/DIAS_PERIODO,0)</f>
        <v/>
      </c>
      <c r="J24" s="107" t="n">
        <v>0</v>
      </c>
      <c r="K24" s="107">
        <f>SUMIFS(INVENTARIO!E:E,INVENTARIO!D:D,$C24,INVENTARIO!B:B,$D24,INVENTARIO!A:A,"PRODUCCION")</f>
        <v/>
      </c>
      <c r="L24" s="107">
        <f>SUMIFS(INVENTARIO!E:E,INVENTARIO!D:D,$C24,INVENTARIO!B:B,$D24,INVENTARIO!A:A,"MATERIA PRIMA")</f>
        <v/>
      </c>
      <c r="M24" s="109">
        <f>IF($I24=0,"",L24/$I24)</f>
        <v/>
      </c>
      <c r="N24" s="107">
        <f>SUMIFS(INVENTARIO!E:E,INVENTARIO!D:D,$C24,INVENTARIO!B:B,$D24,INVENTARIO!A:A,"BODEGA CENTRAL")+SUMIFS(INVENTARIO!E:E,INVENTARIO!D:D,$C24,INVENTARIO!B:B,$D24,INVENTARIO!A:A,"DELIVERY")</f>
        <v/>
      </c>
      <c r="O24" s="109">
        <f>IF($I24=0,"",N24/$I24)</f>
        <v/>
      </c>
      <c r="P24" s="107">
        <f>L24+N24+K24</f>
        <v/>
      </c>
      <c r="Q24" s="109">
        <f>IF($I24=0,"",P24/$I24)</f>
        <v/>
      </c>
      <c r="R24" s="110">
        <f>IF($D24="","",IF($I24=0,"SIN ROTACIÓN",IF($E24="","",IF($E24="Numerada",IF($Q24&lt;8,"CRÍTICO",IF($Q24&lt;15,"ALERTA","OK")),IF($Q24&lt;=90,"CRÍTICO",IF($Q24&lt;=150,"ALERTA","OK"))))))</f>
        <v/>
      </c>
      <c r="S24" s="110">
        <f>IF(OR($C24="",$E24="",$I24=0),"",IF($E24="Numerada",IF(AND($O24&lt;8,$Q24&gt;=8),"PRODUCIR - "&amp;TEXT($O24,"0")&amp;" d terminado",""),IF(AND($O24&lt;=90,$Q24&gt;90),"PRODUCIR - "&amp;TEXT($O24,"0")&amp;" d terminado","")))</f>
        <v/>
      </c>
    </row>
    <row r="25" ht="14.4" customHeight="1">
      <c r="A25" s="106" t="inlineStr">
        <is>
          <t>M2MLTE.LTE</t>
        </is>
      </c>
      <c r="B25" s="64" t="n">
        <v>10</v>
      </c>
      <c r="C25" s="63" t="inlineStr">
        <is>
          <t>162145</t>
        </is>
      </c>
      <c r="D25" s="63" t="inlineStr">
        <is>
          <t>HALFSIM M2M 4FF LTE</t>
        </is>
      </c>
      <c r="E25" s="63" t="inlineStr">
        <is>
          <t>Blanca</t>
        </is>
      </c>
      <c r="F25" s="107">
        <f>SUMIFS('DESPACHOS 20 DIAS'!F:F,'DESPACHOS 20 DIAS'!D:D,$C25,'DESPACHOS 20 DIAS'!E:E,$D25,'DESPACHOS 20 DIAS'!N:N,"CANAL INDIRECTO")</f>
        <v/>
      </c>
      <c r="G25" s="107">
        <f>SUMIFS('DESPACHOS 20 DIAS'!F:F,'DESPACHOS 20 DIAS'!D:D,$C25,'DESPACHOS 20 DIAS'!E:E,$D25,'DESPACHOS 20 DIAS'!N:N,"CANAL DIRECTO")</f>
        <v/>
      </c>
      <c r="H25" s="107">
        <f>F25+G25</f>
        <v/>
      </c>
      <c r="I25" s="108">
        <f>IFERROR(H25/DIAS_PERIODO,0)</f>
        <v/>
      </c>
      <c r="J25" s="107" t="n">
        <v>0</v>
      </c>
      <c r="K25" s="107">
        <f>SUMIFS(INVENTARIO!E:E,INVENTARIO!D:D,$C25,INVENTARIO!B:B,$D25,INVENTARIO!A:A,"PRODUCCION")</f>
        <v/>
      </c>
      <c r="L25" s="107">
        <f>SUMIFS(INVENTARIO!E:E,INVENTARIO!D:D,$C25,INVENTARIO!B:B,$D25,INVENTARIO!A:A,"MATERIA PRIMA")</f>
        <v/>
      </c>
      <c r="M25" s="109">
        <f>IF($I25=0,"",L25/$I25)</f>
        <v/>
      </c>
      <c r="N25" s="107">
        <f>SUMIFS(INVENTARIO!E:E,INVENTARIO!D:D,$C25,INVENTARIO!B:B,$D25,INVENTARIO!A:A,"BODEGA CENTRAL")+SUMIFS(INVENTARIO!E:E,INVENTARIO!D:D,$C25,INVENTARIO!B:B,$D25,INVENTARIO!A:A,"DELIVERY")</f>
        <v/>
      </c>
      <c r="O25" s="109">
        <f>IF($I25=0,"",N25/$I25)</f>
        <v/>
      </c>
      <c r="P25" s="107">
        <f>L25+N25+K25</f>
        <v/>
      </c>
      <c r="Q25" s="109">
        <f>IF($I25=0,"",P25/$I25)</f>
        <v/>
      </c>
      <c r="R25" s="110">
        <f>IF($D25="","",IF($I25=0,"SIN ROTACIÓN",IF($E25="","",IF($E25="Numerada",IF($Q25&lt;8,"CRÍTICO",IF($Q25&lt;15,"ALERTA","OK")),IF($Q25&lt;=90,"CRÍTICO",IF($Q25&lt;=150,"ALERTA","OK"))))))</f>
        <v/>
      </c>
      <c r="S25" s="110">
        <f>IF(OR($C25="",$E25="",$I25=0),"",IF($E25="Numerada",IF(AND($O25&lt;8,$Q25&gt;=8),"PRODUCIR - "&amp;TEXT($O25,"0")&amp;" d terminado",""),IF(AND($O25&lt;=90,$Q25&gt;90),"PRODUCIR - "&amp;TEXT($O25,"0")&amp;" d terminado","")))</f>
        <v/>
      </c>
    </row>
    <row r="26">
      <c r="A26" s="106" t="inlineStr">
        <is>
          <t>M2MLTE.LTE</t>
        </is>
      </c>
      <c r="B26" s="64" t="n">
        <v>11</v>
      </c>
      <c r="C26" s="63" t="inlineStr">
        <is>
          <t>162148</t>
        </is>
      </c>
      <c r="D26" s="63" t="inlineStr">
        <is>
          <t>SIMCARD M2M 3FF LTE</t>
        </is>
      </c>
      <c r="E26" s="63" t="inlineStr">
        <is>
          <t>Blanca</t>
        </is>
      </c>
      <c r="F26" s="107">
        <f>SUMIFS('DESPACHOS 20 DIAS'!F:F,'DESPACHOS 20 DIAS'!D:D,$C26,'DESPACHOS 20 DIAS'!E:E,$D26,'DESPACHOS 20 DIAS'!N:N,"CANAL INDIRECTO")</f>
        <v/>
      </c>
      <c r="G26" s="107">
        <f>SUMIFS('DESPACHOS 20 DIAS'!F:F,'DESPACHOS 20 DIAS'!D:D,$C26,'DESPACHOS 20 DIAS'!E:E,$D26,'DESPACHOS 20 DIAS'!N:N,"CANAL DIRECTO")</f>
        <v/>
      </c>
      <c r="H26" s="107">
        <f>F26+G26</f>
        <v/>
      </c>
      <c r="I26" s="108">
        <f>IFERROR(H26/DIAS_PERIODO,0)</f>
        <v/>
      </c>
      <c r="J26" s="107" t="n">
        <v>0</v>
      </c>
      <c r="K26" s="107">
        <f>SUMIFS(INVENTARIO!E:E,INVENTARIO!D:D,$C26,INVENTARIO!B:B,$D26,INVENTARIO!A:A,"PRODUCCION")</f>
        <v/>
      </c>
      <c r="L26" s="107">
        <f>SUMIFS(INVENTARIO!E:E,INVENTARIO!D:D,$C26,INVENTARIO!B:B,$D26,INVENTARIO!A:A,"MATERIA PRIMA")</f>
        <v/>
      </c>
      <c r="M26" s="109">
        <f>IF($I26=0,"",L26/$I26)</f>
        <v/>
      </c>
      <c r="N26" s="107">
        <f>SUMIFS(INVENTARIO!E:E,INVENTARIO!D:D,$C26,INVENTARIO!B:B,$D26,INVENTARIO!A:A,"BODEGA CENTRAL")+SUMIFS(INVENTARIO!E:E,INVENTARIO!D:D,$C26,INVENTARIO!B:B,$D26,INVENTARIO!A:A,"DELIVERY")</f>
        <v/>
      </c>
      <c r="O26" s="109">
        <f>IF($I26=0,"",N26/$I26)</f>
        <v/>
      </c>
      <c r="P26" s="107">
        <f>L26+N26+K26</f>
        <v/>
      </c>
      <c r="Q26" s="109">
        <f>IF($I26=0,"",P26/$I26)</f>
        <v/>
      </c>
      <c r="R26" s="110">
        <f>IF($D26="","",IF($I26=0,"SIN ROTACIÓN",IF($E26="","",IF($E26="Numerada",IF($Q26&lt;8,"CRÍTICO",IF($Q26&lt;15,"ALERTA","OK")),IF($Q26&lt;=90,"CRÍTICO",IF($Q26&lt;=150,"ALERTA","OK"))))))</f>
        <v/>
      </c>
      <c r="S26" s="110">
        <f>IF(OR($C26="",$E26="",$I26=0),"",IF($E26="Numerada",IF(AND($O26&lt;8,$Q26&gt;=8),"PRODUCIR - "&amp;TEXT($O26,"0")&amp;" d terminado",""),IF(AND($O26&lt;=90,$Q26&gt;90),"PRODUCIR - "&amp;TEXT($O26,"0")&amp;" d terminado","")))</f>
        <v/>
      </c>
    </row>
    <row r="27">
      <c r="B27" s="118" t="n"/>
      <c r="C27" s="118" t="n"/>
      <c r="D27" s="119" t="inlineStr">
        <is>
          <t>TOTAL M2M LTE</t>
        </is>
      </c>
      <c r="E27" s="118" t="inlineStr">
        <is>
          <t>Blanca</t>
        </is>
      </c>
      <c r="F27" s="120">
        <f>SUMIFS(F$13:F$73,$A$13:$A$73,"M2MLTE.*")</f>
        <v/>
      </c>
      <c r="G27" s="120">
        <f>SUMIFS(G$13:G$73,$A$13:$A$73,"M2MLTE.*")</f>
        <v/>
      </c>
      <c r="H27" s="120">
        <f>SUMIFS(H$13:H$73,$A$13:$A$73,"M2MLTE.*")</f>
        <v/>
      </c>
      <c r="I27" s="121">
        <f>IFERROR(H27/DIAS_PERIODO,0)</f>
        <v/>
      </c>
      <c r="J27" s="120">
        <f>SUMIFS(J$13:J$73,$A$13:$A$73,"M2MLTE.*")</f>
        <v/>
      </c>
      <c r="K27" s="120">
        <f>SUMIFS(K$13:K$73,$A$13:$A$73,"M2MLTE.*")</f>
        <v/>
      </c>
      <c r="L27" s="120">
        <f>SUMIFS(L$13:L$73,$A$13:$A$73,"M2MLTE.*")</f>
        <v/>
      </c>
      <c r="M27" s="122">
        <f>IF($I27=0,"",L27/$I27)</f>
        <v/>
      </c>
      <c r="N27" s="120">
        <f>SUMIFS(N$13:N$73,$A$13:$A$73,"M2MLTE.*")</f>
        <v/>
      </c>
      <c r="O27" s="123">
        <f>IF($I27=0,"",N27/$I27)</f>
        <v/>
      </c>
      <c r="P27" s="120">
        <f>SUMIFS(P$13:P$73,$A$13:$A$73,"M2MLTE.*")</f>
        <v/>
      </c>
      <c r="Q27" s="123">
        <f>IF($I27=0,"",P27/$I27)</f>
        <v/>
      </c>
      <c r="R27" s="124">
        <f>IF($D27="","",IF($I27=0,"SIN ROTACIÓN",IF($E27="","",IF($E27="Numerada",IF($Q27&lt;8,"CRÍTICO",IF($Q27&lt;15,"ALERTA","OK")),IF($Q27&lt;=90,"CRÍTICO",IF($Q27&lt;=150,"ALERTA","OK"))))))</f>
        <v/>
      </c>
      <c r="S27" s="124">
        <f>IF(OR($C27="",$E27="",$I27=0),"",IF($E27="Numerada",IF(AND($O27&lt;8,$Q27&gt;=8),"PRODUCIR - "&amp;TEXT($O27,"0")&amp;" d terminado",""),IF(AND($O27&lt;=90,$Q27&gt;90),"PRODUCIR - "&amp;TEXT($O27,"0")&amp;" d terminado","")))</f>
        <v/>
      </c>
    </row>
    <row r="28">
      <c r="A28" s="106" t="inlineStr">
        <is>
          <t>MOVISTAR.HALFSIM</t>
        </is>
      </c>
      <c r="B28" s="64" t="n">
        <v>12</v>
      </c>
      <c r="C28" s="63" t="inlineStr">
        <is>
          <t>162141</t>
        </is>
      </c>
      <c r="D28" s="63" t="inlineStr">
        <is>
          <t>HALFSIM MOVISTAR</t>
        </is>
      </c>
      <c r="E28" s="63" t="inlineStr">
        <is>
          <t>Blanca</t>
        </is>
      </c>
      <c r="F28" s="107">
        <f>SUMIFS('DESPACHOS 20 DIAS'!F:F,'DESPACHOS 20 DIAS'!D:D,$C28,'DESPACHOS 20 DIAS'!E:E,$D28,'DESPACHOS 20 DIAS'!N:N,"CANAL INDIRECTO")</f>
        <v/>
      </c>
      <c r="G28" s="107">
        <f>SUMIFS('DESPACHOS 20 DIAS'!F:F,'DESPACHOS 20 DIAS'!D:D,$C28,'DESPACHOS 20 DIAS'!E:E,$D28,'DESPACHOS 20 DIAS'!N:N,"CANAL DIRECTO")</f>
        <v/>
      </c>
      <c r="H28" s="107">
        <f>F28+G28</f>
        <v/>
      </c>
      <c r="I28" s="108">
        <f>IFERROR(H28/DIAS_PERIODO,0)</f>
        <v/>
      </c>
      <c r="J28" s="107" t="n">
        <v>0</v>
      </c>
      <c r="K28" s="107">
        <f>SUMIFS(INVENTARIO!E:E,INVENTARIO!D:D,$C28,INVENTARIO!B:B,$D28,INVENTARIO!A:A,"PRODUCCION")</f>
        <v/>
      </c>
      <c r="L28" s="107">
        <f>SUMIFS(INVENTARIO!E:E,INVENTARIO!D:D,$C28,INVENTARIO!B:B,$D28,INVENTARIO!A:A,"MATERIA PRIMA")</f>
        <v/>
      </c>
      <c r="M28" s="109">
        <f>IF($I28=0,"",L28/$I28)</f>
        <v/>
      </c>
      <c r="N28" s="107">
        <f>SUMIFS(INVENTARIO!E:E,INVENTARIO!D:D,$C28,INVENTARIO!B:B,$D28,INVENTARIO!A:A,"BODEGA CENTRAL")+SUMIFS(INVENTARIO!E:E,INVENTARIO!D:D,$C28,INVENTARIO!B:B,$D28,INVENTARIO!A:A,"DELIVERY")</f>
        <v/>
      </c>
      <c r="O28" s="109">
        <f>IF($I28=0,"",N28/$I28)</f>
        <v/>
      </c>
      <c r="P28" s="107">
        <f>L28+N28+K28</f>
        <v/>
      </c>
      <c r="Q28" s="109">
        <f>IF($I28=0,"",P28/$I28)</f>
        <v/>
      </c>
      <c r="R28" s="110">
        <f>IF($D28="","",IF($I28=0,"SIN ROTACIÓN",IF($E28="","",IF($E28="Numerada",IF($Q28&lt;8,"CRÍTICO",IF($Q28&lt;15,"ALERTA","OK")),IF($Q28&lt;=90,"CRÍTICO",IF($Q28&lt;=150,"ALERTA","OK"))))))</f>
        <v/>
      </c>
      <c r="S28" s="110">
        <f>IF(OR($C28="",$E28="",$I28=0),"",IF($E28="Numerada",IF(AND($O28&lt;8,$Q28&gt;=8),"PRODUCIR - "&amp;TEXT($O28,"0")&amp;" d terminado",""),IF(AND($O28&lt;=90,$Q28&gt;90),"PRODUCIR - "&amp;TEXT($O28,"0")&amp;" d terminado","")))</f>
        <v/>
      </c>
    </row>
    <row r="29">
      <c r="A29" s="106" t="inlineStr">
        <is>
          <t>MOVISTAR.HALFSIM</t>
        </is>
      </c>
      <c r="B29" s="64" t="n">
        <v>13</v>
      </c>
      <c r="C29" s="63" t="inlineStr">
        <is>
          <t>1621411</t>
        </is>
      </c>
      <c r="D29" s="63" t="inlineStr">
        <is>
          <t>HALFSIM MOVISTAR PORTABILIDAD</t>
        </is>
      </c>
      <c r="E29" s="63" t="inlineStr">
        <is>
          <t>Blanca</t>
        </is>
      </c>
      <c r="F29" s="107">
        <f>SUMIFS('DESPACHOS 20 DIAS'!F:F,'DESPACHOS 20 DIAS'!D:D,$C29,'DESPACHOS 20 DIAS'!E:E,$D29,'DESPACHOS 20 DIAS'!N:N,"CANAL INDIRECTO")</f>
        <v/>
      </c>
      <c r="G29" s="107">
        <f>SUMIFS('DESPACHOS 20 DIAS'!F:F,'DESPACHOS 20 DIAS'!D:D,$C29,'DESPACHOS 20 DIAS'!E:E,$D29,'DESPACHOS 20 DIAS'!N:N,"CANAL DIRECTO")</f>
        <v/>
      </c>
      <c r="H29" s="107">
        <f>F29+G29</f>
        <v/>
      </c>
      <c r="I29" s="108">
        <f>IFERROR(H29/DIAS_PERIODO,0)</f>
        <v/>
      </c>
      <c r="J29" s="107" t="n">
        <v>0</v>
      </c>
      <c r="K29" s="107">
        <f>SUMIFS(INVENTARIO!E:E,INVENTARIO!D:D,$C29,INVENTARIO!B:B,$D29,INVENTARIO!A:A,"PRODUCCION")</f>
        <v/>
      </c>
      <c r="L29" s="107">
        <f>SUMIFS(INVENTARIO!E:E,INVENTARIO!D:D,$C29,INVENTARIO!B:B,$D29,INVENTARIO!A:A,"MATERIA PRIMA")</f>
        <v/>
      </c>
      <c r="M29" s="109">
        <f>IF($I29=0,"",L29/$I29)</f>
        <v/>
      </c>
      <c r="N29" s="107">
        <f>SUMIFS(INVENTARIO!E:E,INVENTARIO!D:D,$C29,INVENTARIO!B:B,$D29,INVENTARIO!A:A,"BODEGA CENTRAL")+SUMIFS(INVENTARIO!E:E,INVENTARIO!D:D,$C29,INVENTARIO!B:B,$D29,INVENTARIO!A:A,"DELIVERY")</f>
        <v/>
      </c>
      <c r="O29" s="109">
        <f>IF($I29=0,"",N29/$I29)</f>
        <v/>
      </c>
      <c r="P29" s="107">
        <f>L29+N29+K29</f>
        <v/>
      </c>
      <c r="Q29" s="109">
        <f>IF($I29=0,"",P29/$I29)</f>
        <v/>
      </c>
      <c r="R29" s="110">
        <f>IF($D29="","",IF($I29=0,"SIN ROTACIÓN",IF($E29="","",IF($E29="Numerada",IF($Q29&lt;8,"CRÍTICO",IF($Q29&lt;15,"ALERTA","OK")),IF($Q29&lt;=90,"CRÍTICO",IF($Q29&lt;=150,"ALERTA","OK"))))))</f>
        <v/>
      </c>
      <c r="S29" s="110">
        <f>IF(OR($C29="",$E29="",$I29=0),"",IF($E29="Numerada",IF(AND($O29&lt;8,$Q29&gt;=8),"PRODUCIR - "&amp;TEXT($O29,"0")&amp;" d terminado",""),IF(AND($O29&lt;=90,$Q29&gt;90),"PRODUCIR - "&amp;TEXT($O29,"0")&amp;" d terminado","")))</f>
        <v/>
      </c>
    </row>
    <row r="30">
      <c r="A30" s="106" t="inlineStr">
        <is>
          <t>MOVISTAR.HALFSIM</t>
        </is>
      </c>
      <c r="B30" s="64" t="n">
        <v>14</v>
      </c>
      <c r="C30" s="63" t="inlineStr">
        <is>
          <t>1621412</t>
        </is>
      </c>
      <c r="D30" s="63" t="inlineStr">
        <is>
          <t>HALFSIM MOVISTAR LINEA NUEVA</t>
        </is>
      </c>
      <c r="E30" s="63" t="inlineStr">
        <is>
          <t>Blanca</t>
        </is>
      </c>
      <c r="F30" s="107">
        <f>SUMIFS('DESPACHOS 20 DIAS'!F:F,'DESPACHOS 20 DIAS'!D:D,$C30,'DESPACHOS 20 DIAS'!E:E,$D30,'DESPACHOS 20 DIAS'!N:N,"CANAL INDIRECTO")</f>
        <v/>
      </c>
      <c r="G30" s="107">
        <f>SUMIFS('DESPACHOS 20 DIAS'!F:F,'DESPACHOS 20 DIAS'!D:D,$C30,'DESPACHOS 20 DIAS'!E:E,$D30,'DESPACHOS 20 DIAS'!N:N,"CANAL DIRECTO")</f>
        <v/>
      </c>
      <c r="H30" s="107">
        <f>F30+G30</f>
        <v/>
      </c>
      <c r="I30" s="108">
        <f>IFERROR(H30/DIAS_PERIODO,0)</f>
        <v/>
      </c>
      <c r="J30" s="107" t="n">
        <v>0</v>
      </c>
      <c r="K30" s="107">
        <f>SUMIFS(INVENTARIO!E:E,INVENTARIO!D:D,$C30,INVENTARIO!B:B,$D30,INVENTARIO!A:A,"PRODUCCION")</f>
        <v/>
      </c>
      <c r="L30" s="107">
        <f>SUMIFS(INVENTARIO!E:E,INVENTARIO!D:D,$C30,INVENTARIO!B:B,$D30,INVENTARIO!A:A,"MATERIA PRIMA")</f>
        <v/>
      </c>
      <c r="M30" s="109">
        <f>IF($I30=0,"",L30/$I30)</f>
        <v/>
      </c>
      <c r="N30" s="107">
        <f>SUMIFS(INVENTARIO!E:E,INVENTARIO!D:D,$C30,INVENTARIO!B:B,$D30,INVENTARIO!A:A,"BODEGA CENTRAL")+SUMIFS(INVENTARIO!E:E,INVENTARIO!D:D,$C30,INVENTARIO!B:B,$D30,INVENTARIO!A:A,"DELIVERY")</f>
        <v/>
      </c>
      <c r="O30" s="109">
        <f>IF($I30=0,"",N30/$I30)</f>
        <v/>
      </c>
      <c r="P30" s="107">
        <f>L30+N30+K30</f>
        <v/>
      </c>
      <c r="Q30" s="109">
        <f>IF($I30=0,"",P30/$I30)</f>
        <v/>
      </c>
      <c r="R30" s="110">
        <f>IF($D30="","",IF($I30=0,"SIN ROTACIÓN",IF($E30="","",IF($E30="Numerada",IF($Q30&lt;8,"CRÍTICO",IF($Q30&lt;15,"ALERTA","OK")),IF($Q30&lt;=90,"CRÍTICO",IF($Q30&lt;=150,"ALERTA","OK"))))))</f>
        <v/>
      </c>
      <c r="S30" s="110">
        <f>IF(OR($C30="",$E30="",$I30=0),"",IF($E30="Numerada",IF(AND($O30&lt;8,$Q30&gt;=8),"PRODUCIR - "&amp;TEXT($O30,"0")&amp;" d terminado",""),IF(AND($O30&lt;=90,$Q30&gt;90),"PRODUCIR - "&amp;TEXT($O30,"0")&amp;" d terminado","")))</f>
        <v/>
      </c>
    </row>
    <row r="31" ht="14.4" customHeight="1">
      <c r="B31" s="111" t="n"/>
      <c r="C31" s="111" t="n"/>
      <c r="D31" s="112" t="inlineStr">
        <is>
          <t>Subtotal HALFSIM MOVISTAR (FÍSICA)</t>
        </is>
      </c>
      <c r="E31" s="111" t="inlineStr">
        <is>
          <t>Blanca</t>
        </is>
      </c>
      <c r="F31" s="113">
        <f>SUMIFS(F$13:F$73,$A$13:$A$73,"MOVISTAR.HALFSIM")</f>
        <v/>
      </c>
      <c r="G31" s="113">
        <f>SUMIFS(G$13:G$73,$A$13:$A$73,"MOVISTAR.HALFSIM")</f>
        <v/>
      </c>
      <c r="H31" s="113">
        <f>SUMIFS(H$13:H$73,$A$13:$A$73,"MOVISTAR.HALFSIM")</f>
        <v/>
      </c>
      <c r="I31" s="114">
        <f>IFERROR(H31/DIAS_PERIODO,0)</f>
        <v/>
      </c>
      <c r="J31" s="113">
        <f>SUMIFS(J$13:J$73,$A$13:$A$73,"MOVISTAR.HALFSIM")</f>
        <v/>
      </c>
      <c r="K31" s="113">
        <f>SUMIFS(K$13:K$73,$A$13:$A$73,"MOVISTAR.HALFSIM")</f>
        <v/>
      </c>
      <c r="L31" s="113">
        <f>SUMIFS(L$13:L$73,$A$13:$A$73,"MOVISTAR.HALFSIM")</f>
        <v/>
      </c>
      <c r="M31" s="115">
        <f>IF($I31=0,"",L31/$I31)</f>
        <v/>
      </c>
      <c r="N31" s="113">
        <f>SUMIFS(N$13:N$73,$A$13:$A$73,"MOVISTAR.HALFSIM")</f>
        <v/>
      </c>
      <c r="O31" s="116">
        <f>IF($I31=0,"",N31/$I31)</f>
        <v/>
      </c>
      <c r="P31" s="113">
        <f>SUMIFS(P$13:P$73,$A$13:$A$73,"MOVISTAR.HALFSIM")</f>
        <v/>
      </c>
      <c r="Q31" s="116">
        <f>IF($I31=0,"",P31/$I31)</f>
        <v/>
      </c>
      <c r="R31" s="117">
        <f>IF($D31="","",IF($I31=0,"SIN ROTACIÓN",IF($E31="","",IF($E31="Numerada",IF($Q31&lt;8,"CRÍTICO",IF($Q31&lt;15,"ALERTA","OK")),IF($Q31&lt;=90,"CRÍTICO",IF($Q31&lt;=150,"ALERTA","OK"))))))</f>
        <v/>
      </c>
      <c r="S31" s="117">
        <f>IF(OR($C31="",$E31="",$I31=0),"",IF($E31="Numerada",IF(AND($O31&lt;8,$Q31&gt;=8),"PRODUCIR - "&amp;TEXT($O31,"0")&amp;" d terminado",""),IF(AND($O31&lt;=90,$Q31&gt;90),"PRODUCIR - "&amp;TEXT($O31,"0")&amp;" d terminado","")))</f>
        <v/>
      </c>
    </row>
    <row r="32">
      <c r="A32" s="106" t="inlineStr">
        <is>
          <t>MOVISTAR.ESIM</t>
        </is>
      </c>
      <c r="B32" s="64" t="n">
        <v>15</v>
      </c>
      <c r="C32" s="63" t="inlineStr">
        <is>
          <t>162119</t>
        </is>
      </c>
      <c r="D32" s="63" t="inlineStr">
        <is>
          <t>ESIM MOVISTAR</t>
        </is>
      </c>
      <c r="E32" s="63" t="inlineStr">
        <is>
          <t>Blanca</t>
        </is>
      </c>
      <c r="F32" s="107">
        <f>SUMIFS('DESPACHOS 20 DIAS'!F:F,'DESPACHOS 20 DIAS'!D:D,$C32,'DESPACHOS 20 DIAS'!E:E,$D32,'DESPACHOS 20 DIAS'!N:N,"CANAL INDIRECTO")</f>
        <v/>
      </c>
      <c r="G32" s="107">
        <f>SUMIFS('DESPACHOS 20 DIAS'!F:F,'DESPACHOS 20 DIAS'!D:D,$C32,'DESPACHOS 20 DIAS'!E:E,$D32,'DESPACHOS 20 DIAS'!N:N,"CANAL DIRECTO")</f>
        <v/>
      </c>
      <c r="H32" s="107">
        <f>F32+G32</f>
        <v/>
      </c>
      <c r="I32" s="108">
        <f>IFERROR(H32/DIAS_PERIODO,0)</f>
        <v/>
      </c>
      <c r="J32" s="107" t="n">
        <v>0</v>
      </c>
      <c r="K32" s="107">
        <f>SUMIFS(INVENTARIO!E:E,INVENTARIO!D:D,$C32,INVENTARIO!B:B,$D32,INVENTARIO!A:A,"PRODUCCION")</f>
        <v/>
      </c>
      <c r="L32" s="107">
        <f>SUMIFS(INVENTARIO!E:E,INVENTARIO!D:D,$C32,INVENTARIO!B:B,$D32,INVENTARIO!A:A,"MATERIA PRIMA")</f>
        <v/>
      </c>
      <c r="M32" s="109">
        <f>IF($I32=0,"",L32/$I32)</f>
        <v/>
      </c>
      <c r="N32" s="107">
        <f>SUMIFS(INVENTARIO!E:E,INVENTARIO!D:D,$C32,INVENTARIO!B:B,$D32,INVENTARIO!A:A,"BODEGA CENTRAL")+SUMIFS(INVENTARIO!E:E,INVENTARIO!D:D,$C32,INVENTARIO!B:B,$D32,INVENTARIO!A:A,"DELIVERY")</f>
        <v/>
      </c>
      <c r="O32" s="109">
        <f>IF($I32=0,"",N32/$I32)</f>
        <v/>
      </c>
      <c r="P32" s="107">
        <f>L32+N32+K32</f>
        <v/>
      </c>
      <c r="Q32" s="109">
        <f>IF($I32=0,"",P32/$I32)</f>
        <v/>
      </c>
      <c r="R32" s="110">
        <f>IF($D32="","",IF($I32=0,"SIN ROTACIÓN",IF($E32="","",IF($E32="Numerada",IF($Q32&lt;8,"CRÍTICO",IF($Q32&lt;15,"ALERTA","OK")),IF($Q32&lt;=90,"CRÍTICO",IF($Q32&lt;=150,"ALERTA","OK"))))))</f>
        <v/>
      </c>
      <c r="S32" s="110">
        <f>IF(OR($C32="",$E32="",$I32=0),"",IF($E32="Numerada",IF(AND($O32&lt;8,$Q32&gt;=8),"PRODUCIR - "&amp;TEXT($O32,"0")&amp;" d terminado",""),IF(AND($O32&lt;=90,$Q32&gt;90),"PRODUCIR - "&amp;TEXT($O32,"0")&amp;" d terminado","")))</f>
        <v/>
      </c>
    </row>
    <row r="33">
      <c r="A33" s="106" t="inlineStr">
        <is>
          <t>MOVISTAR.ESIM</t>
        </is>
      </c>
      <c r="B33" s="64" t="n">
        <v>16</v>
      </c>
      <c r="C33" s="63" t="inlineStr">
        <is>
          <t>162956</t>
        </is>
      </c>
      <c r="D33" s="63" t="inlineStr">
        <is>
          <t>ESIM MOVISTAR DIGITAL</t>
        </is>
      </c>
      <c r="E33" s="63" t="inlineStr">
        <is>
          <t>Blanca</t>
        </is>
      </c>
      <c r="F33" s="107">
        <f>SUMIFS('DESPACHOS 20 DIAS'!F:F,'DESPACHOS 20 DIAS'!D:D,$C33,'DESPACHOS 20 DIAS'!E:E,$D33,'DESPACHOS 20 DIAS'!N:N,"CANAL INDIRECTO")</f>
        <v/>
      </c>
      <c r="G33" s="107">
        <f>SUMIFS('DESPACHOS 20 DIAS'!F:F,'DESPACHOS 20 DIAS'!D:D,$C33,'DESPACHOS 20 DIAS'!E:E,$D33,'DESPACHOS 20 DIAS'!N:N,"CANAL DIRECTO")</f>
        <v/>
      </c>
      <c r="H33" s="107">
        <f>F33+G33</f>
        <v/>
      </c>
      <c r="I33" s="108">
        <f>IFERROR(H33/DIAS_PERIODO,0)</f>
        <v/>
      </c>
      <c r="J33" s="107" t="n">
        <v>0</v>
      </c>
      <c r="K33" s="107">
        <f>SUMIFS(INVENTARIO!E:E,INVENTARIO!D:D,$C33,INVENTARIO!B:B,$D33,INVENTARIO!A:A,"PRODUCCION")</f>
        <v/>
      </c>
      <c r="L33" s="107">
        <f>SUMIFS(INVENTARIO!E:E,INVENTARIO!D:D,$C33,INVENTARIO!B:B,$D33,INVENTARIO!A:A,"MATERIA PRIMA")</f>
        <v/>
      </c>
      <c r="M33" s="109">
        <f>IF($I33=0,"",L33/$I33)</f>
        <v/>
      </c>
      <c r="N33" s="107">
        <f>SUMIFS(INVENTARIO!E:E,INVENTARIO!D:D,$C33,INVENTARIO!B:B,$D33,INVENTARIO!A:A,"BODEGA CENTRAL")+SUMIFS(INVENTARIO!E:E,INVENTARIO!D:D,$C33,INVENTARIO!B:B,$D33,INVENTARIO!A:A,"DELIVERY")</f>
        <v/>
      </c>
      <c r="O33" s="109">
        <f>IF($I33=0,"",N33/$I33)</f>
        <v/>
      </c>
      <c r="P33" s="107">
        <f>L33+N33+K33</f>
        <v/>
      </c>
      <c r="Q33" s="109">
        <f>IF($I33=0,"",P33/$I33)</f>
        <v/>
      </c>
      <c r="R33" s="110">
        <f>IF($D33="","",IF($I33=0,"SIN ROTACIÓN",IF($E33="","",IF($E33="Numerada",IF($Q33&lt;8,"CRÍTICO",IF($Q33&lt;15,"ALERTA","OK")),IF($Q33&lt;=90,"CRÍTICO",IF($Q33&lt;=150,"ALERTA","OK"))))))</f>
        <v/>
      </c>
      <c r="S33" s="110">
        <f>IF(OR($C33="",$E33="",$I33=0),"",IF($E33="Numerada",IF(AND($O33&lt;8,$Q33&gt;=8),"PRODUCIR - "&amp;TEXT($O33,"0")&amp;" d terminado",""),IF(AND($O33&lt;=90,$Q33&gt;90),"PRODUCIR - "&amp;TEXT($O33,"0")&amp;" d terminado","")))</f>
        <v/>
      </c>
    </row>
    <row r="34">
      <c r="B34" s="111" t="n"/>
      <c r="C34" s="111" t="n"/>
      <c r="D34" s="112" t="inlineStr">
        <is>
          <t>Subtotal ESIM MOVISTAR (DIGITAL)</t>
        </is>
      </c>
      <c r="E34" s="111" t="inlineStr">
        <is>
          <t>Blanca</t>
        </is>
      </c>
      <c r="F34" s="113">
        <f>SUMIFS(F$13:F$73,$A$13:$A$73,"MOVISTAR.ESIM")</f>
        <v/>
      </c>
      <c r="G34" s="113">
        <f>SUMIFS(G$13:G$73,$A$13:$A$73,"MOVISTAR.ESIM")</f>
        <v/>
      </c>
      <c r="H34" s="113">
        <f>SUMIFS(H$13:H$73,$A$13:$A$73,"MOVISTAR.ESIM")</f>
        <v/>
      </c>
      <c r="I34" s="114">
        <f>IFERROR(H34/DIAS_PERIODO,0)</f>
        <v/>
      </c>
      <c r="J34" s="113">
        <f>SUMIFS(J$13:J$73,$A$13:$A$73,"MOVISTAR.ESIM")</f>
        <v/>
      </c>
      <c r="K34" s="113">
        <f>SUMIFS(K$13:K$73,$A$13:$A$73,"MOVISTAR.ESIM")</f>
        <v/>
      </c>
      <c r="L34" s="113">
        <f>SUMIFS(L$13:L$73,$A$13:$A$73,"MOVISTAR.ESIM")</f>
        <v/>
      </c>
      <c r="M34" s="115">
        <f>IF($I34=0,"",L34/$I34)</f>
        <v/>
      </c>
      <c r="N34" s="113">
        <f>SUMIFS(N$13:N$73,$A$13:$A$73,"MOVISTAR.ESIM")</f>
        <v/>
      </c>
      <c r="O34" s="116">
        <f>IF($I34=0,"",N34/$I34)</f>
        <v/>
      </c>
      <c r="P34" s="113">
        <f>SUMIFS(P$13:P$73,$A$13:$A$73,"MOVISTAR.ESIM")</f>
        <v/>
      </c>
      <c r="Q34" s="116">
        <f>IF($I34=0,"",P34/$I34)</f>
        <v/>
      </c>
      <c r="R34" s="117">
        <f>IF($D34="","",IF($I34=0,"SIN ROTACIÓN",IF($E34="","",IF($E34="Numerada",IF($Q34&lt;8,"CRÍTICO",IF($Q34&lt;15,"ALERTA","OK")),IF($Q34&lt;=90,"CRÍTICO",IF($Q34&lt;=150,"ALERTA","OK"))))))</f>
        <v/>
      </c>
      <c r="S34" s="117">
        <f>IF(OR($C34="",$E34="",$I34=0),"",IF($E34="Numerada",IF(AND($O34&lt;8,$Q34&gt;=8),"PRODUCIR - "&amp;TEXT($O34,"0")&amp;" d terminado",""),IF(AND($O34&lt;=90,$Q34&gt;90),"PRODUCIR - "&amp;TEXT($O34,"0")&amp;" d terminado","")))</f>
        <v/>
      </c>
    </row>
    <row r="35">
      <c r="B35" s="118" t="n"/>
      <c r="C35" s="118" t="n"/>
      <c r="D35" s="119" t="inlineStr">
        <is>
          <t>TOTAL MOVISTAR</t>
        </is>
      </c>
      <c r="E35" s="118" t="inlineStr">
        <is>
          <t>Blanca</t>
        </is>
      </c>
      <c r="F35" s="120">
        <f>SUMIFS(F$13:F$73,$A$13:$A$73,"MOVISTAR.*")</f>
        <v/>
      </c>
      <c r="G35" s="120">
        <f>SUMIFS(G$13:G$73,$A$13:$A$73,"MOVISTAR.*")</f>
        <v/>
      </c>
      <c r="H35" s="120">
        <f>SUMIFS(H$13:H$73,$A$13:$A$73,"MOVISTAR.*")</f>
        <v/>
      </c>
      <c r="I35" s="121">
        <f>IFERROR(H35/DIAS_PERIODO,0)</f>
        <v/>
      </c>
      <c r="J35" s="120">
        <f>SUMIFS(J$13:J$73,$A$13:$A$73,"MOVISTAR.*")</f>
        <v/>
      </c>
      <c r="K35" s="120">
        <f>SUMIFS(K$13:K$73,$A$13:$A$73,"MOVISTAR.*")</f>
        <v/>
      </c>
      <c r="L35" s="120">
        <f>SUMIFS(L$13:L$73,$A$13:$A$73,"MOVISTAR.*")</f>
        <v/>
      </c>
      <c r="M35" s="122">
        <f>IF($I35=0,"",L35/$I35)</f>
        <v/>
      </c>
      <c r="N35" s="120">
        <f>SUMIFS(N$13:N$73,$A$13:$A$73,"MOVISTAR.*")</f>
        <v/>
      </c>
      <c r="O35" s="123">
        <f>IF($I35=0,"",N35/$I35)</f>
        <v/>
      </c>
      <c r="P35" s="120">
        <f>SUMIFS(P$13:P$73,$A$13:$A$73,"MOVISTAR.*")</f>
        <v/>
      </c>
      <c r="Q35" s="123">
        <f>IF($I35=0,"",P35/$I35)</f>
        <v/>
      </c>
      <c r="R35" s="124">
        <f>IF($D35="","",IF($I35=0,"SIN ROTACIÓN",IF($E35="","",IF($E35="Numerada",IF($Q35&lt;8,"CRÍTICO",IF($Q35&lt;15,"ALERTA","OK")),IF($Q35&lt;=90,"CRÍTICO",IF($Q35&lt;=150,"ALERTA","OK"))))))</f>
        <v/>
      </c>
      <c r="S35" s="124">
        <f>IF(OR($C35="",$E35="",$I35=0),"",IF($E35="Numerada",IF(AND($O35&lt;8,$Q35&gt;=8),"PRODUCIR - "&amp;TEXT($O35,"0")&amp;" d terminado",""),IF(AND($O35&lt;=90,$Q35&gt;90),"PRODUCIR - "&amp;TEXT($O35,"0")&amp;" d terminado","")))</f>
        <v/>
      </c>
    </row>
    <row r="36">
      <c r="A36" s="106" t="inlineStr">
        <is>
          <t>TIGO.HALFSIM</t>
        </is>
      </c>
      <c r="B36" s="64" t="n">
        <v>17</v>
      </c>
      <c r="C36" s="63" t="inlineStr">
        <is>
          <t>163140</t>
        </is>
      </c>
      <c r="D36" s="63" t="inlineStr">
        <is>
          <t>HALFSIM TIGO</t>
        </is>
      </c>
      <c r="E36" s="63" t="inlineStr">
        <is>
          <t>Blanca</t>
        </is>
      </c>
      <c r="F36" s="107">
        <f>SUMIFS('DESPACHOS 20 DIAS'!F:F,'DESPACHOS 20 DIAS'!D:D,$C36,'DESPACHOS 20 DIAS'!E:E,$D36,'DESPACHOS 20 DIAS'!N:N,"CANAL INDIRECTO")</f>
        <v/>
      </c>
      <c r="G36" s="107">
        <f>SUMIFS('DESPACHOS 20 DIAS'!F:F,'DESPACHOS 20 DIAS'!D:D,$C36,'DESPACHOS 20 DIAS'!E:E,$D36,'DESPACHOS 20 DIAS'!N:N,"CANAL DIRECTO")</f>
        <v/>
      </c>
      <c r="H36" s="107">
        <f>F36+G36</f>
        <v/>
      </c>
      <c r="I36" s="108">
        <f>IFERROR(H36/DIAS_PERIODO,0)</f>
        <v/>
      </c>
      <c r="J36" s="107" t="n">
        <v>0</v>
      </c>
      <c r="K36" s="107">
        <f>SUMIFS(INVENTARIO!E:E,INVENTARIO!D:D,$C36,INVENTARIO!B:B,$D36,INVENTARIO!A:A,"PRODUCCION")</f>
        <v/>
      </c>
      <c r="L36" s="107">
        <f>SUMIFS(INVENTARIO!E:E,INVENTARIO!D:D,$C36,INVENTARIO!B:B,$D36,INVENTARIO!A:A,"MATERIA PRIMA")</f>
        <v/>
      </c>
      <c r="M36" s="109">
        <f>IF($I36=0,"",L36/$I36)</f>
        <v/>
      </c>
      <c r="N36" s="107">
        <f>SUMIFS(INVENTARIO!E:E,INVENTARIO!D:D,$C36,INVENTARIO!B:B,$D36,INVENTARIO!A:A,"BODEGA CENTRAL")+SUMIFS(INVENTARIO!E:E,INVENTARIO!D:D,$C36,INVENTARIO!B:B,$D36,INVENTARIO!A:A,"DELIVERY")</f>
        <v/>
      </c>
      <c r="O36" s="109">
        <f>IF($I36=0,"",N36/$I36)</f>
        <v/>
      </c>
      <c r="P36" s="107">
        <f>L36+N36+K36</f>
        <v/>
      </c>
      <c r="Q36" s="109">
        <f>IF($I36=0,"",P36/$I36)</f>
        <v/>
      </c>
      <c r="R36" s="110">
        <f>IF($D36="","",IF($I36=0,"SIN ROTACIÓN",IF($E36="","",IF($E36="Numerada",IF($Q36&lt;8,"CRÍTICO",IF($Q36&lt;15,"ALERTA","OK")),IF($Q36&lt;=90,"CRÍTICO",IF($Q36&lt;=150,"ALERTA","OK"))))))</f>
        <v/>
      </c>
      <c r="S36" s="110">
        <f>IF(OR($C36="",$E36="",$I36=0),"",IF($E36="Numerada",IF(AND($O36&lt;8,$Q36&gt;=8),"PRODUCIR - "&amp;TEXT($O36,"0")&amp;" d terminado",""),IF(AND($O36&lt;=90,$Q36&gt;90),"PRODUCIR - "&amp;TEXT($O36,"0")&amp;" d terminado","")))</f>
        <v/>
      </c>
    </row>
    <row r="37">
      <c r="A37" s="106" t="inlineStr">
        <is>
          <t>TIGO.HALFSIM</t>
        </is>
      </c>
      <c r="B37" s="64" t="n">
        <v>18</v>
      </c>
      <c r="C37" s="63" t="inlineStr">
        <is>
          <t>163140</t>
        </is>
      </c>
      <c r="D37" s="63" t="inlineStr">
        <is>
          <t>HALFSIM TIGO PORTABILIDAD</t>
        </is>
      </c>
      <c r="E37" s="63" t="inlineStr">
        <is>
          <t>Blanca</t>
        </is>
      </c>
      <c r="F37" s="107">
        <f>SUMIFS('DESPACHOS 20 DIAS'!F:F,'DESPACHOS 20 DIAS'!D:D,$C37,'DESPACHOS 20 DIAS'!E:E,$D37,'DESPACHOS 20 DIAS'!N:N,"CANAL INDIRECTO")</f>
        <v/>
      </c>
      <c r="G37" s="107">
        <f>SUMIFS('DESPACHOS 20 DIAS'!F:F,'DESPACHOS 20 DIAS'!D:D,$C37,'DESPACHOS 20 DIAS'!E:E,$D37,'DESPACHOS 20 DIAS'!N:N,"CANAL DIRECTO")</f>
        <v/>
      </c>
      <c r="H37" s="107">
        <f>F37+G37</f>
        <v/>
      </c>
      <c r="I37" s="108">
        <f>IFERROR(H37/DIAS_PERIODO,0)</f>
        <v/>
      </c>
      <c r="J37" s="107" t="n">
        <v>0</v>
      </c>
      <c r="K37" s="107">
        <f>SUMIFS(INVENTARIO!E:E,INVENTARIO!D:D,$C37,INVENTARIO!B:B,$D37,INVENTARIO!A:A,"PRODUCCION")</f>
        <v/>
      </c>
      <c r="L37" s="107">
        <f>SUMIFS(INVENTARIO!E:E,INVENTARIO!D:D,$C37,INVENTARIO!B:B,$D37,INVENTARIO!A:A,"MATERIA PRIMA")</f>
        <v/>
      </c>
      <c r="M37" s="109">
        <f>IF($I37=0,"",L37/$I37)</f>
        <v/>
      </c>
      <c r="N37" s="107">
        <f>SUMIFS(INVENTARIO!E:E,INVENTARIO!D:D,$C37,INVENTARIO!B:B,$D37,INVENTARIO!A:A,"BODEGA CENTRAL")+SUMIFS(INVENTARIO!E:E,INVENTARIO!D:D,$C37,INVENTARIO!B:B,$D37,INVENTARIO!A:A,"DELIVERY")</f>
        <v/>
      </c>
      <c r="O37" s="109">
        <f>IF($I37=0,"",N37/$I37)</f>
        <v/>
      </c>
      <c r="P37" s="107">
        <f>L37+N37+K37</f>
        <v/>
      </c>
      <c r="Q37" s="109">
        <f>IF($I37=0,"",P37/$I37)</f>
        <v/>
      </c>
      <c r="R37" s="110">
        <f>IF($D37="","",IF($I37=0,"SIN ROTACIÓN",IF($E37="","",IF($E37="Numerada",IF($Q37&lt;8,"CRÍTICO",IF($Q37&lt;15,"ALERTA","OK")),IF($Q37&lt;=90,"CRÍTICO",IF($Q37&lt;=150,"ALERTA","OK"))))))</f>
        <v/>
      </c>
      <c r="S37" s="110">
        <f>IF(OR($C37="",$E37="",$I37=0),"",IF($E37="Numerada",IF(AND($O37&lt;8,$Q37&gt;=8),"PRODUCIR - "&amp;TEXT($O37,"0")&amp;" d terminado",""),IF(AND($O37&lt;=90,$Q37&gt;90),"PRODUCIR - "&amp;TEXT($O37,"0")&amp;" d terminado","")))</f>
        <v/>
      </c>
    </row>
    <row r="38">
      <c r="A38" s="106" t="inlineStr">
        <is>
          <t>TIGO.HALFSIM</t>
        </is>
      </c>
      <c r="B38" s="64" t="n">
        <v>19</v>
      </c>
      <c r="C38" s="63" t="inlineStr">
        <is>
          <t>163140</t>
        </is>
      </c>
      <c r="D38" s="63" t="inlineStr">
        <is>
          <t>HALFSIM TIGO REPOSICIÓN</t>
        </is>
      </c>
      <c r="E38" s="63" t="inlineStr">
        <is>
          <t>Blanca</t>
        </is>
      </c>
      <c r="F38" s="107">
        <f>SUMIFS('DESPACHOS 20 DIAS'!F:F,'DESPACHOS 20 DIAS'!D:D,$C38,'DESPACHOS 20 DIAS'!E:E,$D38,'DESPACHOS 20 DIAS'!N:N,"CANAL INDIRECTO")</f>
        <v/>
      </c>
      <c r="G38" s="107">
        <f>SUMIFS('DESPACHOS 20 DIAS'!F:F,'DESPACHOS 20 DIAS'!D:D,$C38,'DESPACHOS 20 DIAS'!E:E,$D38,'DESPACHOS 20 DIAS'!N:N,"CANAL DIRECTO")</f>
        <v/>
      </c>
      <c r="H38" s="107">
        <f>F38+G38</f>
        <v/>
      </c>
      <c r="I38" s="108">
        <f>IFERROR(H38/DIAS_PERIODO,0)</f>
        <v/>
      </c>
      <c r="J38" s="107" t="n">
        <v>0</v>
      </c>
      <c r="K38" s="107">
        <f>SUMIFS(INVENTARIO!E:E,INVENTARIO!D:D,$C38,INVENTARIO!B:B,$D38,INVENTARIO!A:A,"PRODUCCION")</f>
        <v/>
      </c>
      <c r="L38" s="107">
        <f>SUMIFS(INVENTARIO!E:E,INVENTARIO!D:D,$C38,INVENTARIO!B:B,$D38,INVENTARIO!A:A,"MATERIA PRIMA")</f>
        <v/>
      </c>
      <c r="M38" s="109">
        <f>IF($I38=0,"",L38/$I38)</f>
        <v/>
      </c>
      <c r="N38" s="107">
        <f>SUMIFS(INVENTARIO!E:E,INVENTARIO!D:D,$C38,INVENTARIO!B:B,$D38,INVENTARIO!A:A,"BODEGA CENTRAL")+SUMIFS(INVENTARIO!E:E,INVENTARIO!D:D,$C38,INVENTARIO!B:B,$D38,INVENTARIO!A:A,"DELIVERY")</f>
        <v/>
      </c>
      <c r="O38" s="109">
        <f>IF($I38=0,"",N38/$I38)</f>
        <v/>
      </c>
      <c r="P38" s="107">
        <f>L38+N38+K38</f>
        <v/>
      </c>
      <c r="Q38" s="109">
        <f>IF($I38=0,"",P38/$I38)</f>
        <v/>
      </c>
      <c r="R38" s="110">
        <f>IF($D38="","",IF($I38=0,"SIN ROTACIÓN",IF($E38="","",IF($E38="Numerada",IF($Q38&lt;8,"CRÍTICO",IF($Q38&lt;15,"ALERTA","OK")),IF($Q38&lt;=90,"CRÍTICO",IF($Q38&lt;=150,"ALERTA","OK"))))))</f>
        <v/>
      </c>
      <c r="S38" s="110">
        <f>IF(OR($C38="",$E38="",$I38=0),"",IF($E38="Numerada",IF(AND($O38&lt;8,$Q38&gt;=8),"PRODUCIR - "&amp;TEXT($O38,"0")&amp;" d terminado",""),IF(AND($O38&lt;=90,$Q38&gt;90),"PRODUCIR - "&amp;TEXT($O38,"0")&amp;" d terminado","")))</f>
        <v/>
      </c>
    </row>
    <row r="39">
      <c r="B39" s="111" t="n"/>
      <c r="C39" s="111" t="n"/>
      <c r="D39" s="112" t="inlineStr">
        <is>
          <t>Subtotal HALFSIM TIGO (COMERCIAL)</t>
        </is>
      </c>
      <c r="E39" s="111" t="inlineStr">
        <is>
          <t>Blanca</t>
        </is>
      </c>
      <c r="F39" s="113">
        <f>SUMIFS(F$13:F$73,$A$13:$A$73,"TIGO.HALFSIM")</f>
        <v/>
      </c>
      <c r="G39" s="113">
        <f>SUMIFS(G$13:G$73,$A$13:$A$73,"TIGO.HALFSIM")</f>
        <v/>
      </c>
      <c r="H39" s="113">
        <f>SUMIFS(H$13:H$73,$A$13:$A$73,"TIGO.HALFSIM")</f>
        <v/>
      </c>
      <c r="I39" s="114">
        <f>IFERROR(H39/DIAS_PERIODO,0)</f>
        <v/>
      </c>
      <c r="J39" s="113">
        <f>SUMIFS(J$13:J$73,$A$13:$A$73,"TIGO.HALFSIM")</f>
        <v/>
      </c>
      <c r="K39" s="113">
        <f>SUMIFS(K$13:K$73,$A$13:$A$73,"TIGO.HALFSIM")</f>
        <v/>
      </c>
      <c r="L39" s="113">
        <f>SUMIFS(L$13:L$73,$A$13:$A$73,"TIGO.HALFSIM")</f>
        <v/>
      </c>
      <c r="M39" s="115">
        <f>IF($I39=0,"",L39/$I39)</f>
        <v/>
      </c>
      <c r="N39" s="113">
        <f>SUMIFS(N$13:N$73,$A$13:$A$73,"TIGO.HALFSIM")</f>
        <v/>
      </c>
      <c r="O39" s="116">
        <f>IF($I39=0,"",N39/$I39)</f>
        <v/>
      </c>
      <c r="P39" s="113">
        <f>SUMIFS(P$13:P$73,$A$13:$A$73,"TIGO.HALFSIM")</f>
        <v/>
      </c>
      <c r="Q39" s="116">
        <f>IF($I39=0,"",P39/$I39)</f>
        <v/>
      </c>
      <c r="R39" s="117">
        <f>IF($D39="","",IF($I39=0,"SIN ROTACIÓN",IF($E39="","",IF($E39="Numerada",IF($Q39&lt;8,"CRÍTICO",IF($Q39&lt;15,"ALERTA","OK")),IF($Q39&lt;=90,"CRÍTICO",IF($Q39&lt;=150,"ALERTA","OK"))))))</f>
        <v/>
      </c>
      <c r="S39" s="117">
        <f>IF(OR($C39="",$E39="",$I39=0),"",IF($E39="Numerada",IF(AND($O39&lt;8,$Q39&gt;=8),"PRODUCIR - "&amp;TEXT($O39,"0")&amp;" d terminado",""),IF(AND($O39&lt;=90,$Q39&gt;90),"PRODUCIR - "&amp;TEXT($O39,"0")&amp;" d terminado","")))</f>
        <v/>
      </c>
    </row>
    <row r="40">
      <c r="A40" s="106" t="inlineStr">
        <is>
          <t>TIGO.CHIP3</t>
        </is>
      </c>
      <c r="B40" s="64" t="n">
        <v>20</v>
      </c>
      <c r="C40" s="63" t="inlineStr">
        <is>
          <t>163140</t>
        </is>
      </c>
      <c r="D40" s="63" t="inlineStr">
        <is>
          <t>HALFSIM TIGO CHIP PREPAGO $3 WP AUTOSERVICIO NUMERADO</t>
        </is>
      </c>
      <c r="E40" s="63" t="inlineStr">
        <is>
          <t>Numerada</t>
        </is>
      </c>
      <c r="F40" s="107">
        <f>SUMIFS('DESPACHOS 20 DIAS'!F:F,'DESPACHOS 20 DIAS'!D:D,$C40,'DESPACHOS 20 DIAS'!E:E,$D40,'DESPACHOS 20 DIAS'!N:N,"CANAL INDIRECTO")</f>
        <v/>
      </c>
      <c r="G40" s="107">
        <f>SUMIFS('DESPACHOS 20 DIAS'!F:F,'DESPACHOS 20 DIAS'!D:D,$C40,'DESPACHOS 20 DIAS'!E:E,$D40,'DESPACHOS 20 DIAS'!N:N,"CANAL DIRECTO")</f>
        <v/>
      </c>
      <c r="H40" s="107">
        <f>F40+G40</f>
        <v/>
      </c>
      <c r="I40" s="108">
        <f>IFERROR(H40/DIAS_PERIODO,0)</f>
        <v/>
      </c>
      <c r="J40" s="107" t="n">
        <v>0</v>
      </c>
      <c r="K40" s="107">
        <f>SUMIFS(INVENTARIO!E:E,INVENTARIO!D:D,$C40,INVENTARIO!B:B,$D40,INVENTARIO!A:A,"PRODUCCION")</f>
        <v/>
      </c>
      <c r="L40" s="107">
        <f>SUMIFS(INVENTARIO!E:E,INVENTARIO!D:D,$C40,INVENTARIO!B:B,$D40,INVENTARIO!A:A,"MATERIA PRIMA")</f>
        <v/>
      </c>
      <c r="M40" s="125">
        <f>IF($I40=0,"",L40/$I40)</f>
        <v/>
      </c>
      <c r="N40" s="107">
        <f>SUMIFS(INVENTARIO!E:E,INVENTARIO!D:D,$C40,INVENTARIO!B:B,$D40,INVENTARIO!A:A,"BODEGA CENTRAL")+SUMIFS(INVENTARIO!E:E,INVENTARIO!D:D,$C40,INVENTARIO!B:B,$D40,INVENTARIO!A:A,"DELIVERY")</f>
        <v/>
      </c>
      <c r="O40" s="125">
        <f>IF($I40=0,"",N40/$I40)</f>
        <v/>
      </c>
      <c r="P40" s="107">
        <f>L40+N40+K40</f>
        <v/>
      </c>
      <c r="Q40" s="125">
        <f>IF($I40=0,"",P40/$I40)</f>
        <v/>
      </c>
      <c r="R40" s="110">
        <f>IF($D40="","",IF($I40=0,"SIN ROTACIÓN",IF($E40="","",IF($E40="Numerada",IF($Q40&lt;8,"CRÍTICO",IF($Q40&lt;15,"ALERTA","OK")),IF($Q40&lt;=90,"CRÍTICO",IF($Q40&lt;=150,"ALERTA","OK"))))))</f>
        <v/>
      </c>
      <c r="S40" s="110">
        <f>IF(OR($C40="",$E40="",$I40=0),"",IF($E40="Numerada",IF(AND($O40&lt;8,$Q40&gt;=8),"PRODUCIR - "&amp;TEXT($O40,"0")&amp;" d terminado",""),IF(AND($O40&lt;=90,$Q40&gt;90),"PRODUCIR - "&amp;TEXT($O40,"0")&amp;" d terminado","")))</f>
        <v/>
      </c>
    </row>
    <row r="41">
      <c r="A41" s="106" t="inlineStr">
        <is>
          <t>TIGO.CHIP3</t>
        </is>
      </c>
      <c r="B41" s="64" t="n">
        <v>21</v>
      </c>
      <c r="C41" s="63" t="inlineStr">
        <is>
          <t>163140</t>
        </is>
      </c>
      <c r="D41" s="63" t="inlineStr">
        <is>
          <t>HALFSIM TIGO CHIP PREPAGO $3 WP CANAL DIRECTO NUMERADO</t>
        </is>
      </c>
      <c r="E41" s="63" t="inlineStr">
        <is>
          <t>Numerada</t>
        </is>
      </c>
      <c r="F41" s="107">
        <f>SUMIFS('DESPACHOS 20 DIAS'!F:F,'DESPACHOS 20 DIAS'!D:D,$C41,'DESPACHOS 20 DIAS'!E:E,$D41,'DESPACHOS 20 DIAS'!N:N,"CANAL INDIRECTO")</f>
        <v/>
      </c>
      <c r="G41" s="107">
        <f>SUMIFS('DESPACHOS 20 DIAS'!F:F,'DESPACHOS 20 DIAS'!D:D,$C41,'DESPACHOS 20 DIAS'!E:E,$D41,'DESPACHOS 20 DIAS'!N:N,"CANAL DIRECTO")</f>
        <v/>
      </c>
      <c r="H41" s="107">
        <f>F41+G41</f>
        <v/>
      </c>
      <c r="I41" s="108">
        <f>IFERROR(H41/DIAS_PERIODO,0)</f>
        <v/>
      </c>
      <c r="J41" s="107" t="n">
        <v>0</v>
      </c>
      <c r="K41" s="107">
        <f>SUMIFS(INVENTARIO!E:E,INVENTARIO!D:D,$C41,INVENTARIO!B:B,$D41,INVENTARIO!A:A,"PRODUCCION")</f>
        <v/>
      </c>
      <c r="L41" s="107">
        <f>SUMIFS(INVENTARIO!E:E,INVENTARIO!D:D,$C41,INVENTARIO!B:B,$D41,INVENTARIO!A:A,"MATERIA PRIMA")</f>
        <v/>
      </c>
      <c r="M41" s="125">
        <f>IF($I41=0,"",L41/$I41)</f>
        <v/>
      </c>
      <c r="N41" s="107">
        <f>SUMIFS(INVENTARIO!E:E,INVENTARIO!D:D,$C41,INVENTARIO!B:B,$D41,INVENTARIO!A:A,"BODEGA CENTRAL")+SUMIFS(INVENTARIO!E:E,INVENTARIO!D:D,$C41,INVENTARIO!B:B,$D41,INVENTARIO!A:A,"DELIVERY")</f>
        <v/>
      </c>
      <c r="O41" s="125">
        <f>IF($I41=0,"",N41/$I41)</f>
        <v/>
      </c>
      <c r="P41" s="107">
        <f>L41+N41+K41</f>
        <v/>
      </c>
      <c r="Q41" s="125">
        <f>IF($I41=0,"",P41/$I41)</f>
        <v/>
      </c>
      <c r="R41" s="110">
        <f>IF($D41="","",IF($I41=0,"SIN ROTACIÓN",IF($E41="","",IF($E41="Numerada",IF($Q41&lt;8,"CRÍTICO",IF($Q41&lt;15,"ALERTA","OK")),IF($Q41&lt;=90,"CRÍTICO",IF($Q41&lt;=150,"ALERTA","OK"))))))</f>
        <v/>
      </c>
      <c r="S41" s="110">
        <f>IF(OR($C41="",$E41="",$I41=0),"",IF($E41="Numerada",IF(AND($O41&lt;8,$Q41&gt;=8),"PRODUCIR - "&amp;TEXT($O41,"0")&amp;" d terminado",""),IF(AND($O41&lt;=90,$Q41&gt;90),"PRODUCIR - "&amp;TEXT($O41,"0")&amp;" d terminado","")))</f>
        <v/>
      </c>
    </row>
    <row r="42">
      <c r="A42" s="106" t="inlineStr">
        <is>
          <t>TIGO.CHIP3</t>
        </is>
      </c>
      <c r="B42" s="64" t="n">
        <v>22</v>
      </c>
      <c r="C42" s="63" t="inlineStr">
        <is>
          <t>163140</t>
        </is>
      </c>
      <c r="D42" s="63" t="inlineStr">
        <is>
          <t>HALFSIM TIGO CHIP PREPAGO $3 WP DUOCELL NUMERADO</t>
        </is>
      </c>
      <c r="E42" s="63" t="inlineStr">
        <is>
          <t>Numerada</t>
        </is>
      </c>
      <c r="F42" s="107">
        <f>SUMIFS('DESPACHOS 20 DIAS'!F:F,'DESPACHOS 20 DIAS'!D:D,$C42,'DESPACHOS 20 DIAS'!E:E,$D42,'DESPACHOS 20 DIAS'!N:N,"CANAL INDIRECTO")</f>
        <v/>
      </c>
      <c r="G42" s="107">
        <f>SUMIFS('DESPACHOS 20 DIAS'!F:F,'DESPACHOS 20 DIAS'!D:D,$C42,'DESPACHOS 20 DIAS'!E:E,$D42,'DESPACHOS 20 DIAS'!N:N,"CANAL DIRECTO")</f>
        <v/>
      </c>
      <c r="H42" s="107">
        <f>F42+G42</f>
        <v/>
      </c>
      <c r="I42" s="108">
        <f>IFERROR(H42/DIAS_PERIODO,0)</f>
        <v/>
      </c>
      <c r="J42" s="107" t="n">
        <v>0</v>
      </c>
      <c r="K42" s="107">
        <f>SUMIFS(INVENTARIO!E:E,INVENTARIO!D:D,$C42,INVENTARIO!B:B,$D42,INVENTARIO!A:A,"PRODUCCION")</f>
        <v/>
      </c>
      <c r="L42" s="107">
        <f>SUMIFS(INVENTARIO!E:E,INVENTARIO!D:D,$C42,INVENTARIO!B:B,$D42,INVENTARIO!A:A,"MATERIA PRIMA")</f>
        <v/>
      </c>
      <c r="M42" s="125">
        <f>IF($I42=0,"",L42/$I42)</f>
        <v/>
      </c>
      <c r="N42" s="107">
        <f>SUMIFS(INVENTARIO!E:E,INVENTARIO!D:D,$C42,INVENTARIO!B:B,$D42,INVENTARIO!A:A,"BODEGA CENTRAL")+SUMIFS(INVENTARIO!E:E,INVENTARIO!D:D,$C42,INVENTARIO!B:B,$D42,INVENTARIO!A:A,"DELIVERY")</f>
        <v/>
      </c>
      <c r="O42" s="125">
        <f>IF($I42=0,"",N42/$I42)</f>
        <v/>
      </c>
      <c r="P42" s="107">
        <f>L42+N42+K42</f>
        <v/>
      </c>
      <c r="Q42" s="125">
        <f>IF($I42=0,"",P42/$I42)</f>
        <v/>
      </c>
      <c r="R42" s="110">
        <f>IF($D42="","",IF($I42=0,"SIN ROTACIÓN",IF($E42="","",IF($E42="Numerada",IF($Q42&lt;8,"CRÍTICO",IF($Q42&lt;15,"ALERTA","OK")),IF($Q42&lt;=90,"CRÍTICO",IF($Q42&lt;=150,"ALERTA","OK"))))))</f>
        <v/>
      </c>
      <c r="S42" s="110">
        <f>IF(OR($C42="",$E42="",$I42=0),"",IF($E42="Numerada",IF(AND($O42&lt;8,$Q42&gt;=8),"PRODUCIR - "&amp;TEXT($O42,"0")&amp;" d terminado",""),IF(AND($O42&lt;=90,$Q42&gt;90),"PRODUCIR - "&amp;TEXT($O42,"0")&amp;" d terminado","")))</f>
        <v/>
      </c>
    </row>
    <row r="43">
      <c r="A43" s="106" t="inlineStr">
        <is>
          <t>TIGO.CHIP3</t>
        </is>
      </c>
      <c r="B43" s="64" t="n">
        <v>23</v>
      </c>
      <c r="C43" s="63" t="inlineStr">
        <is>
          <t>163140</t>
        </is>
      </c>
      <c r="D43" s="63" t="inlineStr">
        <is>
          <t>HALFSIM TIGO CHIP PREPAGO $3 WP NUMERADO</t>
        </is>
      </c>
      <c r="E43" s="63" t="inlineStr">
        <is>
          <t>Numerada</t>
        </is>
      </c>
      <c r="F43" s="107">
        <f>SUMIFS('DESPACHOS 20 DIAS'!F:F,'DESPACHOS 20 DIAS'!D:D,$C43,'DESPACHOS 20 DIAS'!E:E,$D43,'DESPACHOS 20 DIAS'!N:N,"CANAL INDIRECTO")</f>
        <v/>
      </c>
      <c r="G43" s="107">
        <f>SUMIFS('DESPACHOS 20 DIAS'!F:F,'DESPACHOS 20 DIAS'!D:D,$C43,'DESPACHOS 20 DIAS'!E:E,$D43,'DESPACHOS 20 DIAS'!N:N,"CANAL DIRECTO")</f>
        <v/>
      </c>
      <c r="H43" s="107">
        <f>F43+G43</f>
        <v/>
      </c>
      <c r="I43" s="108">
        <f>IFERROR(H43/DIAS_PERIODO,0)</f>
        <v/>
      </c>
      <c r="J43" s="107" t="n">
        <v>0</v>
      </c>
      <c r="K43" s="107">
        <f>SUMIFS(INVENTARIO!E:E,INVENTARIO!D:D,$C43,INVENTARIO!B:B,$D43,INVENTARIO!A:A,"PRODUCCION")</f>
        <v/>
      </c>
      <c r="L43" s="107">
        <f>SUMIFS(INVENTARIO!E:E,INVENTARIO!D:D,$C43,INVENTARIO!B:B,$D43,INVENTARIO!A:A,"MATERIA PRIMA")</f>
        <v/>
      </c>
      <c r="M43" s="125">
        <f>IF($I43=0,"",L43/$I43)</f>
        <v/>
      </c>
      <c r="N43" s="107">
        <f>SUMIFS(INVENTARIO!E:E,INVENTARIO!D:D,$C43,INVENTARIO!B:B,$D43,INVENTARIO!A:A,"BODEGA CENTRAL")+SUMIFS(INVENTARIO!E:E,INVENTARIO!D:D,$C43,INVENTARIO!B:B,$D43,INVENTARIO!A:A,"DELIVERY")</f>
        <v/>
      </c>
      <c r="O43" s="125">
        <f>IF($I43=0,"",N43/$I43)</f>
        <v/>
      </c>
      <c r="P43" s="107">
        <f>L43+N43+K43</f>
        <v/>
      </c>
      <c r="Q43" s="125">
        <f>IF($I43=0,"",P43/$I43)</f>
        <v/>
      </c>
      <c r="R43" s="110">
        <f>IF($D43="","",IF($I43=0,"SIN ROTACIÓN",IF($E43="","",IF($E43="Numerada",IF($Q43&lt;8,"CRÍTICO",IF($Q43&lt;15,"ALERTA","OK")),IF($Q43&lt;=90,"CRÍTICO",IF($Q43&lt;=150,"ALERTA","OK"))))))</f>
        <v/>
      </c>
      <c r="S43" s="110">
        <f>IF(OR($C43="",$E43="",$I43=0),"",IF($E43="Numerada",IF(AND($O43&lt;8,$Q43&gt;=8),"PRODUCIR - "&amp;TEXT($O43,"0")&amp;" d terminado",""),IF(AND($O43&lt;=90,$Q43&gt;90),"PRODUCIR - "&amp;TEXT($O43,"0")&amp;" d terminado","")))</f>
        <v/>
      </c>
    </row>
    <row r="44" ht="14.4" customHeight="1">
      <c r="B44" s="111" t="n"/>
      <c r="C44" s="111" t="n"/>
      <c r="D44" s="112" t="inlineStr">
        <is>
          <t>Subtotal HALFSIM TIGO CHIP PREPAGO $3 (NUMERADA)</t>
        </is>
      </c>
      <c r="E44" s="111" t="inlineStr">
        <is>
          <t>Numerada</t>
        </is>
      </c>
      <c r="F44" s="113">
        <f>SUMIFS(F$13:F$73,$A$13:$A$73,"TIGO.CHIP3")</f>
        <v/>
      </c>
      <c r="G44" s="113">
        <f>SUMIFS(G$13:G$73,$A$13:$A$73,"TIGO.CHIP3")</f>
        <v/>
      </c>
      <c r="H44" s="113">
        <f>SUMIFS(H$13:H$73,$A$13:$A$73,"TIGO.CHIP3")</f>
        <v/>
      </c>
      <c r="I44" s="114">
        <f>IFERROR(H44/DIAS_PERIODO,0)</f>
        <v/>
      </c>
      <c r="J44" s="113">
        <f>SUMIFS(J$13:J$73,$A$13:$A$73,"TIGO.CHIP3")</f>
        <v/>
      </c>
      <c r="K44" s="113">
        <f>SUMIFS(K$13:K$73,$A$13:$A$73,"TIGO.CHIP3")</f>
        <v/>
      </c>
      <c r="L44" s="113">
        <f>SUMIFS(L$13:L$73,$A$13:$A$73,"TIGO.CHIP3")</f>
        <v/>
      </c>
      <c r="M44" s="126">
        <f>IF($I44=0,"",L44/$I44)</f>
        <v/>
      </c>
      <c r="N44" s="113">
        <f>SUMIFS(N$13:N$73,$A$13:$A$73,"TIGO.CHIP3")</f>
        <v/>
      </c>
      <c r="O44" s="127">
        <f>IF($I44=0,"",N44/$I44)</f>
        <v/>
      </c>
      <c r="P44" s="113">
        <f>SUMIFS(P$13:P$73,$A$13:$A$73,"TIGO.CHIP3")</f>
        <v/>
      </c>
      <c r="Q44" s="127">
        <f>IF($I44=0,"",P44/$I44)</f>
        <v/>
      </c>
      <c r="R44" s="117">
        <f>IF($D44="","",IF($I44=0,"SIN ROTACIÓN",IF($E44="","",IF($E44="Numerada",IF($Q44&lt;8,"CRÍTICO",IF($Q44&lt;15,"ALERTA","OK")),IF($Q44&lt;=90,"CRÍTICO",IF($Q44&lt;=150,"ALERTA","OK"))))))</f>
        <v/>
      </c>
      <c r="S44" s="117">
        <f>IF(OR($C44="",$E44="",$I44=0),"",IF($E44="Numerada",IF(AND($O44&lt;8,$Q44&gt;=8),"PRODUCIR - "&amp;TEXT($O44,"0")&amp;" d terminado",""),IF(AND($O44&lt;=90,$Q44&gt;90),"PRODUCIR - "&amp;TEXT($O44,"0")&amp;" d terminado","")))</f>
        <v/>
      </c>
    </row>
    <row r="45" ht="9.6" customHeight="1">
      <c r="A45" s="106" t="inlineStr">
        <is>
          <t>TIGO.ESIM</t>
        </is>
      </c>
      <c r="B45" s="64" t="n">
        <v>24</v>
      </c>
      <c r="C45" s="63" t="inlineStr">
        <is>
          <t>163141</t>
        </is>
      </c>
      <c r="D45" s="63" t="inlineStr">
        <is>
          <t>ESIM TIGO DIGITAL</t>
        </is>
      </c>
      <c r="E45" s="63" t="inlineStr">
        <is>
          <t>Blanca</t>
        </is>
      </c>
      <c r="F45" s="107">
        <f>SUMIFS('DESPACHOS 20 DIAS'!F:F,'DESPACHOS 20 DIAS'!D:D,$C45,'DESPACHOS 20 DIAS'!E:E,$D45,'DESPACHOS 20 DIAS'!N:N,"CANAL INDIRECTO")</f>
        <v/>
      </c>
      <c r="G45" s="107">
        <f>SUMIFS('DESPACHOS 20 DIAS'!F:F,'DESPACHOS 20 DIAS'!D:D,$C45,'DESPACHOS 20 DIAS'!E:E,$D45,'DESPACHOS 20 DIAS'!N:N,"CANAL DIRECTO")</f>
        <v/>
      </c>
      <c r="H45" s="107">
        <f>F45+G45</f>
        <v/>
      </c>
      <c r="I45" s="108">
        <f>IFERROR(H45/DIAS_PERIODO,0)</f>
        <v/>
      </c>
      <c r="J45" s="107" t="n">
        <v>0</v>
      </c>
      <c r="K45" s="107">
        <f>SUMIFS(INVENTARIO!E:E,INVENTARIO!D:D,$C45,INVENTARIO!B:B,$D45,INVENTARIO!A:A,"PRODUCCION")</f>
        <v/>
      </c>
      <c r="L45" s="107">
        <f>SUMIFS(INVENTARIO!E:E,INVENTARIO!D:D,$C45,INVENTARIO!B:B,$D45,INVENTARIO!A:A,"MATERIA PRIMA")</f>
        <v/>
      </c>
      <c r="M45" s="109">
        <f>IF($I45=0,"",L45/$I45)</f>
        <v/>
      </c>
      <c r="N45" s="107">
        <f>SUMIFS(INVENTARIO!E:E,INVENTARIO!D:D,$C45,INVENTARIO!B:B,$D45,INVENTARIO!A:A,"BODEGA CENTRAL")+SUMIFS(INVENTARIO!E:E,INVENTARIO!D:D,$C45,INVENTARIO!B:B,$D45,INVENTARIO!A:A,"DELIVERY")</f>
        <v/>
      </c>
      <c r="O45" s="109">
        <f>IF($I45=0,"",N45/$I45)</f>
        <v/>
      </c>
      <c r="P45" s="107">
        <f>L45+N45+K45</f>
        <v/>
      </c>
      <c r="Q45" s="109">
        <f>IF($I45=0,"",P45/$I45)</f>
        <v/>
      </c>
      <c r="R45" s="110">
        <f>IF($D45="","",IF($I45=0,"SIN ROTACIÓN",IF($E45="","",IF($E45="Numerada",IF($Q45&lt;8,"CRÍTICO",IF($Q45&lt;15,"ALERTA","OK")),IF($Q45&lt;=90,"CRÍTICO",IF($Q45&lt;=150,"ALERTA","OK"))))))</f>
        <v/>
      </c>
      <c r="S45" s="110">
        <f>IF(OR($C45="",$E45="",$I45=0),"",IF($E45="Numerada",IF(AND($O45&lt;8,$Q45&gt;=8),"PRODUCIR - "&amp;TEXT($O45,"0")&amp;" d terminado",""),IF(AND($O45&lt;=90,$Q45&gt;90),"PRODUCIR - "&amp;TEXT($O45,"0")&amp;" d terminado","")))</f>
        <v/>
      </c>
    </row>
    <row r="46">
      <c r="A46" s="106" t="inlineStr">
        <is>
          <t>TIGO.ESIM</t>
        </is>
      </c>
      <c r="B46" s="64" t="n">
        <v>25</v>
      </c>
      <c r="C46" s="63" t="inlineStr">
        <is>
          <t>163141</t>
        </is>
      </c>
      <c r="D46" s="63" t="inlineStr">
        <is>
          <t>ESIM TIGO DIGITAL PREPAGO $3 WP NUMERADA</t>
        </is>
      </c>
      <c r="E46" s="63" t="inlineStr">
        <is>
          <t>Numerada</t>
        </is>
      </c>
      <c r="F46" s="107">
        <f>SUMIFS('DESPACHOS 20 DIAS'!F:F,'DESPACHOS 20 DIAS'!D:D,$C46,'DESPACHOS 20 DIAS'!E:E,$D46,'DESPACHOS 20 DIAS'!N:N,"CANAL INDIRECTO")</f>
        <v/>
      </c>
      <c r="G46" s="107">
        <f>SUMIFS('DESPACHOS 20 DIAS'!F:F,'DESPACHOS 20 DIAS'!D:D,$C46,'DESPACHOS 20 DIAS'!E:E,$D46,'DESPACHOS 20 DIAS'!N:N,"CANAL DIRECTO")</f>
        <v/>
      </c>
      <c r="H46" s="107">
        <f>F46+G46</f>
        <v/>
      </c>
      <c r="I46" s="108">
        <f>IFERROR(H46/DIAS_PERIODO,0)</f>
        <v/>
      </c>
      <c r="J46" s="107" t="n">
        <v>0</v>
      </c>
      <c r="K46" s="107">
        <f>SUMIFS(INVENTARIO!E:E,INVENTARIO!D:D,$C46,INVENTARIO!B:B,$D46,INVENTARIO!A:A,"PRODUCCION")</f>
        <v/>
      </c>
      <c r="L46" s="107">
        <f>SUMIFS(INVENTARIO!E:E,INVENTARIO!D:D,$C46,INVENTARIO!B:B,$D46,INVENTARIO!A:A,"MATERIA PRIMA")</f>
        <v/>
      </c>
      <c r="M46" s="125">
        <f>IF($I46=0,"",L46/$I46)</f>
        <v/>
      </c>
      <c r="N46" s="107">
        <f>SUMIFS(INVENTARIO!E:E,INVENTARIO!D:D,$C46,INVENTARIO!B:B,$D46,INVENTARIO!A:A,"BODEGA CENTRAL")+SUMIFS(INVENTARIO!E:E,INVENTARIO!D:D,$C46,INVENTARIO!B:B,$D46,INVENTARIO!A:A,"DELIVERY")</f>
        <v/>
      </c>
      <c r="O46" s="125">
        <f>IF($I46=0,"",N46/$I46)</f>
        <v/>
      </c>
      <c r="P46" s="107">
        <f>L46+N46+K46</f>
        <v/>
      </c>
      <c r="Q46" s="125">
        <f>IF($I46=0,"",P46/$I46)</f>
        <v/>
      </c>
      <c r="R46" s="110">
        <f>IF($D46="","",IF($I46=0,"SIN ROTACIÓN",IF($E46="","",IF($E46="Numerada",IF($Q46&lt;8,"CRÍTICO",IF($Q46&lt;15,"ALERTA","OK")),IF($Q46&lt;=90,"CRÍTICO",IF($Q46&lt;=150,"ALERTA","OK"))))))</f>
        <v/>
      </c>
      <c r="S46" s="110">
        <f>IF(OR($C46="",$E46="",$I46=0),"",IF($E46="Numerada",IF(AND($O46&lt;8,$Q46&gt;=8),"PRODUCIR - "&amp;TEXT($O46,"0")&amp;" d terminado",""),IF(AND($O46&lt;=90,$Q46&gt;90),"PRODUCIR - "&amp;TEXT($O46,"0")&amp;" d terminado","")))</f>
        <v/>
      </c>
    </row>
    <row r="47">
      <c r="B47" s="111" t="n"/>
      <c r="C47" s="111" t="n"/>
      <c r="D47" s="112" t="inlineStr">
        <is>
          <t>Subtotal ESIM TIGO DIGITAL</t>
        </is>
      </c>
      <c r="E47" s="111" t="n"/>
      <c r="F47" s="113">
        <f>SUMIFS(F$13:F$73,$A$13:$A$73,"TIGO.ESIM")</f>
        <v/>
      </c>
      <c r="G47" s="113">
        <f>SUMIFS(G$13:G$73,$A$13:$A$73,"TIGO.ESIM")</f>
        <v/>
      </c>
      <c r="H47" s="113">
        <f>SUMIFS(H$13:H$73,$A$13:$A$73,"TIGO.ESIM")</f>
        <v/>
      </c>
      <c r="I47" s="114">
        <f>IFERROR(H47/DIAS_PERIODO,0)</f>
        <v/>
      </c>
      <c r="J47" s="113">
        <f>SUMIFS(J$13:J$73,$A$13:$A$73,"TIGO.ESIM")</f>
        <v/>
      </c>
      <c r="K47" s="113">
        <f>SUMIFS(K$13:K$73,$A$13:$A$73,"TIGO.ESIM")</f>
        <v/>
      </c>
      <c r="L47" s="113">
        <f>SUMIFS(L$13:L$73,$A$13:$A$73,"TIGO.ESIM")</f>
        <v/>
      </c>
      <c r="M47" s="115">
        <f>IF($I47=0,"",L47/$I47)</f>
        <v/>
      </c>
      <c r="N47" s="113">
        <f>SUMIFS(N$13:N$73,$A$13:$A$73,"TIGO.ESIM")</f>
        <v/>
      </c>
      <c r="O47" s="116">
        <f>IF($I47=0,"",N47/$I47)</f>
        <v/>
      </c>
      <c r="P47" s="113">
        <f>SUMIFS(P$13:P$73,$A$13:$A$73,"TIGO.ESIM")</f>
        <v/>
      </c>
      <c r="Q47" s="116">
        <f>IF($I47=0,"",P47/$I47)</f>
        <v/>
      </c>
      <c r="R47" s="117">
        <f>IF($D47="","",IF($I47=0,"SIN ROTACIÓN",IF($E47="","",IF($E47="Numerada",IF($Q47&lt;8,"CRÍTICO",IF($Q47&lt;15,"ALERTA","OK")),IF($Q47&lt;=90,"CRÍTICO",IF($Q47&lt;=150,"ALERTA","OK"))))))</f>
        <v/>
      </c>
      <c r="S47" s="117">
        <f>IF(OR($C47="",$E47="",$I47=0),"",IF($E47="Numerada",IF(AND($O47&lt;8,$Q47&gt;=8),"PRODUCIR - "&amp;TEXT($O47,"0")&amp;" d terminado",""),IF(AND($O47&lt;=90,$Q47&gt;90),"PRODUCIR - "&amp;TEXT($O47,"0")&amp;" d terminado","")))</f>
        <v/>
      </c>
    </row>
    <row r="48">
      <c r="A48" s="106" t="inlineStr">
        <is>
          <t>TIGO.M2M</t>
        </is>
      </c>
      <c r="B48" s="64" t="n">
        <v>26</v>
      </c>
      <c r="C48" s="63" t="inlineStr">
        <is>
          <t>163154</t>
        </is>
      </c>
      <c r="D48" s="63" t="inlineStr">
        <is>
          <t>HALFSIM TIGO M2M 2FF</t>
        </is>
      </c>
      <c r="E48" s="63" t="inlineStr">
        <is>
          <t>Blanca</t>
        </is>
      </c>
      <c r="F48" s="107">
        <f>SUMIFS('DESPACHOS 20 DIAS'!F:F,'DESPACHOS 20 DIAS'!D:D,$C48,'DESPACHOS 20 DIAS'!E:E,$D48,'DESPACHOS 20 DIAS'!N:N,"CANAL INDIRECTO")</f>
        <v/>
      </c>
      <c r="G48" s="107">
        <f>SUMIFS('DESPACHOS 20 DIAS'!F:F,'DESPACHOS 20 DIAS'!D:D,$C48,'DESPACHOS 20 DIAS'!E:E,$D48,'DESPACHOS 20 DIAS'!N:N,"CANAL DIRECTO")</f>
        <v/>
      </c>
      <c r="H48" s="107">
        <f>F48+G48</f>
        <v/>
      </c>
      <c r="I48" s="108">
        <f>IFERROR(H48/DIAS_PERIODO,0)</f>
        <v/>
      </c>
      <c r="J48" s="107" t="n">
        <v>0</v>
      </c>
      <c r="K48" s="107">
        <f>SUMIFS(INVENTARIO!E:E,INVENTARIO!D:D,$C48,INVENTARIO!B:B,$D48,INVENTARIO!A:A,"PRODUCCION")</f>
        <v/>
      </c>
      <c r="L48" s="107">
        <f>SUMIFS(INVENTARIO!E:E,INVENTARIO!D:D,$C48,INVENTARIO!B:B,$D48,INVENTARIO!A:A,"MATERIA PRIMA")</f>
        <v/>
      </c>
      <c r="M48" s="109">
        <f>IF($I48=0,"",L48/$I48)</f>
        <v/>
      </c>
      <c r="N48" s="107">
        <f>SUMIFS(INVENTARIO!E:E,INVENTARIO!D:D,$C48,INVENTARIO!B:B,$D48,INVENTARIO!A:A,"BODEGA CENTRAL")+SUMIFS(INVENTARIO!E:E,INVENTARIO!D:D,$C48,INVENTARIO!B:B,$D48,INVENTARIO!A:A,"DELIVERY")</f>
        <v/>
      </c>
      <c r="O48" s="109">
        <f>IF($I48=0,"",N48/$I48)</f>
        <v/>
      </c>
      <c r="P48" s="107">
        <f>L48+N48+K48</f>
        <v/>
      </c>
      <c r="Q48" s="109">
        <f>IF($I48=0,"",P48/$I48)</f>
        <v/>
      </c>
      <c r="R48" s="110">
        <f>IF($D48="","",IF($I48=0,"SIN ROTACIÓN",IF($E48="","",IF($E48="Numerada",IF($Q48&lt;8,"CRÍTICO",IF($Q48&lt;15,"ALERTA","OK")),IF($Q48&lt;=90,"CRÍTICO",IF($Q48&lt;=150,"ALERTA","OK"))))))</f>
        <v/>
      </c>
      <c r="S48" s="110">
        <f>IF(OR($C48="",$E48="",$I48=0),"",IF($E48="Numerada",IF(AND($O48&lt;8,$Q48&gt;=8),"PRODUCIR - "&amp;TEXT($O48,"0")&amp;" d terminado",""),IF(AND($O48&lt;=90,$Q48&gt;90),"PRODUCIR - "&amp;TEXT($O48,"0")&amp;" d terminado","")))</f>
        <v/>
      </c>
    </row>
    <row r="49">
      <c r="A49" s="106" t="inlineStr">
        <is>
          <t>TIGO.M2M</t>
        </is>
      </c>
      <c r="B49" s="64" t="n">
        <v>27</v>
      </c>
      <c r="C49" s="63" t="inlineStr">
        <is>
          <t>163155</t>
        </is>
      </c>
      <c r="D49" s="63" t="inlineStr">
        <is>
          <t>HALFSIM TIGO M2M 3FF</t>
        </is>
      </c>
      <c r="E49" s="63" t="inlineStr">
        <is>
          <t>Blanca</t>
        </is>
      </c>
      <c r="F49" s="107">
        <f>SUMIFS('DESPACHOS 20 DIAS'!F:F,'DESPACHOS 20 DIAS'!D:D,$C49,'DESPACHOS 20 DIAS'!E:E,$D49,'DESPACHOS 20 DIAS'!N:N,"CANAL INDIRECTO")</f>
        <v/>
      </c>
      <c r="G49" s="107">
        <f>SUMIFS('DESPACHOS 20 DIAS'!F:F,'DESPACHOS 20 DIAS'!D:D,$C49,'DESPACHOS 20 DIAS'!E:E,$D49,'DESPACHOS 20 DIAS'!N:N,"CANAL DIRECTO")</f>
        <v/>
      </c>
      <c r="H49" s="107">
        <f>F49+G49</f>
        <v/>
      </c>
      <c r="I49" s="108">
        <f>IFERROR(H49/DIAS_PERIODO,0)</f>
        <v/>
      </c>
      <c r="J49" s="107" t="n">
        <v>0</v>
      </c>
      <c r="K49" s="107">
        <f>SUMIFS(INVENTARIO!E:E,INVENTARIO!D:D,$C49,INVENTARIO!B:B,$D49,INVENTARIO!A:A,"PRODUCCION")</f>
        <v/>
      </c>
      <c r="L49" s="107">
        <f>SUMIFS(INVENTARIO!E:E,INVENTARIO!D:D,$C49,INVENTARIO!B:B,$D49,INVENTARIO!A:A,"MATERIA PRIMA")</f>
        <v/>
      </c>
      <c r="M49" s="109">
        <f>IF($I49=0,"",L49/$I49)</f>
        <v/>
      </c>
      <c r="N49" s="107">
        <f>SUMIFS(INVENTARIO!E:E,INVENTARIO!D:D,$C49,INVENTARIO!B:B,$D49,INVENTARIO!A:A,"BODEGA CENTRAL")+SUMIFS(INVENTARIO!E:E,INVENTARIO!D:D,$C49,INVENTARIO!B:B,$D49,INVENTARIO!A:A,"DELIVERY")</f>
        <v/>
      </c>
      <c r="O49" s="109">
        <f>IF($I49=0,"",N49/$I49)</f>
        <v/>
      </c>
      <c r="P49" s="107">
        <f>L49+N49+K49</f>
        <v/>
      </c>
      <c r="Q49" s="109">
        <f>IF($I49=0,"",P49/$I49)</f>
        <v/>
      </c>
      <c r="R49" s="110">
        <f>IF($D49="","",IF($I49=0,"SIN ROTACIÓN",IF($E49="","",IF($E49="Numerada",IF($Q49&lt;8,"CRÍTICO",IF($Q49&lt;15,"ALERTA","OK")),IF($Q49&lt;=90,"CRÍTICO",IF($Q49&lt;=150,"ALERTA","OK"))))))</f>
        <v/>
      </c>
      <c r="S49" s="110">
        <f>IF(OR($C49="",$E49="",$I49=0),"",IF($E49="Numerada",IF(AND($O49&lt;8,$Q49&gt;=8),"PRODUCIR - "&amp;TEXT($O49,"0")&amp;" d terminado",""),IF(AND($O49&lt;=90,$Q49&gt;90),"PRODUCIR - "&amp;TEXT($O49,"0")&amp;" d terminado","")))</f>
        <v/>
      </c>
    </row>
    <row r="50">
      <c r="A50" s="106" t="inlineStr">
        <is>
          <t>TIGO.M2M</t>
        </is>
      </c>
      <c r="B50" s="64" t="n">
        <v>28</v>
      </c>
      <c r="C50" s="63" t="inlineStr">
        <is>
          <t>163156</t>
        </is>
      </c>
      <c r="D50" s="63" t="inlineStr">
        <is>
          <t>HALFSIM TIGO M2M 4FF</t>
        </is>
      </c>
      <c r="E50" s="63" t="inlineStr">
        <is>
          <t>Blanca</t>
        </is>
      </c>
      <c r="F50" s="107">
        <f>SUMIFS('DESPACHOS 20 DIAS'!F:F,'DESPACHOS 20 DIAS'!D:D,$C50,'DESPACHOS 20 DIAS'!E:E,$D50,'DESPACHOS 20 DIAS'!N:N,"CANAL INDIRECTO")</f>
        <v/>
      </c>
      <c r="G50" s="107">
        <f>SUMIFS('DESPACHOS 20 DIAS'!F:F,'DESPACHOS 20 DIAS'!D:D,$C50,'DESPACHOS 20 DIAS'!E:E,$D50,'DESPACHOS 20 DIAS'!N:N,"CANAL DIRECTO")</f>
        <v/>
      </c>
      <c r="H50" s="107">
        <f>F50+G50</f>
        <v/>
      </c>
      <c r="I50" s="108">
        <f>IFERROR(H50/DIAS_PERIODO,0)</f>
        <v/>
      </c>
      <c r="J50" s="107" t="n">
        <v>0</v>
      </c>
      <c r="K50" s="107">
        <f>SUMIFS(INVENTARIO!E:E,INVENTARIO!D:D,$C50,INVENTARIO!B:B,$D50,INVENTARIO!A:A,"PRODUCCION")</f>
        <v/>
      </c>
      <c r="L50" s="107">
        <f>SUMIFS(INVENTARIO!E:E,INVENTARIO!D:D,$C50,INVENTARIO!B:B,$D50,INVENTARIO!A:A,"MATERIA PRIMA")</f>
        <v/>
      </c>
      <c r="M50" s="109">
        <f>IF($I50=0,"",L50/$I50)</f>
        <v/>
      </c>
      <c r="N50" s="107">
        <f>SUMIFS(INVENTARIO!E:E,INVENTARIO!D:D,$C50,INVENTARIO!B:B,$D50,INVENTARIO!A:A,"BODEGA CENTRAL")+SUMIFS(INVENTARIO!E:E,INVENTARIO!D:D,$C50,INVENTARIO!B:B,$D50,INVENTARIO!A:A,"DELIVERY")</f>
        <v/>
      </c>
      <c r="O50" s="109">
        <f>IF($I50=0,"",N50/$I50)</f>
        <v/>
      </c>
      <c r="P50" s="107">
        <f>L50+N50+K50</f>
        <v/>
      </c>
      <c r="Q50" s="109">
        <f>IF($I50=0,"",P50/$I50)</f>
        <v/>
      </c>
      <c r="R50" s="110">
        <f>IF($D50="","",IF($I50=0,"SIN ROTACIÓN",IF($E50="","",IF($E50="Numerada",IF($Q50&lt;8,"CRÍTICO",IF($Q50&lt;15,"ALERTA","OK")),IF($Q50&lt;=90,"CRÍTICO",IF($Q50&lt;=150,"ALERTA","OK"))))))</f>
        <v/>
      </c>
      <c r="S50" s="110">
        <f>IF(OR($C50="",$E50="",$I50=0),"",IF($E50="Numerada",IF(AND($O50&lt;8,$Q50&gt;=8),"PRODUCIR - "&amp;TEXT($O50,"0")&amp;" d terminado",""),IF(AND($O50&lt;=90,$Q50&gt;90),"PRODUCIR - "&amp;TEXT($O50,"0")&amp;" d terminado","")))</f>
        <v/>
      </c>
    </row>
    <row r="51">
      <c r="B51" s="111" t="n"/>
      <c r="C51" s="111" t="n"/>
      <c r="D51" s="112" t="inlineStr">
        <is>
          <t>Subtotal HALFSIM TIGO M2M</t>
        </is>
      </c>
      <c r="E51" s="111" t="inlineStr">
        <is>
          <t>Blanca</t>
        </is>
      </c>
      <c r="F51" s="113">
        <f>SUMIFS(F$13:F$73,$A$13:$A$73,"TIGO.M2M")</f>
        <v/>
      </c>
      <c r="G51" s="113">
        <f>SUMIFS(G$13:G$73,$A$13:$A$73,"TIGO.M2M")</f>
        <v/>
      </c>
      <c r="H51" s="113">
        <f>SUMIFS(H$13:H$73,$A$13:$A$73,"TIGO.M2M")</f>
        <v/>
      </c>
      <c r="I51" s="114">
        <f>IFERROR(H51/DIAS_PERIODO,0)</f>
        <v/>
      </c>
      <c r="J51" s="113">
        <f>SUMIFS(J$13:J$73,$A$13:$A$73,"TIGO.M2M")</f>
        <v/>
      </c>
      <c r="K51" s="113">
        <f>SUMIFS(K$13:K$73,$A$13:$A$73,"TIGO.M2M")</f>
        <v/>
      </c>
      <c r="L51" s="113">
        <f>SUMIFS(L$13:L$73,$A$13:$A$73,"TIGO.M2M")</f>
        <v/>
      </c>
      <c r="M51" s="115">
        <f>IF($I51=0,"",L51/$I51)</f>
        <v/>
      </c>
      <c r="N51" s="113">
        <f>SUMIFS(N$13:N$73,$A$13:$A$73,"TIGO.M2M")</f>
        <v/>
      </c>
      <c r="O51" s="116">
        <f>IF($I51=0,"",N51/$I51)</f>
        <v/>
      </c>
      <c r="P51" s="113">
        <f>SUMIFS(P$13:P$73,$A$13:$A$73,"TIGO.M2M")</f>
        <v/>
      </c>
      <c r="Q51" s="116">
        <f>IF($I51=0,"",P51/$I51)</f>
        <v/>
      </c>
      <c r="R51" s="117">
        <f>IF($D51="","",IF($I51=0,"SIN ROTACIÓN",IF($E51="","",IF($E51="Numerada",IF($Q51&lt;8,"CRÍTICO",IF($Q51&lt;15,"ALERTA","OK")),IF($Q51&lt;=90,"CRÍTICO",IF($Q51&lt;=150,"ALERTA","OK"))))))</f>
        <v/>
      </c>
      <c r="S51" s="117">
        <f>IF(OR($C51="",$E51="",$I51=0),"",IF($E51="Numerada",IF(AND($O51&lt;8,$Q51&gt;=8),"PRODUCIR - "&amp;TEXT($O51,"0")&amp;" d terminado",""),IF(AND($O51&lt;=90,$Q51&gt;90),"PRODUCIR - "&amp;TEXT($O51,"0")&amp;" d terminado","")))</f>
        <v/>
      </c>
    </row>
    <row r="52">
      <c r="B52" s="118" t="n"/>
      <c r="C52" s="118" t="n"/>
      <c r="D52" s="119" t="inlineStr">
        <is>
          <t>TOTAL TIGO</t>
        </is>
      </c>
      <c r="E52" s="118" t="n"/>
      <c r="F52" s="120">
        <f>SUMIFS(F$13:F$73,$A$13:$A$73,"TIGO.*")</f>
        <v/>
      </c>
      <c r="G52" s="120">
        <f>SUMIFS(G$13:G$73,$A$13:$A$73,"TIGO.*")</f>
        <v/>
      </c>
      <c r="H52" s="120">
        <f>SUMIFS(H$13:H$73,$A$13:$A$73,"TIGO.*")</f>
        <v/>
      </c>
      <c r="I52" s="121">
        <f>IFERROR(H52/DIAS_PERIODO,0)</f>
        <v/>
      </c>
      <c r="J52" s="120">
        <f>SUMIFS(J$13:J$73,$A$13:$A$73,"TIGO.*")</f>
        <v/>
      </c>
      <c r="K52" s="120">
        <f>SUMIFS(K$13:K$73,$A$13:$A$73,"TIGO.*")</f>
        <v/>
      </c>
      <c r="L52" s="120">
        <f>SUMIFS(L$13:L$73,$A$13:$A$73,"TIGO.*")</f>
        <v/>
      </c>
      <c r="M52" s="122">
        <f>IF($I52=0,"",L52/$I52)</f>
        <v/>
      </c>
      <c r="N52" s="120">
        <f>SUMIFS(N$13:N$73,$A$13:$A$73,"TIGO.*")</f>
        <v/>
      </c>
      <c r="O52" s="123">
        <f>IF($I52=0,"",N52/$I52)</f>
        <v/>
      </c>
      <c r="P52" s="120">
        <f>SUMIFS(P$13:P$73,$A$13:$A$73,"TIGO.*")</f>
        <v/>
      </c>
      <c r="Q52" s="123">
        <f>IF($I52=0,"",P52/$I52)</f>
        <v/>
      </c>
      <c r="R52" s="124">
        <f>IF($D52="","",IF($I52=0,"SIN ROTACIÓN",IF($E52="","",IF($E52="Numerada",IF($Q52&lt;8,"CRÍTICO",IF($Q52&lt;15,"ALERTA","OK")),IF($Q52&lt;=90,"CRÍTICO",IF($Q52&lt;=150,"ALERTA","OK"))))))</f>
        <v/>
      </c>
      <c r="S52" s="124">
        <f>IF(OR($C52="",$E52="",$I52=0),"",IF($E52="Numerada",IF(AND($O52&lt;8,$Q52&gt;=8),"PRODUCIR - "&amp;TEXT($O52,"0")&amp;" d terminado",""),IF(AND($O52&lt;=90,$Q52&gt;90),"PRODUCIR - "&amp;TEXT($O52,"0")&amp;" d terminado","")))</f>
        <v/>
      </c>
    </row>
    <row r="53" ht="14.4" customHeight="1">
      <c r="A53" s="106" t="inlineStr">
        <is>
          <t>AKI.HALFSIM</t>
        </is>
      </c>
      <c r="B53" s="64" t="n">
        <v>29</v>
      </c>
      <c r="C53" s="63" t="inlineStr">
        <is>
          <t>162524</t>
        </is>
      </c>
      <c r="D53" s="63" t="inlineStr">
        <is>
          <t>HALFSIM AKIMOVIL</t>
        </is>
      </c>
      <c r="E53" s="63" t="inlineStr">
        <is>
          <t>Blanca</t>
        </is>
      </c>
      <c r="F53" s="107">
        <f>SUMIFS('DESPACHOS 20 DIAS'!F:F,'DESPACHOS 20 DIAS'!D:D,$C53,'DESPACHOS 20 DIAS'!E:E,$D53,'DESPACHOS 20 DIAS'!N:N,"CANAL INDIRECTO")</f>
        <v/>
      </c>
      <c r="G53" s="107">
        <f>SUMIFS('DESPACHOS 20 DIAS'!F:F,'DESPACHOS 20 DIAS'!D:D,$C53,'DESPACHOS 20 DIAS'!E:E,$D53,'DESPACHOS 20 DIAS'!N:N,"CANAL DIRECTO")</f>
        <v/>
      </c>
      <c r="H53" s="107">
        <f>F53+G53</f>
        <v/>
      </c>
      <c r="I53" s="108">
        <f>IFERROR(H53/DIAS_PERIODO,0)</f>
        <v/>
      </c>
      <c r="J53" s="107" t="n">
        <v>0</v>
      </c>
      <c r="K53" s="107">
        <f>SUMIFS(INVENTARIO!E:E,INVENTARIO!D:D,$C53,INVENTARIO!B:B,$D53,INVENTARIO!A:A,"PRODUCCION")</f>
        <v/>
      </c>
      <c r="L53" s="107">
        <f>SUMIFS(INVENTARIO!E:E,INVENTARIO!D:D,$C53,INVENTARIO!B:B,$D53,INVENTARIO!A:A,"MATERIA PRIMA")</f>
        <v/>
      </c>
      <c r="M53" s="109">
        <f>IF($I53=0,"",L53/$I53)</f>
        <v/>
      </c>
      <c r="N53" s="107">
        <f>SUMIFS(INVENTARIO!E:E,INVENTARIO!D:D,$C53,INVENTARIO!B:B,$D53,INVENTARIO!A:A,"BODEGA CENTRAL")+SUMIFS(INVENTARIO!E:E,INVENTARIO!D:D,$C53,INVENTARIO!B:B,$D53,INVENTARIO!A:A,"DELIVERY")</f>
        <v/>
      </c>
      <c r="O53" s="109">
        <f>IF($I53=0,"",N53/$I53)</f>
        <v/>
      </c>
      <c r="P53" s="107">
        <f>L53+N53+K53</f>
        <v/>
      </c>
      <c r="Q53" s="109">
        <f>IF($I53=0,"",P53/$I53)</f>
        <v/>
      </c>
      <c r="R53" s="110">
        <f>IF($D53="","",IF($I53=0,"SIN ROTACIÓN",IF($E53="","",IF($E53="Numerada",IF($Q53&lt;8,"CRÍTICO",IF($Q53&lt;15,"ALERTA","OK")),IF($Q53&lt;=90,"CRÍTICO",IF($Q53&lt;=150,"ALERTA","OK"))))))</f>
        <v/>
      </c>
      <c r="S53" s="110">
        <f>IF(OR($C53="",$E53="",$I53=0),"",IF($E53="Numerada",IF(AND($O53&lt;8,$Q53&gt;=8),"PRODUCIR - "&amp;TEXT($O53,"0")&amp;" d terminado",""),IF(AND($O53&lt;=90,$Q53&gt;90),"PRODUCIR - "&amp;TEXT($O53,"0")&amp;" d terminado","")))</f>
        <v/>
      </c>
    </row>
    <row r="54">
      <c r="A54" s="106" t="inlineStr">
        <is>
          <t>AKI.HALFSIM</t>
        </is>
      </c>
      <c r="B54" s="64" t="n">
        <v>30</v>
      </c>
      <c r="C54" s="63" t="inlineStr">
        <is>
          <t>162524</t>
        </is>
      </c>
      <c r="D54" s="63" t="inlineStr">
        <is>
          <t>HALFSIM AKIMOVIL PORTABILIDAD</t>
        </is>
      </c>
      <c r="E54" s="63" t="inlineStr">
        <is>
          <t>Blanca</t>
        </is>
      </c>
      <c r="F54" s="107">
        <f>SUMIFS('DESPACHOS 20 DIAS'!F:F,'DESPACHOS 20 DIAS'!D:D,$C54,'DESPACHOS 20 DIAS'!E:E,$D54,'DESPACHOS 20 DIAS'!N:N,"CANAL INDIRECTO")</f>
        <v/>
      </c>
      <c r="G54" s="107">
        <f>SUMIFS('DESPACHOS 20 DIAS'!F:F,'DESPACHOS 20 DIAS'!D:D,$C54,'DESPACHOS 20 DIAS'!E:E,$D54,'DESPACHOS 20 DIAS'!N:N,"CANAL DIRECTO")</f>
        <v/>
      </c>
      <c r="H54" s="107">
        <f>F54+G54</f>
        <v/>
      </c>
      <c r="I54" s="108">
        <f>IFERROR(H54/DIAS_PERIODO,0)</f>
        <v/>
      </c>
      <c r="J54" s="107" t="n">
        <v>0</v>
      </c>
      <c r="K54" s="107">
        <f>SUMIFS(INVENTARIO!E:E,INVENTARIO!D:D,$C54,INVENTARIO!B:B,$D54,INVENTARIO!A:A,"PRODUCCION")</f>
        <v/>
      </c>
      <c r="L54" s="107">
        <f>SUMIFS(INVENTARIO!E:E,INVENTARIO!D:D,$C54,INVENTARIO!B:B,$D54,INVENTARIO!A:A,"MATERIA PRIMA")</f>
        <v/>
      </c>
      <c r="M54" s="109">
        <f>IF($I54=0,"",L54/$I54)</f>
        <v/>
      </c>
      <c r="N54" s="107">
        <f>SUMIFS(INVENTARIO!E:E,INVENTARIO!D:D,$C54,INVENTARIO!B:B,$D54,INVENTARIO!A:A,"BODEGA CENTRAL")+SUMIFS(INVENTARIO!E:E,INVENTARIO!D:D,$C54,INVENTARIO!B:B,$D54,INVENTARIO!A:A,"DELIVERY")</f>
        <v/>
      </c>
      <c r="O54" s="109">
        <f>IF($I54=0,"",N54/$I54)</f>
        <v/>
      </c>
      <c r="P54" s="107">
        <f>L54+N54+K54</f>
        <v/>
      </c>
      <c r="Q54" s="109">
        <f>IF($I54=0,"",P54/$I54)</f>
        <v/>
      </c>
      <c r="R54" s="110">
        <f>IF($D54="","",IF($I54=0,"SIN ROTACIÓN",IF($E54="","",IF($E54="Numerada",IF($Q54&lt;8,"CRÍTICO",IF($Q54&lt;15,"ALERTA","OK")),IF($Q54&lt;=90,"CRÍTICO",IF($Q54&lt;=150,"ALERTA","OK"))))))</f>
        <v/>
      </c>
      <c r="S54" s="110">
        <f>IF(OR($C54="",$E54="",$I54=0),"",IF($E54="Numerada",IF(AND($O54&lt;8,$Q54&gt;=8),"PRODUCIR - "&amp;TEXT($O54,"0")&amp;" d terminado",""),IF(AND($O54&lt;=90,$Q54&gt;90),"PRODUCIR - "&amp;TEXT($O54,"0")&amp;" d terminado","")))</f>
        <v/>
      </c>
    </row>
    <row r="55">
      <c r="A55" s="106" t="inlineStr">
        <is>
          <t>AKI.HALFSIM</t>
        </is>
      </c>
      <c r="B55" s="64" t="n">
        <v>31</v>
      </c>
      <c r="C55" s="63" t="inlineStr">
        <is>
          <t>162524</t>
        </is>
      </c>
      <c r="D55" s="63" t="inlineStr">
        <is>
          <t>HALFSIM AKIMOVIL REPOSICION</t>
        </is>
      </c>
      <c r="E55" s="63" t="inlineStr">
        <is>
          <t>Blanca</t>
        </is>
      </c>
      <c r="F55" s="107">
        <f>SUMIFS('DESPACHOS 20 DIAS'!F:F,'DESPACHOS 20 DIAS'!D:D,$C55,'DESPACHOS 20 DIAS'!E:E,$D55,'DESPACHOS 20 DIAS'!N:N,"CANAL INDIRECTO")</f>
        <v/>
      </c>
      <c r="G55" s="107">
        <f>SUMIFS('DESPACHOS 20 DIAS'!F:F,'DESPACHOS 20 DIAS'!D:D,$C55,'DESPACHOS 20 DIAS'!E:E,$D55,'DESPACHOS 20 DIAS'!N:N,"CANAL DIRECTO")</f>
        <v/>
      </c>
      <c r="H55" s="107">
        <f>F55+G55</f>
        <v/>
      </c>
      <c r="I55" s="108">
        <f>IFERROR(H55/DIAS_PERIODO,0)</f>
        <v/>
      </c>
      <c r="J55" s="107" t="n">
        <v>0</v>
      </c>
      <c r="K55" s="107">
        <f>SUMIFS(INVENTARIO!E:E,INVENTARIO!D:D,$C55,INVENTARIO!B:B,$D55,INVENTARIO!A:A,"PRODUCCION")</f>
        <v/>
      </c>
      <c r="L55" s="107">
        <f>SUMIFS(INVENTARIO!E:E,INVENTARIO!D:D,$C55,INVENTARIO!B:B,$D55,INVENTARIO!A:A,"MATERIA PRIMA")</f>
        <v/>
      </c>
      <c r="M55" s="109">
        <f>IF($I55=0,"",L55/$I55)</f>
        <v/>
      </c>
      <c r="N55" s="107">
        <f>SUMIFS(INVENTARIO!E:E,INVENTARIO!D:D,$C55,INVENTARIO!B:B,$D55,INVENTARIO!A:A,"BODEGA CENTRAL")+SUMIFS(INVENTARIO!E:E,INVENTARIO!D:D,$C55,INVENTARIO!B:B,$D55,INVENTARIO!A:A,"DELIVERY")</f>
        <v/>
      </c>
      <c r="O55" s="109">
        <f>IF($I55=0,"",N55/$I55)</f>
        <v/>
      </c>
      <c r="P55" s="107">
        <f>L55+N55+K55</f>
        <v/>
      </c>
      <c r="Q55" s="109">
        <f>IF($I55=0,"",P55/$I55)</f>
        <v/>
      </c>
      <c r="R55" s="110">
        <f>IF($D55="","",IF($I55=0,"SIN ROTACIÓN",IF($E55="","",IF($E55="Numerada",IF($Q55&lt;8,"CRÍTICO",IF($Q55&lt;15,"ALERTA","OK")),IF($Q55&lt;=90,"CRÍTICO",IF($Q55&lt;=150,"ALERTA","OK"))))))</f>
        <v/>
      </c>
      <c r="S55" s="110">
        <f>IF(OR($C55="",$E55="",$I55=0),"",IF($E55="Numerada",IF(AND($O55&lt;8,$Q55&gt;=8),"PRODUCIR - "&amp;TEXT($O55,"0")&amp;" d terminado",""),IF(AND($O55&lt;=90,$Q55&gt;90),"PRODUCIR - "&amp;TEXT($O55,"0")&amp;" d terminado","")))</f>
        <v/>
      </c>
    </row>
    <row r="56">
      <c r="B56" s="111" t="n"/>
      <c r="C56" s="111" t="n"/>
      <c r="D56" s="112" t="inlineStr">
        <is>
          <t>Subtotal HALFSIM AKIMOVIL (FÍSICA)</t>
        </is>
      </c>
      <c r="E56" s="111" t="inlineStr">
        <is>
          <t>Blanca</t>
        </is>
      </c>
      <c r="F56" s="113">
        <f>SUMIFS(F$13:F$73,$A$13:$A$73,"AKI.HALFSIM")</f>
        <v/>
      </c>
      <c r="G56" s="113">
        <f>SUMIFS(G$13:G$73,$A$13:$A$73,"AKI.HALFSIM")</f>
        <v/>
      </c>
      <c r="H56" s="113">
        <f>SUMIFS(H$13:H$73,$A$13:$A$73,"AKI.HALFSIM")</f>
        <v/>
      </c>
      <c r="I56" s="114">
        <f>IFERROR(H56/DIAS_PERIODO,0)</f>
        <v/>
      </c>
      <c r="J56" s="113">
        <f>SUMIFS(J$13:J$73,$A$13:$A$73,"AKI.HALFSIM")</f>
        <v/>
      </c>
      <c r="K56" s="113">
        <f>SUMIFS(K$13:K$73,$A$13:$A$73,"AKI.HALFSIM")</f>
        <v/>
      </c>
      <c r="L56" s="113">
        <f>SUMIFS(L$13:L$73,$A$13:$A$73,"AKI.HALFSIM")</f>
        <v/>
      </c>
      <c r="M56" s="115">
        <f>IF($I56=0,"",L56/$I56)</f>
        <v/>
      </c>
      <c r="N56" s="113">
        <f>SUMIFS(N$13:N$73,$A$13:$A$73,"AKI.HALFSIM")</f>
        <v/>
      </c>
      <c r="O56" s="116">
        <f>IF($I56=0,"",N56/$I56)</f>
        <v/>
      </c>
      <c r="P56" s="113">
        <f>SUMIFS(P$13:P$73,$A$13:$A$73,"AKI.HALFSIM")</f>
        <v/>
      </c>
      <c r="Q56" s="116">
        <f>IF($I56=0,"",P56/$I56)</f>
        <v/>
      </c>
      <c r="R56" s="117">
        <f>IF($D56="","",IF($I56=0,"SIN ROTACIÓN",IF($E56="","",IF($E56="Numerada",IF($Q56&lt;8,"CRÍTICO",IF($Q56&lt;15,"ALERTA","OK")),IF($Q56&lt;=90,"CRÍTICO",IF($Q56&lt;=150,"ALERTA","OK"))))))</f>
        <v/>
      </c>
      <c r="S56" s="117">
        <f>IF(OR($C56="",$E56="",$I56=0),"",IF($E56="Numerada",IF(AND($O56&lt;8,$Q56&gt;=8),"PRODUCIR - "&amp;TEXT($O56,"0")&amp;" d terminado",""),IF(AND($O56&lt;=90,$Q56&gt;90),"PRODUCIR - "&amp;TEXT($O56,"0")&amp;" d terminado","")))</f>
        <v/>
      </c>
    </row>
    <row r="57">
      <c r="A57" s="106" t="inlineStr">
        <is>
          <t>AKI.NUMERADA</t>
        </is>
      </c>
      <c r="B57" s="64" t="n">
        <v>32</v>
      </c>
      <c r="C57" s="63" t="inlineStr">
        <is>
          <t>162524</t>
        </is>
      </c>
      <c r="D57" s="63" t="inlineStr">
        <is>
          <t>HALFSIM AKIMOVIL SIM NUMERADA 7D</t>
        </is>
      </c>
      <c r="E57" s="63" t="inlineStr">
        <is>
          <t>Numerada</t>
        </is>
      </c>
      <c r="F57" s="107">
        <f>SUMIFS('DESPACHOS 20 DIAS'!F:F,'DESPACHOS 20 DIAS'!D:D,$C57,'DESPACHOS 20 DIAS'!E:E,$D57,'DESPACHOS 20 DIAS'!N:N,"CANAL INDIRECTO")</f>
        <v/>
      </c>
      <c r="G57" s="107">
        <f>SUMIFS('DESPACHOS 20 DIAS'!F:F,'DESPACHOS 20 DIAS'!D:D,$C57,'DESPACHOS 20 DIAS'!E:E,$D57,'DESPACHOS 20 DIAS'!N:N,"CANAL DIRECTO")</f>
        <v/>
      </c>
      <c r="H57" s="107">
        <f>F57+G57</f>
        <v/>
      </c>
      <c r="I57" s="108">
        <f>IFERROR(H57/DIAS_PERIODO,0)</f>
        <v/>
      </c>
      <c r="J57" s="107" t="n">
        <v>0</v>
      </c>
      <c r="K57" s="107">
        <f>SUMIFS(INVENTARIO!E:E,INVENTARIO!D:D,$C57,INVENTARIO!B:B,$D57,INVENTARIO!A:A,"PRODUCCION")</f>
        <v/>
      </c>
      <c r="L57" s="107">
        <f>SUMIFS(INVENTARIO!E:E,INVENTARIO!D:D,$C57,INVENTARIO!B:B,$D57,INVENTARIO!A:A,"MATERIA PRIMA")</f>
        <v/>
      </c>
      <c r="M57" s="125">
        <f>IF($I57=0,"",L57/$I57)</f>
        <v/>
      </c>
      <c r="N57" s="107">
        <f>SUMIFS(INVENTARIO!E:E,INVENTARIO!D:D,$C57,INVENTARIO!B:B,$D57,INVENTARIO!A:A,"BODEGA CENTRAL")+SUMIFS(INVENTARIO!E:E,INVENTARIO!D:D,$C57,INVENTARIO!B:B,$D57,INVENTARIO!A:A,"DELIVERY")</f>
        <v/>
      </c>
      <c r="O57" s="125">
        <f>IF($I57=0,"",N57/$I57)</f>
        <v/>
      </c>
      <c r="P57" s="107">
        <f>L57+N57+K57</f>
        <v/>
      </c>
      <c r="Q57" s="125">
        <f>IF($I57=0,"",P57/$I57)</f>
        <v/>
      </c>
      <c r="R57" s="110">
        <f>IF($D57="","",IF($I57=0,"SIN ROTACIÓN",IF($E57="","",IF($E57="Numerada",IF($Q57&lt;8,"CRÍTICO",IF($Q57&lt;15,"ALERTA","OK")),IF($Q57&lt;=90,"CRÍTICO",IF($Q57&lt;=150,"ALERTA","OK"))))))</f>
        <v/>
      </c>
      <c r="S57" s="110">
        <f>IF(OR($C57="",$E57="",$I57=0),"",IF($E57="Numerada",IF(AND($O57&lt;8,$Q57&gt;=8),"PRODUCIR - "&amp;TEXT($O57,"0")&amp;" d terminado",""),IF(AND($O57&lt;=90,$Q57&gt;90),"PRODUCIR - "&amp;TEXT($O57,"0")&amp;" d terminado","")))</f>
        <v/>
      </c>
    </row>
    <row r="58">
      <c r="A58" s="106" t="inlineStr">
        <is>
          <t>AKI.NUMERADA</t>
        </is>
      </c>
      <c r="B58" s="64" t="n">
        <v>33</v>
      </c>
      <c r="C58" s="63" t="inlineStr">
        <is>
          <t>162524</t>
        </is>
      </c>
      <c r="D58" s="63" t="inlineStr">
        <is>
          <t>HALFSIM AKIMOVIL SIM NUMERADA 15D</t>
        </is>
      </c>
      <c r="E58" s="63" t="inlineStr">
        <is>
          <t>Numerada</t>
        </is>
      </c>
      <c r="F58" s="107">
        <f>SUMIFS('DESPACHOS 20 DIAS'!F:F,'DESPACHOS 20 DIAS'!D:D,$C58,'DESPACHOS 20 DIAS'!E:E,$D58,'DESPACHOS 20 DIAS'!N:N,"CANAL INDIRECTO")</f>
        <v/>
      </c>
      <c r="G58" s="107">
        <f>SUMIFS('DESPACHOS 20 DIAS'!F:F,'DESPACHOS 20 DIAS'!D:D,$C58,'DESPACHOS 20 DIAS'!E:E,$D58,'DESPACHOS 20 DIAS'!N:N,"CANAL DIRECTO")</f>
        <v/>
      </c>
      <c r="H58" s="107">
        <f>F58+G58</f>
        <v/>
      </c>
      <c r="I58" s="108">
        <f>IFERROR(H58/DIAS_PERIODO,0)</f>
        <v/>
      </c>
      <c r="J58" s="107" t="n">
        <v>0</v>
      </c>
      <c r="K58" s="107">
        <f>SUMIFS(INVENTARIO!E:E,INVENTARIO!D:D,$C58,INVENTARIO!B:B,$D58,INVENTARIO!A:A,"PRODUCCION")</f>
        <v/>
      </c>
      <c r="L58" s="107">
        <f>SUMIFS(INVENTARIO!E:E,INVENTARIO!D:D,$C58,INVENTARIO!B:B,$D58,INVENTARIO!A:A,"MATERIA PRIMA")</f>
        <v/>
      </c>
      <c r="M58" s="125">
        <f>IF($I58=0,"",L58/$I58)</f>
        <v/>
      </c>
      <c r="N58" s="107">
        <f>SUMIFS(INVENTARIO!E:E,INVENTARIO!D:D,$C58,INVENTARIO!B:B,$D58,INVENTARIO!A:A,"BODEGA CENTRAL")+SUMIFS(INVENTARIO!E:E,INVENTARIO!D:D,$C58,INVENTARIO!B:B,$D58,INVENTARIO!A:A,"DELIVERY")</f>
        <v/>
      </c>
      <c r="O58" s="125">
        <f>IF($I58=0,"",N58/$I58)</f>
        <v/>
      </c>
      <c r="P58" s="107">
        <f>L58+N58+K58</f>
        <v/>
      </c>
      <c r="Q58" s="125">
        <f>IF($I58=0,"",P58/$I58)</f>
        <v/>
      </c>
      <c r="R58" s="110">
        <f>IF($D58="","",IF($I58=0,"SIN ROTACIÓN",IF($E58="","",IF($E58="Numerada",IF($Q58&lt;8,"CRÍTICO",IF($Q58&lt;15,"ALERTA","OK")),IF($Q58&lt;=90,"CRÍTICO",IF($Q58&lt;=150,"ALERTA","OK"))))))</f>
        <v/>
      </c>
      <c r="S58" s="110">
        <f>IF(OR($C58="",$E58="",$I58=0),"",IF($E58="Numerada",IF(AND($O58&lt;8,$Q58&gt;=8),"PRODUCIR - "&amp;TEXT($O58,"0")&amp;" d terminado",""),IF(AND($O58&lt;=90,$Q58&gt;90),"PRODUCIR - "&amp;TEXT($O58,"0")&amp;" d terminado","")))</f>
        <v/>
      </c>
    </row>
    <row r="59" ht="14.4" customHeight="1">
      <c r="A59" s="106" t="inlineStr">
        <is>
          <t>AKI.NUMERADA</t>
        </is>
      </c>
      <c r="B59" s="64" t="n">
        <v>34</v>
      </c>
      <c r="C59" s="63" t="inlineStr">
        <is>
          <t>162524</t>
        </is>
      </c>
      <c r="D59" s="63" t="inlineStr">
        <is>
          <t>HALFSIM AKIMOVIL SIM NUMERADA 30D</t>
        </is>
      </c>
      <c r="E59" s="63" t="inlineStr">
        <is>
          <t>Numerada</t>
        </is>
      </c>
      <c r="F59" s="107">
        <f>SUMIFS('DESPACHOS 20 DIAS'!F:F,'DESPACHOS 20 DIAS'!D:D,$C59,'DESPACHOS 20 DIAS'!E:E,$D59,'DESPACHOS 20 DIAS'!N:N,"CANAL INDIRECTO")</f>
        <v/>
      </c>
      <c r="G59" s="107">
        <f>SUMIFS('DESPACHOS 20 DIAS'!F:F,'DESPACHOS 20 DIAS'!D:D,$C59,'DESPACHOS 20 DIAS'!E:E,$D59,'DESPACHOS 20 DIAS'!N:N,"CANAL DIRECTO")</f>
        <v/>
      </c>
      <c r="H59" s="107">
        <f>F59+G59</f>
        <v/>
      </c>
      <c r="I59" s="108">
        <f>IFERROR(H59/DIAS_PERIODO,0)</f>
        <v/>
      </c>
      <c r="J59" s="107" t="n">
        <v>0</v>
      </c>
      <c r="K59" s="107">
        <f>SUMIFS(INVENTARIO!E:E,INVENTARIO!D:D,$C59,INVENTARIO!B:B,$D59,INVENTARIO!A:A,"PRODUCCION")</f>
        <v/>
      </c>
      <c r="L59" s="107">
        <f>SUMIFS(INVENTARIO!E:E,INVENTARIO!D:D,$C59,INVENTARIO!B:B,$D59,INVENTARIO!A:A,"MATERIA PRIMA")</f>
        <v/>
      </c>
      <c r="M59" s="125">
        <f>IF($I59=0,"",L59/$I59)</f>
        <v/>
      </c>
      <c r="N59" s="107">
        <f>SUMIFS(INVENTARIO!E:E,INVENTARIO!D:D,$C59,INVENTARIO!B:B,$D59,INVENTARIO!A:A,"BODEGA CENTRAL")+SUMIFS(INVENTARIO!E:E,INVENTARIO!D:D,$C59,INVENTARIO!B:B,$D59,INVENTARIO!A:A,"DELIVERY")</f>
        <v/>
      </c>
      <c r="O59" s="125">
        <f>IF($I59=0,"",N59/$I59)</f>
        <v/>
      </c>
      <c r="P59" s="107">
        <f>L59+N59+K59</f>
        <v/>
      </c>
      <c r="Q59" s="125">
        <f>IF($I59=0,"",P59/$I59)</f>
        <v/>
      </c>
      <c r="R59" s="110">
        <f>IF($D59="","",IF($I59=0,"SIN ROTACIÓN",IF($E59="","",IF($E59="Numerada",IF($Q59&lt;8,"CRÍTICO",IF($Q59&lt;15,"ALERTA","OK")),IF($Q59&lt;=90,"CRÍTICO",IF($Q59&lt;=150,"ALERTA","OK"))))))</f>
        <v/>
      </c>
      <c r="S59" s="110">
        <f>IF(OR($C59="",$E59="",$I59=0),"",IF($E59="Numerada",IF(AND($O59&lt;8,$Q59&gt;=8),"PRODUCIR - "&amp;TEXT($O59,"0")&amp;" d terminado",""),IF(AND($O59&lt;=90,$Q59&gt;90),"PRODUCIR - "&amp;TEXT($O59,"0")&amp;" d terminado","")))</f>
        <v/>
      </c>
    </row>
    <row r="60">
      <c r="B60" s="111" t="n"/>
      <c r="C60" s="111" t="n"/>
      <c r="D60" s="112" t="inlineStr">
        <is>
          <t>Subtotal HALFSIM AKIMOVIL NUMERADA</t>
        </is>
      </c>
      <c r="E60" s="111" t="inlineStr">
        <is>
          <t>Numerada</t>
        </is>
      </c>
      <c r="F60" s="113">
        <f>SUMIFS(F$13:F$73,$A$13:$A$73,"AKI.NUMERADA")</f>
        <v/>
      </c>
      <c r="G60" s="113">
        <f>SUMIFS(G$13:G$73,$A$13:$A$73,"AKI.NUMERADA")</f>
        <v/>
      </c>
      <c r="H60" s="113">
        <f>SUMIFS(H$13:H$73,$A$13:$A$73,"AKI.NUMERADA")</f>
        <v/>
      </c>
      <c r="I60" s="114">
        <f>IFERROR(H60/DIAS_PERIODO,0)</f>
        <v/>
      </c>
      <c r="J60" s="113">
        <f>SUMIFS(J$13:J$73,$A$13:$A$73,"AKI.NUMERADA")</f>
        <v/>
      </c>
      <c r="K60" s="113">
        <f>SUMIFS(K$13:K$73,$A$13:$A$73,"AKI.NUMERADA")</f>
        <v/>
      </c>
      <c r="L60" s="113">
        <f>SUMIFS(L$13:L$73,$A$13:$A$73,"AKI.NUMERADA")</f>
        <v/>
      </c>
      <c r="M60" s="126">
        <f>IF($I60=0,"",L60/$I60)</f>
        <v/>
      </c>
      <c r="N60" s="113">
        <f>SUMIFS(N$13:N$73,$A$13:$A$73,"AKI.NUMERADA")</f>
        <v/>
      </c>
      <c r="O60" s="127">
        <f>IF($I60=0,"",N60/$I60)</f>
        <v/>
      </c>
      <c r="P60" s="113">
        <f>SUMIFS(P$13:P$73,$A$13:$A$73,"AKI.NUMERADA")</f>
        <v/>
      </c>
      <c r="Q60" s="127">
        <f>IF($I60=0,"",P60/$I60)</f>
        <v/>
      </c>
      <c r="R60" s="117">
        <f>IF($D60="","",IF($I60=0,"SIN ROTACIÓN",IF($E60="","",IF($E60="Numerada",IF($Q60&lt;8,"CRÍTICO",IF($Q60&lt;15,"ALERTA","OK")),IF($Q60&lt;=90,"CRÍTICO",IF($Q60&lt;=150,"ALERTA","OK"))))))</f>
        <v/>
      </c>
      <c r="S60" s="117">
        <f>IF(OR($C60="",$E60="",$I60=0),"",IF($E60="Numerada",IF(AND($O60&lt;8,$Q60&gt;=8),"PRODUCIR - "&amp;TEXT($O60,"0")&amp;" d terminado",""),IF(AND($O60&lt;=90,$Q60&gt;90),"PRODUCIR - "&amp;TEXT($O60,"0")&amp;" d terminado","")))</f>
        <v/>
      </c>
    </row>
    <row r="61">
      <c r="A61" s="106" t="inlineStr">
        <is>
          <t>AKI.ESIM</t>
        </is>
      </c>
      <c r="B61" s="64" t="n">
        <v>35</v>
      </c>
      <c r="C61" s="63" t="inlineStr">
        <is>
          <t>162823</t>
        </is>
      </c>
      <c r="D61" s="63" t="inlineStr">
        <is>
          <t>ESIM AKIMOVIL</t>
        </is>
      </c>
      <c r="E61" s="63" t="inlineStr">
        <is>
          <t>Blanca</t>
        </is>
      </c>
      <c r="F61" s="107">
        <f>SUMIFS('DESPACHOS 20 DIAS'!F:F,'DESPACHOS 20 DIAS'!D:D,$C61,'DESPACHOS 20 DIAS'!E:E,$D61,'DESPACHOS 20 DIAS'!N:N,"CANAL INDIRECTO")</f>
        <v/>
      </c>
      <c r="G61" s="107">
        <f>SUMIFS('DESPACHOS 20 DIAS'!F:F,'DESPACHOS 20 DIAS'!D:D,$C61,'DESPACHOS 20 DIAS'!E:E,$D61,'DESPACHOS 20 DIAS'!N:N,"CANAL DIRECTO")</f>
        <v/>
      </c>
      <c r="H61" s="107">
        <f>F61+G61</f>
        <v/>
      </c>
      <c r="I61" s="108">
        <f>IFERROR(H61/DIAS_PERIODO,0)</f>
        <v/>
      </c>
      <c r="J61" s="107" t="n">
        <v>0</v>
      </c>
      <c r="K61" s="107">
        <f>SUMIFS(INVENTARIO!E:E,INVENTARIO!D:D,$C61,INVENTARIO!B:B,$D61,INVENTARIO!A:A,"PRODUCCION")</f>
        <v/>
      </c>
      <c r="L61" s="107">
        <f>SUMIFS(INVENTARIO!E:E,INVENTARIO!D:D,$C61,INVENTARIO!B:B,$D61,INVENTARIO!A:A,"MATERIA PRIMA")</f>
        <v/>
      </c>
      <c r="M61" s="109">
        <f>IF($I61=0,"",L61/$I61)</f>
        <v/>
      </c>
      <c r="N61" s="107">
        <f>SUMIFS(INVENTARIO!E:E,INVENTARIO!D:D,$C61,INVENTARIO!B:B,$D61,INVENTARIO!A:A,"BODEGA CENTRAL")+SUMIFS(INVENTARIO!E:E,INVENTARIO!D:D,$C61,INVENTARIO!B:B,$D61,INVENTARIO!A:A,"DELIVERY")</f>
        <v/>
      </c>
      <c r="O61" s="109">
        <f>IF($I61=0,"",N61/$I61)</f>
        <v/>
      </c>
      <c r="P61" s="107">
        <f>L61+N61+K61</f>
        <v/>
      </c>
      <c r="Q61" s="109">
        <f>IF($I61=0,"",P61/$I61)</f>
        <v/>
      </c>
      <c r="R61" s="110">
        <f>IF($D61="","",IF($I61=0,"SIN ROTACIÓN",IF($E61="","",IF($E61="Numerada",IF($Q61&lt;8,"CRÍTICO",IF($Q61&lt;15,"ALERTA","OK")),IF($Q61&lt;=90,"CRÍTICO",IF($Q61&lt;=150,"ALERTA","OK"))))))</f>
        <v/>
      </c>
      <c r="S61" s="110">
        <f>IF(OR($C61="",$E61="",$I61=0),"",IF($E61="Numerada",IF(AND($O61&lt;8,$Q61&gt;=8),"PRODUCIR - "&amp;TEXT($O61,"0")&amp;" d terminado",""),IF(AND($O61&lt;=90,$Q61&gt;90),"PRODUCIR - "&amp;TEXT($O61,"0")&amp;" d terminado","")))</f>
        <v/>
      </c>
    </row>
    <row r="62">
      <c r="A62" s="106" t="inlineStr">
        <is>
          <t>AKI.ESIM</t>
        </is>
      </c>
      <c r="B62" s="64" t="n">
        <v>36</v>
      </c>
      <c r="C62" s="63" t="inlineStr">
        <is>
          <t>162823</t>
        </is>
      </c>
      <c r="D62" s="63" t="inlineStr">
        <is>
          <t>ESIM AKIMOVIL REPOSICION</t>
        </is>
      </c>
      <c r="E62" s="63" t="inlineStr">
        <is>
          <t>Blanca</t>
        </is>
      </c>
      <c r="F62" s="107">
        <f>SUMIFS('DESPACHOS 20 DIAS'!F:F,'DESPACHOS 20 DIAS'!D:D,$C62,'DESPACHOS 20 DIAS'!E:E,$D62,'DESPACHOS 20 DIAS'!N:N,"CANAL INDIRECTO")</f>
        <v/>
      </c>
      <c r="G62" s="107">
        <f>SUMIFS('DESPACHOS 20 DIAS'!F:F,'DESPACHOS 20 DIAS'!D:D,$C62,'DESPACHOS 20 DIAS'!E:E,$D62,'DESPACHOS 20 DIAS'!N:N,"CANAL DIRECTO")</f>
        <v/>
      </c>
      <c r="H62" s="107">
        <f>F62+G62</f>
        <v/>
      </c>
      <c r="I62" s="108">
        <f>IFERROR(H62/DIAS_PERIODO,0)</f>
        <v/>
      </c>
      <c r="J62" s="107" t="n">
        <v>0</v>
      </c>
      <c r="K62" s="107">
        <f>SUMIFS(INVENTARIO!E:E,INVENTARIO!D:D,$C62,INVENTARIO!B:B,$D62,INVENTARIO!A:A,"PRODUCCION")</f>
        <v/>
      </c>
      <c r="L62" s="107">
        <f>SUMIFS(INVENTARIO!E:E,INVENTARIO!D:D,$C62,INVENTARIO!B:B,$D62,INVENTARIO!A:A,"MATERIA PRIMA")</f>
        <v/>
      </c>
      <c r="M62" s="109">
        <f>IF($I62=0,"",L62/$I62)</f>
        <v/>
      </c>
      <c r="N62" s="107">
        <f>SUMIFS(INVENTARIO!E:E,INVENTARIO!D:D,$C62,INVENTARIO!B:B,$D62,INVENTARIO!A:A,"BODEGA CENTRAL")+SUMIFS(INVENTARIO!E:E,INVENTARIO!D:D,$C62,INVENTARIO!B:B,$D62,INVENTARIO!A:A,"DELIVERY")</f>
        <v/>
      </c>
      <c r="O62" s="109">
        <f>IF($I62=0,"",N62/$I62)</f>
        <v/>
      </c>
      <c r="P62" s="107">
        <f>L62+N62+K62</f>
        <v/>
      </c>
      <c r="Q62" s="109">
        <f>IF($I62=0,"",P62/$I62)</f>
        <v/>
      </c>
      <c r="R62" s="110">
        <f>IF($D62="","",IF($I62=0,"SIN ROTACIÓN",IF($E62="","",IF($E62="Numerada",IF($Q62&lt;8,"CRÍTICO",IF($Q62&lt;15,"ALERTA","OK")),IF($Q62&lt;=90,"CRÍTICO",IF($Q62&lt;=150,"ALERTA","OK"))))))</f>
        <v/>
      </c>
      <c r="S62" s="110">
        <f>IF(OR($C62="",$E62="",$I62=0),"",IF($E62="Numerada",IF(AND($O62&lt;8,$Q62&gt;=8),"PRODUCIR - "&amp;TEXT($O62,"0")&amp;" d terminado",""),IF(AND($O62&lt;=90,$Q62&gt;90),"PRODUCIR - "&amp;TEXT($O62,"0")&amp;" d terminado","")))</f>
        <v/>
      </c>
    </row>
    <row r="63">
      <c r="B63" s="111" t="n"/>
      <c r="C63" s="111" t="n"/>
      <c r="D63" s="112" t="inlineStr">
        <is>
          <t>Subtotal ESIM AKIMOVIL (DIGITAL)</t>
        </is>
      </c>
      <c r="E63" s="111" t="inlineStr">
        <is>
          <t>Blanca</t>
        </is>
      </c>
      <c r="F63" s="113">
        <f>SUMIFS(F$13:F$73,$A$13:$A$73,"AKI.ESIM")</f>
        <v/>
      </c>
      <c r="G63" s="113">
        <f>SUMIFS(G$13:G$73,$A$13:$A$73,"AKI.ESIM")</f>
        <v/>
      </c>
      <c r="H63" s="113">
        <f>SUMIFS(H$13:H$73,$A$13:$A$73,"AKI.ESIM")</f>
        <v/>
      </c>
      <c r="I63" s="114">
        <f>IFERROR(H63/DIAS_PERIODO,0)</f>
        <v/>
      </c>
      <c r="J63" s="113">
        <f>SUMIFS(J$13:J$73,$A$13:$A$73,"AKI.ESIM")</f>
        <v/>
      </c>
      <c r="K63" s="113">
        <f>SUMIFS(K$13:K$73,$A$13:$A$73,"AKI.ESIM")</f>
        <v/>
      </c>
      <c r="L63" s="113">
        <f>SUMIFS(L$13:L$73,$A$13:$A$73,"AKI.ESIM")</f>
        <v/>
      </c>
      <c r="M63" s="115">
        <f>IF($I63=0,"",L63/$I63)</f>
        <v/>
      </c>
      <c r="N63" s="113">
        <f>SUMIFS(N$13:N$73,$A$13:$A$73,"AKI.ESIM")</f>
        <v/>
      </c>
      <c r="O63" s="116">
        <f>IF($I63=0,"",N63/$I63)</f>
        <v/>
      </c>
      <c r="P63" s="113">
        <f>SUMIFS(P$13:P$73,$A$13:$A$73,"AKI.ESIM")</f>
        <v/>
      </c>
      <c r="Q63" s="116">
        <f>IF($I63=0,"",P63/$I63)</f>
        <v/>
      </c>
      <c r="R63" s="117">
        <f>IF($D63="","",IF($I63=0,"SIN ROTACIÓN",IF($E63="","",IF($E63="Numerada",IF($Q63&lt;8,"CRÍTICO",IF($Q63&lt;15,"ALERTA","OK")),IF($Q63&lt;=90,"CRÍTICO",IF($Q63&lt;=150,"ALERTA","OK"))))))</f>
        <v/>
      </c>
      <c r="S63" s="117">
        <f>IF(OR($C63="",$E63="",$I63=0),"",IF($E63="Numerada",IF(AND($O63&lt;8,$Q63&gt;=8),"PRODUCIR - "&amp;TEXT($O63,"0")&amp;" d terminado",""),IF(AND($O63&lt;=90,$Q63&gt;90),"PRODUCIR - "&amp;TEXT($O63,"0")&amp;" d terminado","")))</f>
        <v/>
      </c>
    </row>
    <row r="64">
      <c r="B64" s="118" t="n"/>
      <c r="C64" s="118" t="n"/>
      <c r="D64" s="119" t="inlineStr">
        <is>
          <t>TOTAL AKIMOVIL</t>
        </is>
      </c>
      <c r="E64" s="118" t="n"/>
      <c r="F64" s="120">
        <f>SUMIFS(F$13:F$73,$A$13:$A$73,"AKI.*")</f>
        <v/>
      </c>
      <c r="G64" s="120">
        <f>SUMIFS(G$13:G$73,$A$13:$A$73,"AKI.*")</f>
        <v/>
      </c>
      <c r="H64" s="120">
        <f>SUMIFS(H$13:H$73,$A$13:$A$73,"AKI.*")</f>
        <v/>
      </c>
      <c r="I64" s="121">
        <f>IFERROR(H64/DIAS_PERIODO,0)</f>
        <v/>
      </c>
      <c r="J64" s="120">
        <f>SUMIFS(J$13:J$73,$A$13:$A$73,"AKI.*")</f>
        <v/>
      </c>
      <c r="K64" s="120">
        <f>SUMIFS(K$13:K$73,$A$13:$A$73,"AKI.*")</f>
        <v/>
      </c>
      <c r="L64" s="120">
        <f>SUMIFS(L$13:L$73,$A$13:$A$73,"AKI.*")</f>
        <v/>
      </c>
      <c r="M64" s="122">
        <f>IF($I64=0,"",L64/$I64)</f>
        <v/>
      </c>
      <c r="N64" s="120">
        <f>SUMIFS(N$13:N$73,$A$13:$A$73,"AKI.*")</f>
        <v/>
      </c>
      <c r="O64" s="123">
        <f>IF($I64=0,"",N64/$I64)</f>
        <v/>
      </c>
      <c r="P64" s="120">
        <f>SUMIFS(P$13:P$73,$A$13:$A$73,"AKI.*")</f>
        <v/>
      </c>
      <c r="Q64" s="123">
        <f>IF($I64=0,"",P64/$I64)</f>
        <v/>
      </c>
      <c r="R64" s="124">
        <f>IF($D64="","",IF($I64=0,"SIN ROTACIÓN",IF($E64="","",IF($E64="Numerada",IF($Q64&lt;8,"CRÍTICO",IF($Q64&lt;15,"ALERTA","OK")),IF($Q64&lt;=90,"CRÍTICO",IF($Q64&lt;=150,"ALERTA","OK"))))))</f>
        <v/>
      </c>
      <c r="S64" s="124">
        <f>IF(OR($C64="",$E64="",$I64=0),"",IF($E64="Numerada",IF(AND($O64&lt;8,$Q64&gt;=8),"PRODUCIR - "&amp;TEXT($O64,"0")&amp;" d terminado",""),IF(AND($O64&lt;=90,$Q64&gt;90),"PRODUCIR - "&amp;TEXT($O64,"0")&amp;" d terminado","")))</f>
        <v/>
      </c>
    </row>
    <row r="65">
      <c r="A65" s="106" t="inlineStr">
        <is>
          <t>MAXI.HALFSIM</t>
        </is>
      </c>
      <c r="B65" s="64" t="n">
        <v>37</v>
      </c>
      <c r="C65" s="63" t="inlineStr">
        <is>
          <t>162523</t>
        </is>
      </c>
      <c r="D65" s="63" t="inlineStr">
        <is>
          <t>HALFSIM MAXIPLUS</t>
        </is>
      </c>
      <c r="E65" s="63" t="inlineStr">
        <is>
          <t>Blanca</t>
        </is>
      </c>
      <c r="F65" s="107">
        <f>SUMIFS('DESPACHOS 20 DIAS'!F:F,'DESPACHOS 20 DIAS'!D:D,$C65,'DESPACHOS 20 DIAS'!E:E,$D65,'DESPACHOS 20 DIAS'!N:N,"CANAL INDIRECTO")</f>
        <v/>
      </c>
      <c r="G65" s="107">
        <f>SUMIFS('DESPACHOS 20 DIAS'!F:F,'DESPACHOS 20 DIAS'!D:D,$C65,'DESPACHOS 20 DIAS'!E:E,$D65,'DESPACHOS 20 DIAS'!N:N,"CANAL DIRECTO")</f>
        <v/>
      </c>
      <c r="H65" s="107">
        <f>F65+G65</f>
        <v/>
      </c>
      <c r="I65" s="108">
        <f>IFERROR(H65/DIAS_PERIODO,0)</f>
        <v/>
      </c>
      <c r="J65" s="107" t="n">
        <v>0</v>
      </c>
      <c r="K65" s="107">
        <f>SUMIFS(INVENTARIO!E:E,INVENTARIO!D:D,$C65,INVENTARIO!B:B,$D65,INVENTARIO!A:A,"PRODUCCION")</f>
        <v/>
      </c>
      <c r="L65" s="107">
        <f>SUMIFS(INVENTARIO!E:E,INVENTARIO!D:D,$C65,INVENTARIO!B:B,$D65,INVENTARIO!A:A,"MATERIA PRIMA")</f>
        <v/>
      </c>
      <c r="M65" s="109">
        <f>IF($I65=0,"",L65/$I65)</f>
        <v/>
      </c>
      <c r="N65" s="107">
        <f>SUMIFS(INVENTARIO!E:E,INVENTARIO!D:D,$C65,INVENTARIO!B:B,$D65,INVENTARIO!A:A,"BODEGA CENTRAL")+SUMIFS(INVENTARIO!E:E,INVENTARIO!D:D,$C65,INVENTARIO!B:B,$D65,INVENTARIO!A:A,"DELIVERY")</f>
        <v/>
      </c>
      <c r="O65" s="109">
        <f>IF($I65=0,"",N65/$I65)</f>
        <v/>
      </c>
      <c r="P65" s="107">
        <f>L65+N65+K65</f>
        <v/>
      </c>
      <c r="Q65" s="109">
        <f>IF($I65=0,"",P65/$I65)</f>
        <v/>
      </c>
      <c r="R65" s="110">
        <f>IF($D65="","",IF($I65=0,"SIN ROTACIÓN",IF($E65="","",IF($E65="Numerada",IF($Q65&lt;8,"CRÍTICO",IF($Q65&lt;15,"ALERTA","OK")),IF($Q65&lt;=90,"CRÍTICO",IF($Q65&lt;=150,"ALERTA","OK"))))))</f>
        <v/>
      </c>
      <c r="S65" s="110">
        <f>IF(OR($C65="",$E65="",$I65=0),"",IF($E65="Numerada",IF(AND($O65&lt;8,$Q65&gt;=8),"PRODUCIR - "&amp;TEXT($O65,"0")&amp;" d terminado",""),IF(AND($O65&lt;=90,$Q65&gt;90),"PRODUCIR - "&amp;TEXT($O65,"0")&amp;" d terminado","")))</f>
        <v/>
      </c>
    </row>
    <row r="66">
      <c r="B66" s="111" t="n"/>
      <c r="C66" s="111" t="n"/>
      <c r="D66" s="112" t="inlineStr">
        <is>
          <t>Subtotal HALFSIM MAXIPLUS (FÍSICA)</t>
        </is>
      </c>
      <c r="E66" s="111" t="inlineStr">
        <is>
          <t>Blanca</t>
        </is>
      </c>
      <c r="F66" s="113">
        <f>SUMIFS(F$13:F$73,$A$13:$A$73,"MAXI.HALFSIM")</f>
        <v/>
      </c>
      <c r="G66" s="113">
        <f>SUMIFS(G$13:G$73,$A$13:$A$73,"MAXI.HALFSIM")</f>
        <v/>
      </c>
      <c r="H66" s="113">
        <f>SUMIFS(H$13:H$73,$A$13:$A$73,"MAXI.HALFSIM")</f>
        <v/>
      </c>
      <c r="I66" s="114">
        <f>IFERROR(H66/DIAS_PERIODO,0)</f>
        <v/>
      </c>
      <c r="J66" s="113">
        <f>SUMIFS(J$13:J$73,$A$13:$A$73,"MAXI.HALFSIM")</f>
        <v/>
      </c>
      <c r="K66" s="113">
        <f>SUMIFS(K$13:K$73,$A$13:$A$73,"MAXI.HALFSIM")</f>
        <v/>
      </c>
      <c r="L66" s="113">
        <f>SUMIFS(L$13:L$73,$A$13:$A$73,"MAXI.HALFSIM")</f>
        <v/>
      </c>
      <c r="M66" s="115">
        <f>IF($I66=0,"",L66/$I66)</f>
        <v/>
      </c>
      <c r="N66" s="113">
        <f>SUMIFS(N$13:N$73,$A$13:$A$73,"MAXI.HALFSIM")</f>
        <v/>
      </c>
      <c r="O66" s="116">
        <f>IF($I66=0,"",N66/$I66)</f>
        <v/>
      </c>
      <c r="P66" s="113">
        <f>SUMIFS(P$13:P$73,$A$13:$A$73,"MAXI.HALFSIM")</f>
        <v/>
      </c>
      <c r="Q66" s="116">
        <f>IF($I66=0,"",P66/$I66)</f>
        <v/>
      </c>
      <c r="R66" s="117">
        <f>IF($D66="","",IF($I66=0,"SIN ROTACIÓN",IF($E66="","",IF($E66="Numerada",IF($Q66&lt;8,"CRÍTICO",IF($Q66&lt;15,"ALERTA","OK")),IF($Q66&lt;=90,"CRÍTICO",IF($Q66&lt;=150,"ALERTA","OK"))))))</f>
        <v/>
      </c>
      <c r="S66" s="117">
        <f>IF(OR($C66="",$E66="",$I66=0),"",IF($E66="Numerada",IF(AND($O66&lt;8,$Q66&gt;=8),"PRODUCIR - "&amp;TEXT($O66,"0")&amp;" d terminado",""),IF(AND($O66&lt;=90,$Q66&gt;90),"PRODUCIR - "&amp;TEXT($O66,"0")&amp;" d terminado","")))</f>
        <v/>
      </c>
    </row>
    <row r="67">
      <c r="A67" s="106" t="inlineStr">
        <is>
          <t>MAXI.NUMERADA</t>
        </is>
      </c>
      <c r="B67" s="64" t="n">
        <v>38</v>
      </c>
      <c r="C67" s="63" t="inlineStr">
        <is>
          <t>162523</t>
        </is>
      </c>
      <c r="D67" s="63" t="inlineStr">
        <is>
          <t>HALFSIM MAXIPLUS SIM NUMERADA 15D</t>
        </is>
      </c>
      <c r="E67" s="63" t="inlineStr">
        <is>
          <t>Numerada</t>
        </is>
      </c>
      <c r="F67" s="107">
        <f>SUMIFS('DESPACHOS 20 DIAS'!F:F,'DESPACHOS 20 DIAS'!D:D,$C67,'DESPACHOS 20 DIAS'!E:E,$D67,'DESPACHOS 20 DIAS'!N:N,"CANAL INDIRECTO")</f>
        <v/>
      </c>
      <c r="G67" s="107">
        <f>SUMIFS('DESPACHOS 20 DIAS'!F:F,'DESPACHOS 20 DIAS'!D:D,$C67,'DESPACHOS 20 DIAS'!E:E,$D67,'DESPACHOS 20 DIAS'!N:N,"CANAL DIRECTO")</f>
        <v/>
      </c>
      <c r="H67" s="107">
        <f>F67+G67</f>
        <v/>
      </c>
      <c r="I67" s="108">
        <f>IFERROR(H67/DIAS_PERIODO,0)</f>
        <v/>
      </c>
      <c r="J67" s="107" t="n">
        <v>0</v>
      </c>
      <c r="K67" s="107">
        <f>SUMIFS(INVENTARIO!E:E,INVENTARIO!D:D,$C67,INVENTARIO!B:B,$D67,INVENTARIO!A:A,"PRODUCCION")</f>
        <v/>
      </c>
      <c r="L67" s="107">
        <f>SUMIFS(INVENTARIO!E:E,INVENTARIO!D:D,$C67,INVENTARIO!B:B,$D67,INVENTARIO!A:A,"MATERIA PRIMA")</f>
        <v/>
      </c>
      <c r="M67" s="125">
        <f>IF($I67=0,"",L67/$I67)</f>
        <v/>
      </c>
      <c r="N67" s="107">
        <f>SUMIFS(INVENTARIO!E:E,INVENTARIO!D:D,$C67,INVENTARIO!B:B,$D67,INVENTARIO!A:A,"BODEGA CENTRAL")+SUMIFS(INVENTARIO!E:E,INVENTARIO!D:D,$C67,INVENTARIO!B:B,$D67,INVENTARIO!A:A,"DELIVERY")</f>
        <v/>
      </c>
      <c r="O67" s="125">
        <f>IF($I67=0,"",N67/$I67)</f>
        <v/>
      </c>
      <c r="P67" s="107">
        <f>L67+N67+K67</f>
        <v/>
      </c>
      <c r="Q67" s="125">
        <f>IF($I67=0,"",P67/$I67)</f>
        <v/>
      </c>
      <c r="R67" s="110">
        <f>IF($D67="","",IF($I67=0,"SIN ROTACIÓN",IF($E67="","",IF($E67="Numerada",IF($Q67&lt;8,"CRÍTICO",IF($Q67&lt;15,"ALERTA","OK")),IF($Q67&lt;=90,"CRÍTICO",IF($Q67&lt;=150,"ALERTA","OK"))))))</f>
        <v/>
      </c>
      <c r="S67" s="110">
        <f>IF(OR($C67="",$E67="",$I67=0),"",IF($E67="Numerada",IF(AND($O67&lt;8,$Q67&gt;=8),"PRODUCIR - "&amp;TEXT($O67,"0")&amp;" d terminado",""),IF(AND($O67&lt;=90,$Q67&gt;90),"PRODUCIR - "&amp;TEXT($O67,"0")&amp;" d terminado","")))</f>
        <v/>
      </c>
    </row>
    <row r="68">
      <c r="A68" s="106" t="inlineStr">
        <is>
          <t>MAXI.NUMERADA</t>
        </is>
      </c>
      <c r="B68" s="64" t="n">
        <v>39</v>
      </c>
      <c r="C68" s="63" t="inlineStr">
        <is>
          <t>162523</t>
        </is>
      </c>
      <c r="D68" s="63" t="inlineStr">
        <is>
          <t>HALFSIM MAXIPLUS SIM NUMERADA 30D</t>
        </is>
      </c>
      <c r="E68" s="63" t="inlineStr">
        <is>
          <t>Numerada</t>
        </is>
      </c>
      <c r="F68" s="107">
        <f>SUMIFS('DESPACHOS 20 DIAS'!F:F,'DESPACHOS 20 DIAS'!D:D,$C68,'DESPACHOS 20 DIAS'!E:E,$D68,'DESPACHOS 20 DIAS'!N:N,"CANAL INDIRECTO")</f>
        <v/>
      </c>
      <c r="G68" s="107">
        <f>SUMIFS('DESPACHOS 20 DIAS'!F:F,'DESPACHOS 20 DIAS'!D:D,$C68,'DESPACHOS 20 DIAS'!E:E,$D68,'DESPACHOS 20 DIAS'!N:N,"CANAL DIRECTO")</f>
        <v/>
      </c>
      <c r="H68" s="107">
        <f>F68+G68</f>
        <v/>
      </c>
      <c r="I68" s="108">
        <f>IFERROR(H68/DIAS_PERIODO,0)</f>
        <v/>
      </c>
      <c r="J68" s="107" t="n">
        <v>0</v>
      </c>
      <c r="K68" s="107">
        <f>SUMIFS(INVENTARIO!E:E,INVENTARIO!D:D,$C68,INVENTARIO!B:B,$D68,INVENTARIO!A:A,"PRODUCCION")</f>
        <v/>
      </c>
      <c r="L68" s="107">
        <f>SUMIFS(INVENTARIO!E:E,INVENTARIO!D:D,$C68,INVENTARIO!B:B,$D68,INVENTARIO!A:A,"MATERIA PRIMA")</f>
        <v/>
      </c>
      <c r="M68" s="125">
        <f>IF($I68=0,"",L68/$I68)</f>
        <v/>
      </c>
      <c r="N68" s="107">
        <f>SUMIFS(INVENTARIO!E:E,INVENTARIO!D:D,$C68,INVENTARIO!B:B,$D68,INVENTARIO!A:A,"BODEGA CENTRAL")+SUMIFS(INVENTARIO!E:E,INVENTARIO!D:D,$C68,INVENTARIO!B:B,$D68,INVENTARIO!A:A,"DELIVERY")</f>
        <v/>
      </c>
      <c r="O68" s="125">
        <f>IF($I68=0,"",N68/$I68)</f>
        <v/>
      </c>
      <c r="P68" s="107">
        <f>L68+N68+K68</f>
        <v/>
      </c>
      <c r="Q68" s="125">
        <f>IF($I68=0,"",P68/$I68)</f>
        <v/>
      </c>
      <c r="R68" s="110">
        <f>IF($D68="","",IF($I68=0,"SIN ROTACIÓN",IF($E68="","",IF($E68="Numerada",IF($Q68&lt;8,"CRÍTICO",IF($Q68&lt;15,"ALERTA","OK")),IF($Q68&lt;=90,"CRÍTICO",IF($Q68&lt;=150,"ALERTA","OK"))))))</f>
        <v/>
      </c>
      <c r="S68" s="110">
        <f>IF(OR($C68="",$E68="",$I68=0),"",IF($E68="Numerada",IF(AND($O68&lt;8,$Q68&gt;=8),"PRODUCIR - "&amp;TEXT($O68,"0")&amp;" d terminado",""),IF(AND($O68&lt;=90,$Q68&gt;90),"PRODUCIR - "&amp;TEXT($O68,"0")&amp;" d terminado","")))</f>
        <v/>
      </c>
    </row>
    <row r="69">
      <c r="B69" s="111" t="n"/>
      <c r="C69" s="111" t="n"/>
      <c r="D69" s="112" t="inlineStr">
        <is>
          <t>Subtotal HALFSIM MAXIPLUS NUMERADA</t>
        </is>
      </c>
      <c r="E69" s="111" t="inlineStr">
        <is>
          <t>Numerada</t>
        </is>
      </c>
      <c r="F69" s="113">
        <f>SUMIFS(F$13:F$73,$A$13:$A$73,"MAXI.NUMERADA")</f>
        <v/>
      </c>
      <c r="G69" s="113">
        <f>SUMIFS(G$13:G$73,$A$13:$A$73,"MAXI.NUMERADA")</f>
        <v/>
      </c>
      <c r="H69" s="113">
        <f>SUMIFS(H$13:H$73,$A$13:$A$73,"MAXI.NUMERADA")</f>
        <v/>
      </c>
      <c r="I69" s="114">
        <f>IFERROR(H69/DIAS_PERIODO,0)</f>
        <v/>
      </c>
      <c r="J69" s="113">
        <f>SUMIFS(J$13:J$73,$A$13:$A$73,"MAXI.NUMERADA")</f>
        <v/>
      </c>
      <c r="K69" s="113">
        <f>SUMIFS(K$13:K$73,$A$13:$A$73,"MAXI.NUMERADA")</f>
        <v/>
      </c>
      <c r="L69" s="113">
        <f>SUMIFS(L$13:L$73,$A$13:$A$73,"MAXI.NUMERADA")</f>
        <v/>
      </c>
      <c r="M69" s="126">
        <f>IF($I69=0,"",L69/$I69)</f>
        <v/>
      </c>
      <c r="N69" s="113">
        <f>SUMIFS(N$13:N$73,$A$13:$A$73,"MAXI.NUMERADA")</f>
        <v/>
      </c>
      <c r="O69" s="127">
        <f>IF($I69=0,"",N69/$I69)</f>
        <v/>
      </c>
      <c r="P69" s="113">
        <f>SUMIFS(P$13:P$73,$A$13:$A$73,"MAXI.NUMERADA")</f>
        <v/>
      </c>
      <c r="Q69" s="127">
        <f>IF($I69=0,"",P69/$I69)</f>
        <v/>
      </c>
      <c r="R69" s="117">
        <f>IF($D69="","",IF($I69=0,"SIN ROTACIÓN",IF($E69="","",IF($E69="Numerada",IF($Q69&lt;8,"CRÍTICO",IF($Q69&lt;15,"ALERTA","OK")),IF($Q69&lt;=90,"CRÍTICO",IF($Q69&lt;=150,"ALERTA","OK"))))))</f>
        <v/>
      </c>
      <c r="S69" s="117">
        <f>IF(OR($C69="",$E69="",$I69=0),"",IF($E69="Numerada",IF(AND($O69&lt;8,$Q69&gt;=8),"PRODUCIR - "&amp;TEXT($O69,"0")&amp;" d terminado",""),IF(AND($O69&lt;=90,$Q69&gt;90),"PRODUCIR - "&amp;TEXT($O69,"0")&amp;" d terminado","")))</f>
        <v/>
      </c>
    </row>
    <row r="70">
      <c r="A70" s="106" t="inlineStr">
        <is>
          <t>MAXI.ESIM</t>
        </is>
      </c>
      <c r="B70" s="64" t="n">
        <v>40</v>
      </c>
      <c r="C70" s="63" t="inlineStr">
        <is>
          <t>162822</t>
        </is>
      </c>
      <c r="D70" s="63" t="inlineStr">
        <is>
          <t>ESIM MAXIPLUS</t>
        </is>
      </c>
      <c r="E70" s="63" t="inlineStr">
        <is>
          <t>Blanca</t>
        </is>
      </c>
      <c r="F70" s="107">
        <f>SUMIFS('DESPACHOS 20 DIAS'!F:F,'DESPACHOS 20 DIAS'!D:D,$C70,'DESPACHOS 20 DIAS'!E:E,$D70,'DESPACHOS 20 DIAS'!N:N,"CANAL INDIRECTO")</f>
        <v/>
      </c>
      <c r="G70" s="107">
        <f>SUMIFS('DESPACHOS 20 DIAS'!F:F,'DESPACHOS 20 DIAS'!D:D,$C70,'DESPACHOS 20 DIAS'!E:E,$D70,'DESPACHOS 20 DIAS'!N:N,"CANAL DIRECTO")</f>
        <v/>
      </c>
      <c r="H70" s="107">
        <f>F70+G70</f>
        <v/>
      </c>
      <c r="I70" s="108">
        <f>IFERROR(H70/DIAS_PERIODO,0)</f>
        <v/>
      </c>
      <c r="J70" s="107" t="n">
        <v>0</v>
      </c>
      <c r="K70" s="107">
        <f>SUMIFS(INVENTARIO!E:E,INVENTARIO!D:D,$C70,INVENTARIO!B:B,$D70,INVENTARIO!A:A,"PRODUCCION")</f>
        <v/>
      </c>
      <c r="L70" s="107">
        <f>SUMIFS(INVENTARIO!E:E,INVENTARIO!D:D,$C70,INVENTARIO!B:B,$D70,INVENTARIO!A:A,"MATERIA PRIMA")</f>
        <v/>
      </c>
      <c r="M70" s="109">
        <f>IF($I70=0,"",L70/$I70)</f>
        <v/>
      </c>
      <c r="N70" s="107">
        <f>SUMIFS(INVENTARIO!E:E,INVENTARIO!D:D,$C70,INVENTARIO!B:B,$D70,INVENTARIO!A:A,"BODEGA CENTRAL")+SUMIFS(INVENTARIO!E:E,INVENTARIO!D:D,$C70,INVENTARIO!B:B,$D70,INVENTARIO!A:A,"DELIVERY")</f>
        <v/>
      </c>
      <c r="O70" s="109">
        <f>IF($I70=0,"",N70/$I70)</f>
        <v/>
      </c>
      <c r="P70" s="107">
        <f>L70+N70+K70</f>
        <v/>
      </c>
      <c r="Q70" s="109">
        <f>IF($I70=0,"",P70/$I70)</f>
        <v/>
      </c>
      <c r="R70" s="110">
        <f>IF($D70="","",IF($I70=0,"SIN ROTACIÓN",IF($E70="","",IF($E70="Numerada",IF($Q70&lt;8,"CRÍTICO",IF($Q70&lt;15,"ALERTA","OK")),IF($Q70&lt;=90,"CRÍTICO",IF($Q70&lt;=150,"ALERTA","OK"))))))</f>
        <v/>
      </c>
      <c r="S70" s="110">
        <f>IF(OR($C70="",$E70="",$I70=0),"",IF($E70="Numerada",IF(AND($O70&lt;8,$Q70&gt;=8),"PRODUCIR - "&amp;TEXT($O70,"0")&amp;" d terminado",""),IF(AND($O70&lt;=90,$Q70&gt;90),"PRODUCIR - "&amp;TEXT($O70,"0")&amp;" d terminado","")))</f>
        <v/>
      </c>
    </row>
    <row r="71">
      <c r="A71" s="106" t="inlineStr">
        <is>
          <t>MAXI.ESIM</t>
        </is>
      </c>
      <c r="B71" s="64" t="n">
        <v>41</v>
      </c>
      <c r="C71" s="63" t="inlineStr">
        <is>
          <t>162822</t>
        </is>
      </c>
      <c r="D71" s="63" t="inlineStr">
        <is>
          <t>ESIM MAXIPLUS REPOSICION</t>
        </is>
      </c>
      <c r="E71" s="63" t="inlineStr">
        <is>
          <t>Blanca</t>
        </is>
      </c>
      <c r="F71" s="107">
        <f>SUMIFS('DESPACHOS 20 DIAS'!F:F,'DESPACHOS 20 DIAS'!D:D,$C71,'DESPACHOS 20 DIAS'!E:E,$D71,'DESPACHOS 20 DIAS'!N:N,"CANAL INDIRECTO")</f>
        <v/>
      </c>
      <c r="G71" s="107">
        <f>SUMIFS('DESPACHOS 20 DIAS'!F:F,'DESPACHOS 20 DIAS'!D:D,$C71,'DESPACHOS 20 DIAS'!E:E,$D71,'DESPACHOS 20 DIAS'!N:N,"CANAL DIRECTO")</f>
        <v/>
      </c>
      <c r="H71" s="107">
        <f>F71+G71</f>
        <v/>
      </c>
      <c r="I71" s="108">
        <f>IFERROR(H71/DIAS_PERIODO,0)</f>
        <v/>
      </c>
      <c r="J71" s="107" t="n">
        <v>0</v>
      </c>
      <c r="K71" s="107">
        <f>SUMIFS(INVENTARIO!E:E,INVENTARIO!D:D,$C71,INVENTARIO!B:B,$D71,INVENTARIO!A:A,"PRODUCCION")</f>
        <v/>
      </c>
      <c r="L71" s="107">
        <f>SUMIFS(INVENTARIO!E:E,INVENTARIO!D:D,$C71,INVENTARIO!B:B,$D71,INVENTARIO!A:A,"MATERIA PRIMA")</f>
        <v/>
      </c>
      <c r="M71" s="109">
        <f>IF($I71=0,"",L71/$I71)</f>
        <v/>
      </c>
      <c r="N71" s="107">
        <f>SUMIFS(INVENTARIO!E:E,INVENTARIO!D:D,$C71,INVENTARIO!B:B,$D71,INVENTARIO!A:A,"BODEGA CENTRAL")+SUMIFS(INVENTARIO!E:E,INVENTARIO!D:D,$C71,INVENTARIO!B:B,$D71,INVENTARIO!A:A,"DELIVERY")</f>
        <v/>
      </c>
      <c r="O71" s="109">
        <f>IF($I71=0,"",N71/$I71)</f>
        <v/>
      </c>
      <c r="P71" s="107">
        <f>L71+N71+K71</f>
        <v/>
      </c>
      <c r="Q71" s="109">
        <f>IF($I71=0,"",P71/$I71)</f>
        <v/>
      </c>
      <c r="R71" s="110">
        <f>IF($D71="","",IF($I71=0,"SIN ROTACIÓN",IF($E71="","",IF($E71="Numerada",IF($Q71&lt;8,"CRÍTICO",IF($Q71&lt;15,"ALERTA","OK")),IF($Q71&lt;=90,"CRÍTICO",IF($Q71&lt;=150,"ALERTA","OK"))))))</f>
        <v/>
      </c>
      <c r="S71" s="110">
        <f>IF(OR($C71="",$E71="",$I71=0),"",IF($E71="Numerada",IF(AND($O71&lt;8,$Q71&gt;=8),"PRODUCIR - "&amp;TEXT($O71,"0")&amp;" d terminado",""),IF(AND($O71&lt;=90,$Q71&gt;90),"PRODUCIR - "&amp;TEXT($O71,"0")&amp;" d terminado","")))</f>
        <v/>
      </c>
    </row>
    <row r="72">
      <c r="B72" s="111" t="n"/>
      <c r="C72" s="111" t="n"/>
      <c r="D72" s="112" t="inlineStr">
        <is>
          <t>Subtotal ESIM MAXIPLUS (DIGITAL)</t>
        </is>
      </c>
      <c r="E72" s="111" t="inlineStr">
        <is>
          <t>Blanca</t>
        </is>
      </c>
      <c r="F72" s="113">
        <f>SUMIFS(F$13:F$73,$A$13:$A$73,"MAXI.ESIM")</f>
        <v/>
      </c>
      <c r="G72" s="113">
        <f>SUMIFS(G$13:G$73,$A$13:$A$73,"MAXI.ESIM")</f>
        <v/>
      </c>
      <c r="H72" s="113">
        <f>SUMIFS(H$13:H$73,$A$13:$A$73,"MAXI.ESIM")</f>
        <v/>
      </c>
      <c r="I72" s="114">
        <f>IFERROR(H72/DIAS_PERIODO,0)</f>
        <v/>
      </c>
      <c r="J72" s="113">
        <f>SUMIFS(J$13:J$73,$A$13:$A$73,"MAXI.ESIM")</f>
        <v/>
      </c>
      <c r="K72" s="113">
        <f>SUMIFS(K$13:K$73,$A$13:$A$73,"MAXI.ESIM")</f>
        <v/>
      </c>
      <c r="L72" s="113">
        <f>SUMIFS(L$13:L$73,$A$13:$A$73,"MAXI.ESIM")</f>
        <v/>
      </c>
      <c r="M72" s="115">
        <f>IF($I72=0,"",L72/$I72)</f>
        <v/>
      </c>
      <c r="N72" s="113">
        <f>SUMIFS(N$13:N$73,$A$13:$A$73,"MAXI.ESIM")</f>
        <v/>
      </c>
      <c r="O72" s="116">
        <f>IF($I72=0,"",N72/$I72)</f>
        <v/>
      </c>
      <c r="P72" s="113">
        <f>SUMIFS(P$13:P$73,$A$13:$A$73,"MAXI.ESIM")</f>
        <v/>
      </c>
      <c r="Q72" s="116">
        <f>IF($I72=0,"",P72/$I72)</f>
        <v/>
      </c>
      <c r="R72" s="117">
        <f>IF($D72="","",IF($I72=0,"SIN ROTACIÓN",IF($E72="","",IF($E72="Numerada",IF($Q72&lt;8,"CRÍTICO",IF($Q72&lt;15,"ALERTA","OK")),IF($Q72&lt;=90,"CRÍTICO",IF($Q72&lt;=150,"ALERTA","OK"))))))</f>
        <v/>
      </c>
      <c r="S72" s="117">
        <f>IF(OR($C72="",$E72="",$I72=0),"",IF($E72="Numerada",IF(AND($O72&lt;8,$Q72&gt;=8),"PRODUCIR - "&amp;TEXT($O72,"0")&amp;" d terminado",""),IF(AND($O72&lt;=90,$Q72&gt;90),"PRODUCIR - "&amp;TEXT($O72,"0")&amp;" d terminado","")))</f>
        <v/>
      </c>
    </row>
    <row r="73">
      <c r="B73" s="118" t="n"/>
      <c r="C73" s="118" t="n"/>
      <c r="D73" s="119" t="inlineStr">
        <is>
          <t>TOTAL MAXIPLUS</t>
        </is>
      </c>
      <c r="E73" s="118" t="n"/>
      <c r="F73" s="120">
        <f>SUMIFS(F$13:F$73,$A$13:$A$73,"MAXI.*")</f>
        <v/>
      </c>
      <c r="G73" s="120">
        <f>SUMIFS(G$13:G$73,$A$13:$A$73,"MAXI.*")</f>
        <v/>
      </c>
      <c r="H73" s="120">
        <f>SUMIFS(H$13:H$73,$A$13:$A$73,"MAXI.*")</f>
        <v/>
      </c>
      <c r="I73" s="121">
        <f>IFERROR(H73/DIAS_PERIODO,0)</f>
        <v/>
      </c>
      <c r="J73" s="120">
        <f>SUMIFS(J$13:J$73,$A$13:$A$73,"MAXI.*")</f>
        <v/>
      </c>
      <c r="K73" s="120">
        <f>SUMIFS(K$13:K$73,$A$13:$A$73,"MAXI.*")</f>
        <v/>
      </c>
      <c r="L73" s="120">
        <f>SUMIFS(L$13:L$73,$A$13:$A$73,"MAXI.*")</f>
        <v/>
      </c>
      <c r="M73" s="122">
        <f>IF($I73=0,"",L73/$I73)</f>
        <v/>
      </c>
      <c r="N73" s="120">
        <f>SUMIFS(N$13:N$73,$A$13:$A$73,"MAXI.*")</f>
        <v/>
      </c>
      <c r="O73" s="123">
        <f>IF($I73=0,"",N73/$I73)</f>
        <v/>
      </c>
      <c r="P73" s="120">
        <f>SUMIFS(P$13:P$73,$A$13:$A$73,"MAXI.*")</f>
        <v/>
      </c>
      <c r="Q73" s="123">
        <f>IF($I73=0,"",P73/$I73)</f>
        <v/>
      </c>
      <c r="R73" s="124">
        <f>IF($D73="","",IF($I73=0,"SIN ROTACIÓN",IF($E73="","",IF($E73="Numerada",IF($Q73&lt;8,"CRÍTICO",IF($Q73&lt;15,"ALERTA","OK")),IF($Q73&lt;=90,"CRÍTICO",IF($Q73&lt;=150,"ALERTA","OK"))))))</f>
        <v/>
      </c>
      <c r="S73" s="124">
        <f>IF(OR($C73="",$E73="",$I73=0),"",IF($E73="Numerada",IF(AND($O73&lt;8,$Q73&gt;=8),"PRODUCIR - "&amp;TEXT($O73,"0")&amp;" d terminado",""),IF(AND($O73&lt;=90,$Q73&gt;90),"PRODUCIR - "&amp;TEXT($O73,"0")&amp;" d terminado","")))</f>
        <v/>
      </c>
    </row>
    <row r="74">
      <c r="B74" s="128" t="n"/>
      <c r="C74" s="128" t="n"/>
      <c r="D74" s="129" t="inlineStr">
        <is>
          <t>TOTAL GENERAL</t>
        </is>
      </c>
      <c r="E74" s="128" t="n"/>
      <c r="F74" s="130">
        <f>SUMIFS(F$13:F$73,$A$13:$A$73,"?*")</f>
        <v/>
      </c>
      <c r="G74" s="130">
        <f>SUMIFS(G$13:G$73,$A$13:$A$73,"?*")</f>
        <v/>
      </c>
      <c r="H74" s="130">
        <f>SUMIFS(H$13:H$73,$A$13:$A$73,"?*")</f>
        <v/>
      </c>
      <c r="I74" s="131">
        <f>IFERROR(H74/DIAS_PERIODO,0)</f>
        <v/>
      </c>
      <c r="J74" s="130">
        <f>SUMIFS(J$13:J$73,$A$13:$A$73,"?*")</f>
        <v/>
      </c>
      <c r="K74" s="130">
        <f>SUMIFS(K$13:K$73,$A$13:$A$73,"?*")</f>
        <v/>
      </c>
      <c r="L74" s="130">
        <f>SUMIFS(L$13:L$73,$A$13:$A$73,"?*")</f>
        <v/>
      </c>
      <c r="M74" s="132">
        <f>IF($I74=0,"",L74/$I74)</f>
        <v/>
      </c>
      <c r="N74" s="130">
        <f>SUMIFS(N$13:N$73,$A$13:$A$73,"?*")</f>
        <v/>
      </c>
      <c r="O74" s="133">
        <f>IF($I74=0,"",N74/$I74)</f>
        <v/>
      </c>
      <c r="P74" s="130">
        <f>SUMIFS(P$13:P$73,$A$13:$A$73,"?*")</f>
        <v/>
      </c>
      <c r="Q74" s="133">
        <f>IF($I74=0,"",P74/$I74)</f>
        <v/>
      </c>
      <c r="R74" s="134" t="n"/>
      <c r="S74" s="134" t="n"/>
    </row>
    <row r="75">
      <c r="B75" s="135" t="n"/>
      <c r="C75" s="50" t="n"/>
      <c r="D75" s="50" t="n"/>
      <c r="E75" s="50" t="n"/>
      <c r="F75" s="50" t="n"/>
      <c r="G75" s="50" t="n"/>
      <c r="H75" s="50" t="n"/>
      <c r="I75" s="52" t="n"/>
      <c r="J75" s="135" t="n"/>
      <c r="K75" s="135" t="n"/>
      <c r="L75" s="50" t="n"/>
    </row>
    <row r="76">
      <c r="B76" s="135" t="n"/>
      <c r="C76" s="136" t="inlineStr">
        <is>
          <t>CONTROL DE CUADRATURA (la diferencia debe ser 0)</t>
        </is>
      </c>
      <c r="D76" s="50" t="n"/>
      <c r="E76" s="50" t="n"/>
      <c r="F76" s="50" t="n"/>
      <c r="G76" s="50" t="n"/>
      <c r="H76" s="50" t="n"/>
      <c r="I76" s="52" t="n"/>
      <c r="J76" s="135" t="n"/>
      <c r="K76" s="135" t="n"/>
      <c r="L76" s="50" t="n"/>
    </row>
    <row r="77">
      <c r="B77" s="135" t="n"/>
      <c r="C77" s="137" t="inlineStr">
        <is>
          <t>Stock total del cuadro vs. hoja INVENTARIO</t>
        </is>
      </c>
      <c r="D77" s="50" t="n"/>
      <c r="E77" s="50" t="n"/>
      <c r="F77" s="50" t="n"/>
      <c r="G77" s="138">
        <f>P74</f>
        <v/>
      </c>
      <c r="H77" s="138">
        <f>SUM(INVENTARIO!E:E)</f>
        <v/>
      </c>
      <c r="I77" s="138">
        <f>G77-H77</f>
        <v/>
      </c>
      <c r="J77" s="139">
        <f>IF(I77=0,"OK","REVISAR: hay artículos en INVENTARIO que no están dados de alta en el cuadro")</f>
        <v/>
      </c>
      <c r="K77" s="135" t="n"/>
      <c r="L77" s="50" t="n"/>
    </row>
    <row r="78">
      <c r="B78" s="135" t="n"/>
      <c r="C78" s="137" t="inlineStr">
        <is>
          <t>Despacho total del cuadro vs. hoja DESPACHOS</t>
        </is>
      </c>
      <c r="D78" s="50" t="n"/>
      <c r="E78" s="50" t="n"/>
      <c r="F78" s="50" t="n"/>
      <c r="G78" s="138">
        <f>H74</f>
        <v/>
      </c>
      <c r="H78" s="138">
        <f>SUM('DESPACHOS 20 DIAS'!F:F)</f>
        <v/>
      </c>
      <c r="I78" s="138">
        <f>G78-H78</f>
        <v/>
      </c>
      <c r="J78" s="139">
        <f>IF(I78=0,"OK","REVISAR: hay artículos o canales en DESPACHOS que el cuadro no está sumando")</f>
        <v/>
      </c>
      <c r="K78" s="135" t="n"/>
      <c r="L78" s="50" t="n"/>
    </row>
    <row r="79">
      <c r="B79" s="135" t="n"/>
      <c r="C79" s="137" t="inlineStr">
        <is>
          <t>Líneas de DESPACHOS cuyo CANAL no existe en REFERENCIA</t>
        </is>
      </c>
      <c r="D79" s="50" t="n"/>
      <c r="E79" s="50" t="n"/>
      <c r="F79" s="50" t="n"/>
      <c r="G79" s="137" t="n"/>
      <c r="H79" s="137" t="n"/>
      <c r="I79" s="138">
        <f>IFERROR(SUMPRODUCT(--(COUNTIF(REFERENCIA!$F$2:$F$200,OFFSET('DESPACHOS 20 DIAS'!$M$2,0,0,MAX(1,COUNTA('DESPACHOS 20 DIAS'!$M:$M)-1),1))=0)),0)</f>
        <v/>
      </c>
      <c r="J79" s="139">
        <f>IF(I79=0,"OK","REVISAR: complete esos canales en la hoja REFERENCIA antes de la próxima carga")</f>
        <v/>
      </c>
      <c r="K79" s="135" t="n"/>
      <c r="L79" s="50" t="n"/>
    </row>
    <row r="80">
      <c r="B80" s="135" t="n"/>
      <c r="C80" s="50" t="n"/>
      <c r="D80" s="50" t="n"/>
      <c r="E80" s="50" t="n"/>
      <c r="F80" s="50" t="n"/>
      <c r="G80" s="50" t="n"/>
      <c r="H80" s="50" t="n"/>
      <c r="I80" s="52" t="n"/>
      <c r="J80" s="135" t="n"/>
      <c r="K80" s="135" t="n"/>
      <c r="L80" s="50" t="n"/>
    </row>
    <row r="81">
      <c r="B81" s="135" t="n"/>
      <c r="C81" s="140" t="inlineStr">
        <is>
          <t>Las bandas se calculan con SUMIFS sobre la columna A (CLAVE). Para agregar un artículo: inserte la fila dentro de su bloque, copie las fórmulas de la fila de arriba y escriba la misma CLAVE en la columna A.</t>
        </is>
      </c>
      <c r="D81" s="50" t="n"/>
      <c r="E81" s="50" t="n"/>
      <c r="F81" s="50" t="n"/>
      <c r="G81" s="50" t="n"/>
      <c r="H81" s="50" t="n"/>
      <c r="I81" s="52" t="n"/>
      <c r="J81" s="135" t="n"/>
      <c r="K81" s="135" t="n"/>
      <c r="L81" s="50" t="n"/>
    </row>
    <row r="82">
      <c r="B82" s="135" t="n"/>
      <c r="C82" s="50" t="n"/>
      <c r="D82" s="50" t="n"/>
      <c r="E82" s="50" t="n"/>
      <c r="F82" s="50" t="n"/>
      <c r="G82" s="50" t="n"/>
      <c r="H82" s="50" t="n"/>
      <c r="I82" s="52" t="n"/>
      <c r="J82" s="135" t="n"/>
      <c r="K82" s="135" t="n"/>
      <c r="L82" s="50" t="n"/>
    </row>
    <row r="83">
      <c r="B83" s="135" t="n"/>
      <c r="C83" s="50" t="n"/>
      <c r="D83" s="50" t="n"/>
      <c r="E83" s="50" t="n"/>
      <c r="F83" s="50" t="n"/>
      <c r="G83" s="50" t="n"/>
      <c r="H83" s="50" t="n"/>
      <c r="I83" s="52" t="n"/>
      <c r="J83" s="135" t="n"/>
      <c r="K83" s="135" t="n"/>
      <c r="L83" s="50" t="n"/>
    </row>
    <row r="84">
      <c r="B84" s="135" t="n"/>
      <c r="C84" s="50" t="n"/>
      <c r="D84" s="50" t="n"/>
      <c r="E84" s="50" t="n"/>
      <c r="F84" s="50" t="n"/>
      <c r="G84" s="50" t="n"/>
      <c r="H84" s="50" t="n"/>
      <c r="I84" s="52" t="n"/>
      <c r="J84" s="135" t="n"/>
      <c r="K84" s="135" t="n"/>
      <c r="L84" s="50" t="n"/>
    </row>
    <row r="85">
      <c r="B85" s="135" t="n"/>
      <c r="C85" s="50" t="n"/>
      <c r="D85" s="50" t="n"/>
      <c r="E85" s="50" t="n"/>
      <c r="F85" s="50" t="n"/>
      <c r="G85" s="50" t="n"/>
      <c r="H85" s="50" t="n"/>
      <c r="I85" s="52" t="n"/>
      <c r="J85" s="135" t="n"/>
      <c r="K85" s="135" t="n"/>
      <c r="L85" s="50" t="n"/>
    </row>
    <row r="86">
      <c r="B86" s="135" t="n"/>
      <c r="C86" s="50" t="n"/>
      <c r="D86" s="50" t="n"/>
      <c r="E86" s="50" t="n"/>
      <c r="F86" s="50" t="n"/>
      <c r="G86" s="50" t="n"/>
      <c r="H86" s="50" t="n"/>
      <c r="I86" s="52" t="n"/>
      <c r="J86" s="135" t="n"/>
      <c r="K86" s="135" t="n"/>
      <c r="L86" s="50" t="n"/>
    </row>
    <row r="87">
      <c r="B87" s="135" t="n"/>
      <c r="C87" s="50" t="n"/>
      <c r="D87" s="50" t="n"/>
      <c r="E87" s="50" t="n"/>
      <c r="F87" s="50" t="n"/>
      <c r="G87" s="50" t="n"/>
      <c r="H87" s="50" t="n"/>
      <c r="I87" s="52" t="n"/>
      <c r="J87" s="135" t="n"/>
      <c r="K87" s="135" t="n"/>
      <c r="L87" s="50" t="n"/>
    </row>
    <row r="88">
      <c r="B88" s="135" t="n"/>
      <c r="C88" s="50" t="n"/>
      <c r="D88" s="50" t="n"/>
      <c r="E88" s="50" t="n"/>
      <c r="F88" s="50" t="n"/>
      <c r="G88" s="50" t="n"/>
      <c r="H88" s="50" t="n"/>
      <c r="I88" s="52" t="n"/>
      <c r="J88" s="135" t="n"/>
      <c r="K88" s="135" t="n"/>
      <c r="L88" s="50" t="n"/>
    </row>
    <row r="89">
      <c r="B89" s="135" t="n"/>
      <c r="C89" s="50" t="n"/>
      <c r="D89" s="50" t="n"/>
      <c r="E89" s="50" t="n"/>
      <c r="F89" s="50" t="n"/>
      <c r="G89" s="50" t="n"/>
      <c r="H89" s="50" t="n"/>
      <c r="I89" s="52" t="n"/>
      <c r="J89" s="135" t="n"/>
      <c r="K89" s="135" t="n"/>
      <c r="L89" s="50" t="n"/>
    </row>
    <row r="90">
      <c r="B90" s="135" t="n"/>
      <c r="C90" s="50" t="n"/>
      <c r="D90" s="50" t="n"/>
      <c r="E90" s="50" t="n"/>
      <c r="F90" s="50" t="n"/>
      <c r="G90" s="50" t="n"/>
      <c r="H90" s="50" t="n"/>
      <c r="I90" s="52" t="n"/>
      <c r="J90" s="135" t="n"/>
      <c r="K90" s="135" t="n"/>
      <c r="L90" s="50" t="n"/>
    </row>
    <row r="91">
      <c r="B91" s="135" t="n"/>
      <c r="C91" s="50" t="n"/>
      <c r="D91" s="50" t="n"/>
      <c r="E91" s="50" t="n"/>
      <c r="F91" s="50" t="n"/>
      <c r="G91" s="50" t="n"/>
      <c r="H91" s="50" t="n"/>
      <c r="I91" s="52" t="n"/>
      <c r="J91" s="135" t="n"/>
      <c r="K91" s="135" t="n"/>
      <c r="L91" s="50" t="n"/>
    </row>
    <row r="92">
      <c r="B92" s="135" t="n"/>
      <c r="C92" s="50" t="n"/>
      <c r="D92" s="50" t="n"/>
      <c r="E92" s="50" t="n"/>
      <c r="F92" s="50" t="n"/>
      <c r="G92" s="50" t="n"/>
      <c r="H92" s="50" t="n"/>
      <c r="I92" s="52" t="n"/>
      <c r="J92" s="135" t="n"/>
      <c r="K92" s="135" t="n"/>
      <c r="L92" s="50" t="n"/>
    </row>
    <row r="93">
      <c r="B93" s="135" t="n"/>
      <c r="C93" s="50" t="n"/>
      <c r="D93" s="50" t="n"/>
      <c r="E93" s="50" t="n"/>
      <c r="F93" s="50" t="n"/>
      <c r="G93" s="50" t="n"/>
      <c r="H93" s="50" t="n"/>
      <c r="I93" s="52" t="n"/>
      <c r="J93" s="135" t="n"/>
      <c r="K93" s="135" t="n"/>
      <c r="L93" s="50" t="n"/>
    </row>
    <row r="94">
      <c r="B94" s="135" t="n"/>
      <c r="C94" s="50" t="n"/>
      <c r="D94" s="50" t="n"/>
      <c r="E94" s="50" t="n"/>
      <c r="F94" s="50" t="n"/>
      <c r="G94" s="50" t="n"/>
      <c r="H94" s="50" t="n"/>
      <c r="I94" s="52" t="n"/>
      <c r="J94" s="135" t="n"/>
      <c r="K94" s="135" t="n"/>
      <c r="L94" s="50" t="n"/>
    </row>
    <row r="95">
      <c r="B95" s="135" t="n"/>
      <c r="C95" s="50" t="n"/>
      <c r="D95" s="50" t="n"/>
      <c r="E95" s="50" t="n"/>
      <c r="F95" s="50" t="n"/>
      <c r="G95" s="50" t="n"/>
      <c r="H95" s="50" t="n"/>
      <c r="I95" s="52" t="n"/>
      <c r="J95" s="135" t="n"/>
      <c r="K95" s="135" t="n"/>
      <c r="L95" s="50" t="n"/>
    </row>
    <row r="96">
      <c r="B96" s="135" t="n"/>
      <c r="C96" s="50" t="n"/>
      <c r="D96" s="50" t="n"/>
      <c r="E96" s="50" t="n"/>
      <c r="F96" s="50" t="n"/>
      <c r="G96" s="50" t="n"/>
      <c r="H96" s="50" t="n"/>
      <c r="I96" s="52" t="n"/>
      <c r="J96" s="135" t="n"/>
      <c r="K96" s="135" t="n"/>
      <c r="L96" s="50" t="n"/>
    </row>
    <row r="97">
      <c r="B97" s="135" t="n"/>
      <c r="C97" s="50" t="n"/>
      <c r="D97" s="50" t="n"/>
      <c r="E97" s="50" t="n"/>
      <c r="F97" s="50" t="n"/>
      <c r="G97" s="50" t="n"/>
      <c r="H97" s="50" t="n"/>
      <c r="I97" s="52" t="n"/>
      <c r="J97" s="135" t="n"/>
      <c r="K97" s="135" t="n"/>
      <c r="L97" s="50" t="n"/>
    </row>
    <row r="98">
      <c r="B98" s="135" t="n"/>
      <c r="C98" s="50" t="n"/>
      <c r="D98" s="50" t="n"/>
      <c r="E98" s="50" t="n"/>
      <c r="F98" s="50" t="n"/>
      <c r="G98" s="50" t="n"/>
      <c r="H98" s="50" t="n"/>
      <c r="I98" s="52" t="n"/>
      <c r="J98" s="135" t="n"/>
      <c r="K98" s="135" t="n"/>
      <c r="L98" s="50" t="n"/>
    </row>
    <row r="99">
      <c r="B99" s="135" t="n"/>
      <c r="C99" s="50" t="n"/>
      <c r="D99" s="50" t="n"/>
      <c r="E99" s="50" t="n"/>
      <c r="F99" s="50" t="n"/>
      <c r="G99" s="50" t="n"/>
      <c r="H99" s="50" t="n"/>
      <c r="I99" s="52" t="n"/>
      <c r="J99" s="135" t="n"/>
      <c r="K99" s="135" t="n"/>
      <c r="L99" s="50" t="n"/>
    </row>
    <row r="100">
      <c r="B100" s="135" t="n"/>
      <c r="C100" s="50" t="n"/>
      <c r="D100" s="50" t="n"/>
      <c r="E100" s="50" t="n"/>
      <c r="F100" s="50" t="n"/>
      <c r="G100" s="50" t="n"/>
      <c r="H100" s="50" t="n"/>
      <c r="I100" s="52" t="n"/>
      <c r="J100" s="135" t="n"/>
      <c r="K100" s="135" t="n"/>
      <c r="L100" s="50" t="n"/>
    </row>
    <row r="101">
      <c r="B101" s="135" t="n"/>
      <c r="C101" s="50" t="n"/>
      <c r="D101" s="50" t="n"/>
      <c r="E101" s="50" t="n"/>
      <c r="F101" s="50" t="n"/>
      <c r="G101" s="50" t="n"/>
      <c r="H101" s="50" t="n"/>
      <c r="I101" s="52" t="n"/>
      <c r="J101" s="135" t="n"/>
      <c r="K101" s="135" t="n"/>
      <c r="L101" s="50" t="n"/>
    </row>
    <row r="102">
      <c r="B102" s="135" t="n"/>
      <c r="C102" s="50" t="n"/>
      <c r="D102" s="50" t="n"/>
      <c r="E102" s="50" t="n"/>
      <c r="F102" s="50" t="n"/>
      <c r="G102" s="50" t="n"/>
      <c r="H102" s="50" t="n"/>
      <c r="I102" s="52" t="n"/>
      <c r="J102" s="135" t="n"/>
      <c r="K102" s="135" t="n"/>
      <c r="L102" s="50" t="n"/>
    </row>
    <row r="103">
      <c r="B103" s="135" t="n"/>
      <c r="C103" s="50" t="n"/>
      <c r="D103" s="50" t="n"/>
      <c r="E103" s="50" t="n"/>
      <c r="F103" s="50" t="n"/>
      <c r="G103" s="50" t="n"/>
      <c r="H103" s="50" t="n"/>
      <c r="I103" s="52" t="n"/>
      <c r="J103" s="135" t="n"/>
      <c r="K103" s="135" t="n"/>
      <c r="L103" s="50" t="n"/>
    </row>
    <row r="104">
      <c r="B104" s="135" t="n"/>
      <c r="C104" s="50" t="n"/>
      <c r="D104" s="50" t="n"/>
      <c r="E104" s="50" t="n"/>
      <c r="F104" s="50" t="n"/>
      <c r="G104" s="50" t="n"/>
      <c r="H104" s="50" t="n"/>
      <c r="I104" s="52" t="n"/>
      <c r="J104" s="135" t="n"/>
      <c r="K104" s="135" t="n"/>
      <c r="L104" s="50" t="n"/>
    </row>
    <row r="105">
      <c r="B105" s="135" t="n"/>
      <c r="C105" s="50" t="n"/>
      <c r="D105" s="50" t="n"/>
      <c r="E105" s="50" t="n"/>
      <c r="F105" s="50" t="n"/>
      <c r="G105" s="50" t="n"/>
      <c r="H105" s="50" t="n"/>
      <c r="I105" s="52" t="n"/>
      <c r="J105" s="135" t="n"/>
      <c r="K105" s="135" t="n"/>
      <c r="L105" s="50" t="n"/>
    </row>
    <row r="106">
      <c r="B106" s="135" t="n"/>
      <c r="C106" s="50" t="n"/>
      <c r="D106" s="50" t="n"/>
      <c r="E106" s="50" t="n"/>
      <c r="F106" s="50" t="n"/>
      <c r="G106" s="50" t="n"/>
      <c r="H106" s="50" t="n"/>
      <c r="I106" s="52" t="n"/>
      <c r="J106" s="135" t="n"/>
      <c r="K106" s="135" t="n"/>
      <c r="L106" s="50" t="n"/>
    </row>
    <row r="107">
      <c r="B107" s="135" t="n"/>
      <c r="C107" s="50" t="n"/>
      <c r="D107" s="50" t="n"/>
      <c r="E107" s="50" t="n"/>
      <c r="F107" s="50" t="n"/>
      <c r="G107" s="50" t="n"/>
      <c r="H107" s="50" t="n"/>
      <c r="I107" s="52" t="n"/>
      <c r="J107" s="135" t="n"/>
      <c r="K107" s="135" t="n"/>
      <c r="L107" s="50" t="n"/>
    </row>
    <row r="108">
      <c r="B108" s="135" t="n"/>
      <c r="C108" s="50" t="n"/>
      <c r="D108" s="50" t="n"/>
      <c r="E108" s="50" t="n"/>
      <c r="F108" s="50" t="n"/>
      <c r="G108" s="50" t="n"/>
      <c r="H108" s="50" t="n"/>
      <c r="I108" s="52" t="n"/>
      <c r="J108" s="135" t="n"/>
      <c r="K108" s="135" t="n"/>
      <c r="L108" s="50" t="n"/>
    </row>
    <row r="109">
      <c r="B109" s="135" t="n"/>
      <c r="C109" s="50" t="n"/>
      <c r="D109" s="50" t="n"/>
      <c r="E109" s="50" t="n"/>
      <c r="F109" s="50" t="n"/>
      <c r="G109" s="50" t="n"/>
      <c r="H109" s="50" t="n"/>
      <c r="I109" s="52" t="n"/>
      <c r="J109" s="135" t="n"/>
      <c r="K109" s="135" t="n"/>
      <c r="L109" s="50" t="n"/>
    </row>
    <row r="110">
      <c r="B110" s="135" t="n"/>
      <c r="C110" s="50" t="n"/>
      <c r="D110" s="50" t="n"/>
      <c r="E110" s="50" t="n"/>
      <c r="F110" s="50" t="n"/>
      <c r="G110" s="50" t="n"/>
      <c r="H110" s="50" t="n"/>
      <c r="I110" s="52" t="n"/>
      <c r="J110" s="135" t="n"/>
      <c r="K110" s="135" t="n"/>
      <c r="L110" s="50" t="n"/>
    </row>
    <row r="111">
      <c r="B111" s="135" t="n"/>
      <c r="C111" s="50" t="n"/>
      <c r="D111" s="50" t="n"/>
      <c r="E111" s="50" t="n"/>
      <c r="F111" s="50" t="n"/>
      <c r="G111" s="50" t="n"/>
      <c r="H111" s="50" t="n"/>
      <c r="I111" s="52" t="n"/>
      <c r="J111" s="135" t="n"/>
      <c r="K111" s="135" t="n"/>
      <c r="L111" s="50" t="n"/>
    </row>
    <row r="112">
      <c r="B112" s="135" t="n"/>
      <c r="C112" s="50" t="n"/>
      <c r="D112" s="50" t="n"/>
      <c r="E112" s="50" t="n"/>
      <c r="F112" s="50" t="n"/>
      <c r="G112" s="50" t="n"/>
      <c r="H112" s="50" t="n"/>
      <c r="I112" s="52" t="n"/>
      <c r="J112" s="135" t="n"/>
      <c r="K112" s="135" t="n"/>
      <c r="L112" s="50" t="n"/>
    </row>
    <row r="113">
      <c r="B113" s="135" t="n"/>
      <c r="C113" s="50" t="n"/>
      <c r="D113" s="50" t="n"/>
      <c r="E113" s="50" t="n"/>
      <c r="F113" s="50" t="n"/>
      <c r="G113" s="50" t="n"/>
      <c r="H113" s="50" t="n"/>
      <c r="I113" s="52" t="n"/>
      <c r="J113" s="135" t="n"/>
      <c r="K113" s="135" t="n"/>
      <c r="L113" s="50" t="n"/>
    </row>
    <row r="114">
      <c r="B114" s="135" t="n"/>
      <c r="C114" s="50" t="n"/>
      <c r="D114" s="50" t="n"/>
      <c r="E114" s="50" t="n"/>
      <c r="F114" s="50" t="n"/>
      <c r="G114" s="50" t="n"/>
      <c r="H114" s="50" t="n"/>
      <c r="I114" s="52" t="n"/>
      <c r="J114" s="135" t="n"/>
      <c r="K114" s="135" t="n"/>
      <c r="L114" s="50" t="n"/>
    </row>
    <row r="115">
      <c r="B115" s="135" t="n"/>
      <c r="C115" s="50" t="n"/>
      <c r="D115" s="50" t="n"/>
      <c r="E115" s="50" t="n"/>
      <c r="F115" s="50" t="n"/>
      <c r="G115" s="50" t="n"/>
      <c r="H115" s="50" t="n"/>
      <c r="I115" s="52" t="n"/>
      <c r="J115" s="135" t="n"/>
      <c r="K115" s="135" t="n"/>
      <c r="L115" s="50" t="n"/>
    </row>
    <row r="116">
      <c r="B116" s="135" t="n"/>
      <c r="C116" s="50" t="n"/>
      <c r="D116" s="50" t="n"/>
      <c r="E116" s="50" t="n"/>
      <c r="F116" s="50" t="n"/>
      <c r="G116" s="50" t="n"/>
      <c r="H116" s="50" t="n"/>
      <c r="I116" s="52" t="n"/>
      <c r="J116" s="135" t="n"/>
      <c r="K116" s="135" t="n"/>
      <c r="L116" s="50" t="n"/>
    </row>
    <row r="117">
      <c r="B117" s="135" t="n"/>
      <c r="C117" s="50" t="n"/>
      <c r="D117" s="50" t="n"/>
      <c r="E117" s="50" t="n"/>
      <c r="F117" s="50" t="n"/>
      <c r="G117" s="50" t="n"/>
      <c r="H117" s="50" t="n"/>
      <c r="I117" s="52" t="n"/>
      <c r="J117" s="135" t="n"/>
      <c r="K117" s="135" t="n"/>
      <c r="L117" s="50" t="n"/>
    </row>
    <row r="118">
      <c r="B118" s="135" t="n"/>
      <c r="C118" s="50" t="n"/>
      <c r="D118" s="50" t="n"/>
      <c r="E118" s="50" t="n"/>
      <c r="F118" s="50" t="n"/>
      <c r="G118" s="50" t="n"/>
      <c r="H118" s="50" t="n"/>
      <c r="I118" s="52" t="n"/>
      <c r="J118" s="135" t="n"/>
      <c r="K118" s="135" t="n"/>
      <c r="L118" s="50" t="n"/>
    </row>
    <row r="119">
      <c r="B119" s="135" t="n"/>
      <c r="C119" s="50" t="n"/>
      <c r="D119" s="50" t="n"/>
      <c r="E119" s="50" t="n"/>
      <c r="F119" s="50" t="n"/>
      <c r="G119" s="50" t="n"/>
      <c r="H119" s="50" t="n"/>
      <c r="I119" s="52" t="n"/>
      <c r="J119" s="135" t="n"/>
      <c r="K119" s="135" t="n"/>
      <c r="L119" s="50" t="n"/>
    </row>
    <row r="120">
      <c r="B120" s="135" t="n"/>
      <c r="C120" s="50" t="n"/>
      <c r="D120" s="50" t="n"/>
      <c r="E120" s="50" t="n"/>
      <c r="F120" s="50" t="n"/>
      <c r="G120" s="50" t="n"/>
      <c r="H120" s="50" t="n"/>
      <c r="I120" s="52" t="n"/>
      <c r="J120" s="135" t="n"/>
      <c r="K120" s="135" t="n"/>
      <c r="L120" s="50" t="n"/>
    </row>
    <row r="121">
      <c r="B121" s="135" t="n"/>
      <c r="C121" s="50" t="n"/>
      <c r="D121" s="50" t="n"/>
      <c r="E121" s="50" t="n"/>
      <c r="F121" s="50" t="n"/>
      <c r="G121" s="50" t="n"/>
      <c r="H121" s="50" t="n"/>
      <c r="I121" s="52" t="n"/>
      <c r="J121" s="135" t="n"/>
      <c r="K121" s="135" t="n"/>
      <c r="L121" s="50" t="n"/>
    </row>
    <row r="122">
      <c r="B122" s="135" t="n"/>
      <c r="C122" s="50" t="n"/>
      <c r="D122" s="50" t="n"/>
      <c r="E122" s="50" t="n"/>
      <c r="F122" s="50" t="n"/>
      <c r="G122" s="50" t="n"/>
      <c r="H122" s="50" t="n"/>
      <c r="I122" s="52" t="n"/>
      <c r="J122" s="135" t="n"/>
      <c r="K122" s="135" t="n"/>
      <c r="L122" s="50" t="n"/>
    </row>
    <row r="123">
      <c r="B123" s="135" t="n"/>
      <c r="C123" s="50" t="n"/>
      <c r="D123" s="50" t="n"/>
      <c r="E123" s="50" t="n"/>
      <c r="F123" s="50" t="n"/>
      <c r="G123" s="50" t="n"/>
      <c r="H123" s="50" t="n"/>
      <c r="I123" s="52" t="n"/>
      <c r="J123" s="135" t="n"/>
      <c r="K123" s="135" t="n"/>
      <c r="L123" s="50" t="n"/>
    </row>
    <row r="124">
      <c r="B124" s="135" t="n"/>
      <c r="C124" s="50" t="n"/>
      <c r="D124" s="50" t="n"/>
      <c r="E124" s="50" t="n"/>
      <c r="F124" s="50" t="n"/>
      <c r="G124" s="50" t="n"/>
      <c r="H124" s="50" t="n"/>
      <c r="I124" s="52" t="n"/>
      <c r="J124" s="135" t="n"/>
      <c r="K124" s="135" t="n"/>
      <c r="L124" s="50" t="n"/>
    </row>
    <row r="125">
      <c r="B125" s="135" t="n"/>
      <c r="C125" s="50" t="n"/>
      <c r="D125" s="50" t="n"/>
      <c r="E125" s="50" t="n"/>
      <c r="F125" s="50" t="n"/>
      <c r="G125" s="50" t="n"/>
      <c r="H125" s="50" t="n"/>
      <c r="I125" s="52" t="n"/>
      <c r="J125" s="135" t="n"/>
      <c r="K125" s="135" t="n"/>
      <c r="L125" s="50" t="n"/>
    </row>
    <row r="126">
      <c r="B126" s="135" t="n"/>
      <c r="C126" s="50" t="n"/>
      <c r="D126" s="50" t="n"/>
      <c r="E126" s="50" t="n"/>
      <c r="F126" s="50" t="n"/>
      <c r="G126" s="50" t="n"/>
      <c r="H126" s="50" t="n"/>
      <c r="I126" s="52" t="n"/>
      <c r="J126" s="135" t="n"/>
      <c r="K126" s="135" t="n"/>
      <c r="L126" s="50" t="n"/>
    </row>
    <row r="127">
      <c r="B127" s="135" t="n"/>
      <c r="C127" s="50" t="n"/>
      <c r="D127" s="50" t="n"/>
      <c r="E127" s="50" t="n"/>
      <c r="F127" s="50" t="n"/>
      <c r="G127" s="50" t="n"/>
      <c r="H127" s="50" t="n"/>
      <c r="I127" s="52" t="n"/>
      <c r="J127" s="135" t="n"/>
      <c r="K127" s="135" t="n"/>
      <c r="L127" s="50" t="n"/>
    </row>
    <row r="128">
      <c r="B128" s="135" t="n"/>
      <c r="C128" s="50" t="n"/>
      <c r="D128" s="50" t="n"/>
      <c r="E128" s="50" t="n"/>
      <c r="F128" s="50" t="n"/>
      <c r="G128" s="50" t="n"/>
      <c r="H128" s="50" t="n"/>
      <c r="I128" s="52" t="n"/>
      <c r="J128" s="135" t="n"/>
      <c r="K128" s="135" t="n"/>
      <c r="L128" s="50" t="n"/>
    </row>
    <row r="129">
      <c r="B129" s="135" t="n"/>
      <c r="C129" s="50" t="n"/>
      <c r="D129" s="50" t="n"/>
      <c r="E129" s="50" t="n"/>
      <c r="F129" s="50" t="n"/>
      <c r="G129" s="50" t="n"/>
      <c r="H129" s="50" t="n"/>
      <c r="I129" s="52" t="n"/>
      <c r="J129" s="135" t="n"/>
      <c r="K129" s="135" t="n"/>
      <c r="L129" s="50" t="n"/>
    </row>
    <row r="130">
      <c r="B130" s="135" t="n"/>
      <c r="C130" s="50" t="n"/>
      <c r="D130" s="50" t="n"/>
      <c r="E130" s="50" t="n"/>
      <c r="F130" s="50" t="n"/>
      <c r="G130" s="50" t="n"/>
      <c r="H130" s="50" t="n"/>
      <c r="I130" s="52" t="n"/>
      <c r="J130" s="135" t="n"/>
      <c r="K130" s="135" t="n"/>
      <c r="L130" s="50" t="n"/>
    </row>
    <row r="131">
      <c r="B131" s="135" t="n"/>
      <c r="C131" s="50" t="n"/>
      <c r="D131" s="50" t="n"/>
      <c r="E131" s="50" t="n"/>
      <c r="F131" s="50" t="n"/>
      <c r="G131" s="50" t="n"/>
      <c r="H131" s="50" t="n"/>
      <c r="I131" s="52" t="n"/>
      <c r="J131" s="135" t="n"/>
      <c r="K131" s="135" t="n"/>
      <c r="L131" s="50" t="n"/>
    </row>
    <row r="132">
      <c r="B132" s="135" t="n"/>
      <c r="C132" s="50" t="n"/>
      <c r="D132" s="50" t="n"/>
      <c r="E132" s="50" t="n"/>
      <c r="F132" s="50" t="n"/>
      <c r="G132" s="50" t="n"/>
      <c r="H132" s="50" t="n"/>
      <c r="I132" s="52" t="n"/>
      <c r="J132" s="135" t="n"/>
      <c r="K132" s="135" t="n"/>
      <c r="L132" s="50" t="n"/>
    </row>
    <row r="133">
      <c r="B133" s="135" t="n"/>
      <c r="C133" s="50" t="n"/>
      <c r="D133" s="50" t="n"/>
      <c r="E133" s="50" t="n"/>
      <c r="F133" s="50" t="n"/>
      <c r="G133" s="50" t="n"/>
      <c r="H133" s="50" t="n"/>
      <c r="I133" s="52" t="n"/>
      <c r="J133" s="135" t="n"/>
      <c r="K133" s="135" t="n"/>
      <c r="L133" s="50" t="n"/>
    </row>
    <row r="134">
      <c r="B134" s="135" t="n"/>
      <c r="C134" s="50" t="n"/>
      <c r="D134" s="50" t="n"/>
      <c r="E134" s="50" t="n"/>
      <c r="F134" s="50" t="n"/>
      <c r="G134" s="50" t="n"/>
      <c r="H134" s="50" t="n"/>
      <c r="I134" s="52" t="n"/>
      <c r="J134" s="135" t="n"/>
      <c r="K134" s="135" t="n"/>
      <c r="L134" s="50" t="n"/>
    </row>
    <row r="135">
      <c r="B135" s="135" t="n"/>
      <c r="C135" s="50" t="n"/>
      <c r="D135" s="50" t="n"/>
      <c r="E135" s="50" t="n"/>
      <c r="F135" s="50" t="n"/>
      <c r="G135" s="50" t="n"/>
      <c r="H135" s="50" t="n"/>
      <c r="I135" s="52" t="n"/>
      <c r="J135" s="135" t="n"/>
      <c r="K135" s="135" t="n"/>
      <c r="L135" s="50" t="n"/>
    </row>
    <row r="136">
      <c r="B136" s="135" t="n"/>
      <c r="C136" s="50" t="n"/>
      <c r="D136" s="50" t="n"/>
      <c r="E136" s="50" t="n"/>
      <c r="F136" s="50" t="n"/>
      <c r="G136" s="50" t="n"/>
      <c r="H136" s="50" t="n"/>
      <c r="I136" s="52" t="n"/>
      <c r="J136" s="135" t="n"/>
      <c r="K136" s="135" t="n"/>
      <c r="L136" s="50" t="n"/>
    </row>
    <row r="137">
      <c r="B137" s="135" t="n"/>
      <c r="C137" s="50" t="n"/>
      <c r="D137" s="50" t="n"/>
      <c r="E137" s="50" t="n"/>
      <c r="F137" s="50" t="n"/>
      <c r="G137" s="50" t="n"/>
      <c r="H137" s="50" t="n"/>
      <c r="I137" s="52" t="n"/>
      <c r="J137" s="135" t="n"/>
      <c r="K137" s="135" t="n"/>
      <c r="L137" s="50" t="n"/>
    </row>
    <row r="138">
      <c r="B138" s="135" t="n"/>
      <c r="C138" s="50" t="n"/>
      <c r="D138" s="50" t="n"/>
      <c r="E138" s="50" t="n"/>
      <c r="F138" s="50" t="n"/>
      <c r="G138" s="50" t="n"/>
      <c r="H138" s="50" t="n"/>
      <c r="I138" s="52" t="n"/>
      <c r="J138" s="135" t="n"/>
      <c r="K138" s="135" t="n"/>
      <c r="L138" s="50" t="n"/>
    </row>
    <row r="139">
      <c r="B139" s="135" t="n"/>
      <c r="C139" s="50" t="n"/>
      <c r="D139" s="50" t="n"/>
      <c r="E139" s="50" t="n"/>
      <c r="F139" s="50" t="n"/>
      <c r="G139" s="50" t="n"/>
      <c r="H139" s="50" t="n"/>
      <c r="I139" s="52" t="n"/>
      <c r="J139" s="135" t="n"/>
      <c r="K139" s="135" t="n"/>
      <c r="L139" s="50" t="n"/>
    </row>
    <row r="140">
      <c r="B140" s="135" t="n"/>
      <c r="C140" s="50" t="n"/>
      <c r="D140" s="50" t="n"/>
      <c r="E140" s="50" t="n"/>
      <c r="F140" s="50" t="n"/>
      <c r="G140" s="50" t="n"/>
      <c r="H140" s="50" t="n"/>
      <c r="I140" s="52" t="n"/>
      <c r="J140" s="135" t="n"/>
      <c r="K140" s="135" t="n"/>
      <c r="L140" s="50" t="n"/>
    </row>
    <row r="141">
      <c r="B141" s="135" t="n"/>
      <c r="C141" s="50" t="n"/>
      <c r="D141" s="50" t="n"/>
      <c r="E141" s="50" t="n"/>
      <c r="F141" s="50" t="n"/>
      <c r="G141" s="50" t="n"/>
      <c r="H141" s="50" t="n"/>
      <c r="I141" s="52" t="n"/>
      <c r="J141" s="135" t="n"/>
      <c r="K141" s="135" t="n"/>
      <c r="L141" s="50" t="n"/>
    </row>
    <row r="142">
      <c r="B142" s="135" t="n"/>
      <c r="C142" s="50" t="n"/>
      <c r="D142" s="50" t="n"/>
      <c r="E142" s="50" t="n"/>
      <c r="F142" s="50" t="n"/>
      <c r="G142" s="50" t="n"/>
      <c r="H142" s="50" t="n"/>
      <c r="I142" s="52" t="n"/>
      <c r="J142" s="135" t="n"/>
      <c r="K142" s="135" t="n"/>
      <c r="L142" s="50" t="n"/>
    </row>
    <row r="143">
      <c r="B143" s="135" t="n"/>
      <c r="C143" s="50" t="n"/>
      <c r="D143" s="50" t="n"/>
      <c r="E143" s="50" t="n"/>
      <c r="F143" s="50" t="n"/>
      <c r="G143" s="50" t="n"/>
      <c r="H143" s="50" t="n"/>
      <c r="I143" s="52" t="n"/>
      <c r="J143" s="135" t="n"/>
      <c r="K143" s="135" t="n"/>
      <c r="L143" s="50" t="n"/>
    </row>
    <row r="144">
      <c r="B144" s="135" t="n"/>
      <c r="C144" s="50" t="n"/>
      <c r="D144" s="50" t="n"/>
      <c r="E144" s="50" t="n"/>
      <c r="F144" s="50" t="n"/>
      <c r="G144" s="50" t="n"/>
      <c r="H144" s="50" t="n"/>
      <c r="I144" s="52" t="n"/>
      <c r="J144" s="135" t="n"/>
      <c r="K144" s="135" t="n"/>
      <c r="L144" s="50" t="n"/>
    </row>
    <row r="145">
      <c r="B145" s="135" t="n"/>
      <c r="C145" s="50" t="n"/>
      <c r="D145" s="50" t="n"/>
      <c r="E145" s="50" t="n"/>
      <c r="F145" s="50" t="n"/>
      <c r="G145" s="50" t="n"/>
      <c r="H145" s="50" t="n"/>
      <c r="I145" s="52" t="n"/>
      <c r="J145" s="135" t="n"/>
      <c r="K145" s="135" t="n"/>
      <c r="L145" s="50" t="n"/>
    </row>
    <row r="146">
      <c r="B146" s="135" t="n"/>
      <c r="C146" s="50" t="n"/>
      <c r="D146" s="50" t="n"/>
      <c r="E146" s="50" t="n"/>
      <c r="F146" s="50" t="n"/>
      <c r="G146" s="50" t="n"/>
      <c r="H146" s="50" t="n"/>
      <c r="I146" s="52" t="n"/>
      <c r="J146" s="135" t="n"/>
      <c r="K146" s="135" t="n"/>
      <c r="L146" s="50" t="n"/>
    </row>
    <row r="147">
      <c r="B147" s="135" t="n"/>
      <c r="C147" s="50" t="n"/>
      <c r="D147" s="50" t="n"/>
      <c r="E147" s="50" t="n"/>
      <c r="F147" s="50" t="n"/>
      <c r="G147" s="50" t="n"/>
      <c r="H147" s="50" t="n"/>
      <c r="I147" s="52" t="n"/>
      <c r="J147" s="135" t="n"/>
      <c r="K147" s="135" t="n"/>
      <c r="L147" s="50" t="n"/>
    </row>
    <row r="148">
      <c r="B148" s="135" t="n"/>
      <c r="C148" s="50" t="n"/>
      <c r="D148" s="50" t="n"/>
      <c r="E148" s="50" t="n"/>
      <c r="F148" s="50" t="n"/>
      <c r="G148" s="50" t="n"/>
      <c r="H148" s="50" t="n"/>
      <c r="I148" s="52" t="n"/>
      <c r="J148" s="135" t="n"/>
      <c r="K148" s="135" t="n"/>
      <c r="L148" s="50" t="n"/>
    </row>
    <row r="149">
      <c r="B149" s="135" t="n"/>
      <c r="C149" s="50" t="n"/>
      <c r="D149" s="50" t="n"/>
      <c r="E149" s="50" t="n"/>
      <c r="F149" s="50" t="n"/>
      <c r="G149" s="50" t="n"/>
      <c r="H149" s="50" t="n"/>
      <c r="I149" s="52" t="n"/>
      <c r="J149" s="135" t="n"/>
      <c r="K149" s="135" t="n"/>
      <c r="L149" s="50" t="n"/>
    </row>
    <row r="150">
      <c r="B150" s="135" t="n"/>
      <c r="C150" s="50" t="n"/>
      <c r="D150" s="50" t="n"/>
      <c r="E150" s="50" t="n"/>
      <c r="F150" s="50" t="n"/>
      <c r="G150" s="50" t="n"/>
      <c r="H150" s="50" t="n"/>
      <c r="I150" s="52" t="n"/>
      <c r="J150" s="135" t="n"/>
      <c r="K150" s="135" t="n"/>
      <c r="L150" s="50" t="n"/>
    </row>
    <row r="151">
      <c r="B151" s="135" t="n"/>
      <c r="C151" s="50" t="n"/>
      <c r="D151" s="50" t="n"/>
      <c r="E151" s="50" t="n"/>
      <c r="F151" s="50" t="n"/>
      <c r="G151" s="50" t="n"/>
      <c r="H151" s="50" t="n"/>
      <c r="I151" s="52" t="n"/>
      <c r="J151" s="135" t="n"/>
      <c r="K151" s="135" t="n"/>
      <c r="L151" s="50" t="n"/>
    </row>
    <row r="152">
      <c r="B152" s="135" t="n"/>
      <c r="C152" s="50" t="n"/>
      <c r="D152" s="50" t="n"/>
      <c r="E152" s="50" t="n"/>
      <c r="F152" s="50" t="n"/>
      <c r="G152" s="50" t="n"/>
      <c r="H152" s="50" t="n"/>
      <c r="I152" s="52" t="n"/>
      <c r="J152" s="135" t="n"/>
      <c r="K152" s="135" t="n"/>
      <c r="L152" s="50" t="n"/>
    </row>
    <row r="153">
      <c r="B153" s="135" t="n"/>
      <c r="C153" s="50" t="n"/>
      <c r="D153" s="50" t="n"/>
      <c r="E153" s="50" t="n"/>
      <c r="F153" s="50" t="n"/>
      <c r="G153" s="50" t="n"/>
      <c r="H153" s="50" t="n"/>
      <c r="I153" s="52" t="n"/>
      <c r="J153" s="135" t="n"/>
      <c r="K153" s="135" t="n"/>
      <c r="L153" s="50" t="n"/>
    </row>
    <row r="154">
      <c r="B154" s="135" t="n"/>
      <c r="C154" s="50" t="n"/>
      <c r="D154" s="50" t="n"/>
      <c r="E154" s="50" t="n"/>
      <c r="F154" s="50" t="n"/>
      <c r="G154" s="50" t="n"/>
      <c r="H154" s="50" t="n"/>
      <c r="I154" s="52" t="n"/>
      <c r="J154" s="135" t="n"/>
      <c r="K154" s="135" t="n"/>
      <c r="L154" s="50" t="n"/>
    </row>
    <row r="155">
      <c r="B155" s="135" t="n"/>
      <c r="C155" s="50" t="n"/>
      <c r="D155" s="50" t="n"/>
      <c r="E155" s="50" t="n"/>
      <c r="F155" s="50" t="n"/>
      <c r="G155" s="50" t="n"/>
      <c r="H155" s="50" t="n"/>
      <c r="I155" s="52" t="n"/>
      <c r="J155" s="135" t="n"/>
      <c r="K155" s="135" t="n"/>
      <c r="L155" s="50" t="n"/>
    </row>
    <row r="156">
      <c r="B156" s="135" t="n"/>
      <c r="C156" s="50" t="n"/>
      <c r="D156" s="50" t="n"/>
      <c r="E156" s="50" t="n"/>
      <c r="F156" s="50" t="n"/>
      <c r="G156" s="50" t="n"/>
      <c r="H156" s="50" t="n"/>
      <c r="I156" s="52" t="n"/>
      <c r="J156" s="135" t="n"/>
      <c r="K156" s="135" t="n"/>
      <c r="L156" s="50" t="n"/>
    </row>
    <row r="157">
      <c r="B157" s="135" t="n"/>
      <c r="C157" s="50" t="n"/>
      <c r="D157" s="50" t="n"/>
      <c r="E157" s="50" t="n"/>
      <c r="F157" s="50" t="n"/>
      <c r="G157" s="50" t="n"/>
      <c r="H157" s="50" t="n"/>
      <c r="I157" s="52" t="n"/>
      <c r="J157" s="135" t="n"/>
      <c r="K157" s="135" t="n"/>
      <c r="L157" s="50" t="n"/>
    </row>
    <row r="158">
      <c r="B158" s="135" t="n"/>
      <c r="C158" s="50" t="n"/>
      <c r="D158" s="50" t="n"/>
      <c r="E158" s="50" t="n"/>
      <c r="F158" s="50" t="n"/>
      <c r="G158" s="50" t="n"/>
      <c r="H158" s="50" t="n"/>
      <c r="I158" s="52" t="n"/>
      <c r="J158" s="135" t="n"/>
      <c r="K158" s="135" t="n"/>
      <c r="L158" s="50" t="n"/>
    </row>
    <row r="159">
      <c r="B159" s="135" t="n"/>
      <c r="C159" s="50" t="n"/>
      <c r="D159" s="50" t="n"/>
      <c r="E159" s="50" t="n"/>
      <c r="F159" s="50" t="n"/>
      <c r="G159" s="50" t="n"/>
      <c r="H159" s="50" t="n"/>
      <c r="I159" s="52" t="n"/>
      <c r="J159" s="135" t="n"/>
      <c r="K159" s="135" t="n"/>
      <c r="L159" s="50" t="n"/>
    </row>
    <row r="160">
      <c r="B160" s="135" t="n"/>
      <c r="C160" s="50" t="n"/>
      <c r="D160" s="50" t="n"/>
      <c r="E160" s="50" t="n"/>
      <c r="F160" s="50" t="n"/>
      <c r="G160" s="50" t="n"/>
      <c r="H160" s="50" t="n"/>
      <c r="I160" s="52" t="n"/>
      <c r="J160" s="135" t="n"/>
      <c r="K160" s="135" t="n"/>
      <c r="L160" s="50" t="n"/>
    </row>
    <row r="161">
      <c r="B161" s="135" t="n"/>
      <c r="C161" s="50" t="n"/>
      <c r="D161" s="50" t="n"/>
      <c r="E161" s="50" t="n"/>
      <c r="F161" s="50" t="n"/>
      <c r="G161" s="50" t="n"/>
      <c r="H161" s="50" t="n"/>
      <c r="I161" s="52" t="n"/>
      <c r="J161" s="135" t="n"/>
      <c r="K161" s="135" t="n"/>
      <c r="L161" s="50" t="n"/>
    </row>
    <row r="162">
      <c r="B162" s="135" t="n"/>
      <c r="C162" s="50" t="n"/>
      <c r="D162" s="50" t="n"/>
      <c r="E162" s="50" t="n"/>
      <c r="F162" s="50" t="n"/>
      <c r="G162" s="50" t="n"/>
      <c r="H162" s="50" t="n"/>
      <c r="I162" s="52" t="n"/>
      <c r="J162" s="135" t="n"/>
      <c r="K162" s="135" t="n"/>
      <c r="L162" s="50" t="n"/>
    </row>
    <row r="163">
      <c r="B163" s="135" t="n"/>
      <c r="C163" s="50" t="n"/>
      <c r="D163" s="50" t="n"/>
      <c r="E163" s="50" t="n"/>
      <c r="F163" s="50" t="n"/>
      <c r="G163" s="50" t="n"/>
      <c r="H163" s="50" t="n"/>
      <c r="I163" s="52" t="n"/>
      <c r="J163" s="135" t="n"/>
      <c r="K163" s="135" t="n"/>
      <c r="L163" s="50" t="n"/>
    </row>
    <row r="164">
      <c r="B164" s="135" t="n"/>
      <c r="C164" s="50" t="n"/>
      <c r="D164" s="50" t="n"/>
      <c r="E164" s="50" t="n"/>
      <c r="F164" s="50" t="n"/>
      <c r="G164" s="50" t="n"/>
      <c r="H164" s="50" t="n"/>
      <c r="I164" s="52" t="n"/>
      <c r="J164" s="135" t="n"/>
      <c r="K164" s="135" t="n"/>
      <c r="L164" s="50" t="n"/>
    </row>
    <row r="165">
      <c r="B165" s="135" t="n"/>
      <c r="C165" s="50" t="n"/>
      <c r="D165" s="50" t="n"/>
      <c r="E165" s="50" t="n"/>
      <c r="F165" s="50" t="n"/>
      <c r="G165" s="50" t="n"/>
      <c r="H165" s="50" t="n"/>
      <c r="I165" s="52" t="n"/>
      <c r="J165" s="135" t="n"/>
      <c r="K165" s="135" t="n"/>
      <c r="L165" s="50" t="n"/>
    </row>
    <row r="166">
      <c r="B166" s="135" t="n"/>
      <c r="C166" s="50" t="n"/>
      <c r="D166" s="50" t="n"/>
      <c r="E166" s="50" t="n"/>
      <c r="F166" s="50" t="n"/>
      <c r="G166" s="50" t="n"/>
      <c r="H166" s="50" t="n"/>
      <c r="I166" s="52" t="n"/>
      <c r="J166" s="135" t="n"/>
      <c r="K166" s="135" t="n"/>
      <c r="L166" s="50" t="n"/>
    </row>
    <row r="167">
      <c r="B167" s="135" t="n"/>
      <c r="C167" s="50" t="n"/>
      <c r="D167" s="50" t="n"/>
      <c r="E167" s="50" t="n"/>
      <c r="F167" s="50" t="n"/>
      <c r="G167" s="50" t="n"/>
      <c r="H167" s="50" t="n"/>
      <c r="I167" s="52" t="n"/>
      <c r="J167" s="135" t="n"/>
      <c r="K167" s="135" t="n"/>
      <c r="L167" s="50" t="n"/>
    </row>
    <row r="168">
      <c r="B168" s="135" t="n"/>
      <c r="C168" s="50" t="n"/>
      <c r="D168" s="50" t="n"/>
      <c r="E168" s="50" t="n"/>
      <c r="F168" s="50" t="n"/>
      <c r="G168" s="50" t="n"/>
      <c r="H168" s="50" t="n"/>
      <c r="I168" s="52" t="n"/>
      <c r="J168" s="135" t="n"/>
      <c r="K168" s="135" t="n"/>
      <c r="L168" s="50" t="n"/>
    </row>
    <row r="169">
      <c r="B169" s="135" t="n"/>
      <c r="C169" s="50" t="n"/>
      <c r="D169" s="50" t="n"/>
      <c r="E169" s="50" t="n"/>
      <c r="F169" s="50" t="n"/>
      <c r="G169" s="50" t="n"/>
      <c r="H169" s="50" t="n"/>
      <c r="I169" s="52" t="n"/>
      <c r="J169" s="135" t="n"/>
      <c r="K169" s="135" t="n"/>
      <c r="L169" s="50" t="n"/>
    </row>
    <row r="170">
      <c r="B170" s="135" t="n"/>
      <c r="C170" s="50" t="n"/>
      <c r="D170" s="50" t="n"/>
      <c r="E170" s="50" t="n"/>
      <c r="F170" s="50" t="n"/>
      <c r="G170" s="50" t="n"/>
      <c r="H170" s="50" t="n"/>
      <c r="I170" s="52" t="n"/>
      <c r="J170" s="135" t="n"/>
      <c r="K170" s="135" t="n"/>
      <c r="L170" s="50" t="n"/>
    </row>
    <row r="171">
      <c r="B171" s="135" t="n"/>
      <c r="C171" s="50" t="n"/>
      <c r="D171" s="50" t="n"/>
      <c r="E171" s="50" t="n"/>
      <c r="F171" s="50" t="n"/>
      <c r="G171" s="50" t="n"/>
      <c r="H171" s="50" t="n"/>
      <c r="I171" s="52" t="n"/>
      <c r="J171" s="135" t="n"/>
      <c r="K171" s="135" t="n"/>
      <c r="L171" s="50" t="n"/>
    </row>
    <row r="172">
      <c r="B172" s="135" t="n"/>
      <c r="C172" s="50" t="n"/>
      <c r="D172" s="50" t="n"/>
      <c r="E172" s="50" t="n"/>
      <c r="F172" s="50" t="n"/>
      <c r="G172" s="50" t="n"/>
      <c r="H172" s="50" t="n"/>
      <c r="I172" s="52" t="n"/>
      <c r="J172" s="135" t="n"/>
      <c r="K172" s="135" t="n"/>
      <c r="L172" s="50" t="n"/>
    </row>
    <row r="173">
      <c r="B173" s="135" t="n"/>
      <c r="C173" s="50" t="n"/>
      <c r="D173" s="50" t="n"/>
      <c r="E173" s="50" t="n"/>
      <c r="F173" s="50" t="n"/>
      <c r="G173" s="50" t="n"/>
      <c r="H173" s="50" t="n"/>
      <c r="I173" s="52" t="n"/>
      <c r="J173" s="135" t="n"/>
      <c r="K173" s="135" t="n"/>
      <c r="L173" s="50" t="n"/>
    </row>
    <row r="174">
      <c r="B174" s="135" t="n"/>
      <c r="C174" s="50" t="n"/>
      <c r="D174" s="50" t="n"/>
      <c r="E174" s="50" t="n"/>
      <c r="F174" s="50" t="n"/>
      <c r="G174" s="50" t="n"/>
      <c r="H174" s="50" t="n"/>
      <c r="I174" s="52" t="n"/>
      <c r="J174" s="135" t="n"/>
      <c r="K174" s="135" t="n"/>
      <c r="L174" s="50" t="n"/>
    </row>
    <row r="175">
      <c r="B175" s="135" t="n"/>
      <c r="C175" s="50" t="n"/>
      <c r="D175" s="50" t="n"/>
      <c r="E175" s="50" t="n"/>
      <c r="F175" s="50" t="n"/>
      <c r="G175" s="50" t="n"/>
      <c r="H175" s="50" t="n"/>
      <c r="I175" s="52" t="n"/>
      <c r="J175" s="135" t="n"/>
      <c r="K175" s="135" t="n"/>
      <c r="L175" s="50" t="n"/>
    </row>
    <row r="176">
      <c r="B176" s="135" t="n"/>
      <c r="C176" s="50" t="n"/>
      <c r="D176" s="50" t="n"/>
      <c r="E176" s="50" t="n"/>
      <c r="F176" s="50" t="n"/>
      <c r="G176" s="50" t="n"/>
      <c r="H176" s="50" t="n"/>
      <c r="I176" s="52" t="n"/>
      <c r="J176" s="135" t="n"/>
      <c r="K176" s="135" t="n"/>
      <c r="L176" s="50" t="n"/>
    </row>
    <row r="177">
      <c r="B177" s="135" t="n"/>
      <c r="C177" s="50" t="n"/>
      <c r="D177" s="50" t="n"/>
      <c r="E177" s="50" t="n"/>
      <c r="F177" s="50" t="n"/>
      <c r="G177" s="50" t="n"/>
      <c r="H177" s="50" t="n"/>
      <c r="I177" s="52" t="n"/>
      <c r="J177" s="135" t="n"/>
      <c r="K177" s="135" t="n"/>
      <c r="L177" s="50" t="n"/>
    </row>
    <row r="178">
      <c r="B178" s="135" t="n"/>
      <c r="C178" s="50" t="n"/>
      <c r="D178" s="50" t="n"/>
      <c r="E178" s="50" t="n"/>
      <c r="F178" s="50" t="n"/>
      <c r="G178" s="50" t="n"/>
      <c r="H178" s="50" t="n"/>
      <c r="I178" s="52" t="n"/>
      <c r="J178" s="135" t="n"/>
      <c r="K178" s="135" t="n"/>
      <c r="L178" s="50" t="n"/>
    </row>
    <row r="179">
      <c r="B179" s="135" t="n"/>
      <c r="C179" s="50" t="n"/>
      <c r="D179" s="50" t="n"/>
      <c r="E179" s="50" t="n"/>
      <c r="F179" s="50" t="n"/>
      <c r="G179" s="50" t="n"/>
      <c r="H179" s="50" t="n"/>
      <c r="I179" s="52" t="n"/>
      <c r="J179" s="135" t="n"/>
      <c r="K179" s="135" t="n"/>
      <c r="L179" s="50" t="n"/>
    </row>
    <row r="180">
      <c r="B180" s="135" t="n"/>
      <c r="C180" s="50" t="n"/>
      <c r="D180" s="50" t="n"/>
      <c r="E180" s="50" t="n"/>
      <c r="F180" s="50" t="n"/>
      <c r="G180" s="50" t="n"/>
      <c r="H180" s="50" t="n"/>
      <c r="I180" s="52" t="n"/>
      <c r="J180" s="135" t="n"/>
      <c r="K180" s="135" t="n"/>
      <c r="L180" s="50" t="n"/>
    </row>
    <row r="181">
      <c r="B181" s="135" t="n"/>
      <c r="C181" s="50" t="n"/>
      <c r="D181" s="50" t="n"/>
      <c r="E181" s="50" t="n"/>
      <c r="F181" s="50" t="n"/>
      <c r="G181" s="50" t="n"/>
      <c r="H181" s="50" t="n"/>
      <c r="I181" s="52" t="n"/>
      <c r="J181" s="135" t="n"/>
      <c r="K181" s="135" t="n"/>
      <c r="L181" s="50" t="n"/>
    </row>
    <row r="182">
      <c r="B182" s="135" t="n"/>
      <c r="C182" s="50" t="n"/>
      <c r="D182" s="50" t="n"/>
      <c r="E182" s="50" t="n"/>
      <c r="F182" s="50" t="n"/>
      <c r="G182" s="50" t="n"/>
      <c r="H182" s="50" t="n"/>
      <c r="I182" s="52" t="n"/>
      <c r="J182" s="135" t="n"/>
      <c r="K182" s="135" t="n"/>
      <c r="L182" s="50" t="n"/>
    </row>
    <row r="183">
      <c r="B183" s="135" t="n"/>
      <c r="C183" s="50" t="n"/>
      <c r="D183" s="50" t="n"/>
      <c r="E183" s="50" t="n"/>
      <c r="F183" s="50" t="n"/>
      <c r="G183" s="50" t="n"/>
      <c r="H183" s="50" t="n"/>
      <c r="I183" s="52" t="n"/>
      <c r="J183" s="135" t="n"/>
      <c r="K183" s="135" t="n"/>
      <c r="L183" s="50" t="n"/>
    </row>
    <row r="184">
      <c r="B184" s="135" t="n"/>
      <c r="C184" s="50" t="n"/>
      <c r="D184" s="50" t="n"/>
      <c r="E184" s="50" t="n"/>
      <c r="F184" s="50" t="n"/>
      <c r="G184" s="50" t="n"/>
      <c r="H184" s="50" t="n"/>
      <c r="I184" s="52" t="n"/>
      <c r="J184" s="135" t="n"/>
      <c r="K184" s="135" t="n"/>
      <c r="L184" s="50" t="n"/>
    </row>
    <row r="185">
      <c r="B185" s="135" t="n"/>
      <c r="C185" s="50" t="n"/>
      <c r="D185" s="50" t="n"/>
      <c r="E185" s="50" t="n"/>
      <c r="F185" s="50" t="n"/>
      <c r="G185" s="50" t="n"/>
      <c r="H185" s="50" t="n"/>
      <c r="I185" s="52" t="n"/>
      <c r="J185" s="135" t="n"/>
      <c r="K185" s="135" t="n"/>
      <c r="L185" s="50" t="n"/>
    </row>
    <row r="186">
      <c r="B186" s="135" t="n"/>
      <c r="C186" s="50" t="n"/>
      <c r="D186" s="50" t="n"/>
      <c r="E186" s="50" t="n"/>
      <c r="F186" s="50" t="n"/>
      <c r="G186" s="50" t="n"/>
      <c r="H186" s="50" t="n"/>
      <c r="I186" s="52" t="n"/>
      <c r="J186" s="135" t="n"/>
      <c r="K186" s="135" t="n"/>
      <c r="L186" s="50" t="n"/>
    </row>
    <row r="187">
      <c r="B187" s="135" t="n"/>
      <c r="C187" s="50" t="n"/>
      <c r="D187" s="50" t="n"/>
      <c r="E187" s="50" t="n"/>
      <c r="F187" s="50" t="n"/>
      <c r="G187" s="50" t="n"/>
      <c r="H187" s="50" t="n"/>
      <c r="I187" s="52" t="n"/>
      <c r="J187" s="135" t="n"/>
      <c r="K187" s="135" t="n"/>
      <c r="L187" s="50" t="n"/>
    </row>
    <row r="188">
      <c r="B188" s="135" t="n"/>
      <c r="C188" s="50" t="n"/>
      <c r="D188" s="50" t="n"/>
      <c r="E188" s="50" t="n"/>
      <c r="F188" s="50" t="n"/>
      <c r="G188" s="50" t="n"/>
      <c r="H188" s="50" t="n"/>
      <c r="I188" s="52" t="n"/>
      <c r="J188" s="135" t="n"/>
      <c r="K188" s="135" t="n"/>
      <c r="L188" s="50" t="n"/>
    </row>
    <row r="189">
      <c r="B189" s="135" t="n"/>
      <c r="C189" s="50" t="n"/>
      <c r="D189" s="50" t="n"/>
      <c r="E189" s="50" t="n"/>
      <c r="F189" s="50" t="n"/>
      <c r="G189" s="50" t="n"/>
      <c r="H189" s="50" t="n"/>
      <c r="I189" s="52" t="n"/>
      <c r="J189" s="135" t="n"/>
      <c r="K189" s="135" t="n"/>
      <c r="L189" s="50" t="n"/>
    </row>
    <row r="190">
      <c r="B190" s="135" t="n"/>
      <c r="C190" s="50" t="n"/>
      <c r="D190" s="50" t="n"/>
      <c r="E190" s="50" t="n"/>
      <c r="F190" s="50" t="n"/>
      <c r="G190" s="50" t="n"/>
      <c r="H190" s="50" t="n"/>
      <c r="I190" s="52" t="n"/>
      <c r="J190" s="135" t="n"/>
      <c r="K190" s="135" t="n"/>
      <c r="L190" s="50" t="n"/>
    </row>
    <row r="191">
      <c r="B191" s="135" t="n"/>
      <c r="C191" s="50" t="n"/>
      <c r="D191" s="50" t="n"/>
      <c r="E191" s="50" t="n"/>
      <c r="F191" s="50" t="n"/>
      <c r="G191" s="50" t="n"/>
      <c r="H191" s="50" t="n"/>
      <c r="I191" s="52" t="n"/>
      <c r="J191" s="135" t="n"/>
      <c r="K191" s="135" t="n"/>
      <c r="L191" s="50" t="n"/>
    </row>
    <row r="192">
      <c r="B192" s="135" t="n"/>
      <c r="C192" s="50" t="n"/>
      <c r="D192" s="50" t="n"/>
      <c r="E192" s="50" t="n"/>
      <c r="F192" s="50" t="n"/>
      <c r="G192" s="50" t="n"/>
      <c r="H192" s="50" t="n"/>
      <c r="I192" s="52" t="n"/>
      <c r="J192" s="135" t="n"/>
      <c r="K192" s="135" t="n"/>
      <c r="L192" s="50" t="n"/>
    </row>
    <row r="193">
      <c r="B193" s="135" t="n"/>
      <c r="C193" s="50" t="n"/>
      <c r="D193" s="50" t="n"/>
      <c r="E193" s="50" t="n"/>
      <c r="F193" s="50" t="n"/>
      <c r="G193" s="50" t="n"/>
      <c r="H193" s="50" t="n"/>
      <c r="I193" s="52" t="n"/>
      <c r="J193" s="135" t="n"/>
      <c r="K193" s="135" t="n"/>
      <c r="L193" s="50" t="n"/>
    </row>
    <row r="194">
      <c r="B194" s="135" t="n"/>
      <c r="C194" s="50" t="n"/>
      <c r="D194" s="50" t="n"/>
      <c r="E194" s="50" t="n"/>
      <c r="F194" s="50" t="n"/>
      <c r="G194" s="50" t="n"/>
      <c r="H194" s="50" t="n"/>
      <c r="I194" s="52" t="n"/>
      <c r="J194" s="135" t="n"/>
      <c r="K194" s="135" t="n"/>
      <c r="L194" s="50" t="n"/>
    </row>
    <row r="195">
      <c r="B195" s="135" t="n"/>
      <c r="C195" s="50" t="n"/>
      <c r="D195" s="50" t="n"/>
      <c r="E195" s="50" t="n"/>
      <c r="F195" s="50" t="n"/>
      <c r="G195" s="50" t="n"/>
      <c r="H195" s="50" t="n"/>
      <c r="I195" s="52" t="n"/>
      <c r="J195" s="135" t="n"/>
      <c r="K195" s="135" t="n"/>
      <c r="L195" s="50" t="n"/>
    </row>
    <row r="196">
      <c r="B196" s="135" t="n"/>
      <c r="C196" s="50" t="n"/>
      <c r="D196" s="50" t="n"/>
      <c r="E196" s="50" t="n"/>
      <c r="F196" s="50" t="n"/>
      <c r="G196" s="50" t="n"/>
      <c r="H196" s="50" t="n"/>
      <c r="I196" s="52" t="n"/>
      <c r="J196" s="135" t="n"/>
      <c r="K196" s="135" t="n"/>
      <c r="L196" s="50" t="n"/>
    </row>
    <row r="197">
      <c r="B197" s="135" t="n"/>
      <c r="C197" s="50" t="n"/>
      <c r="D197" s="50" t="n"/>
      <c r="E197" s="50" t="n"/>
      <c r="F197" s="50" t="n"/>
      <c r="G197" s="50" t="n"/>
      <c r="H197" s="50" t="n"/>
      <c r="I197" s="52" t="n"/>
      <c r="J197" s="135" t="n"/>
      <c r="K197" s="135" t="n"/>
      <c r="L197" s="50" t="n"/>
    </row>
    <row r="198">
      <c r="B198" s="135" t="n"/>
      <c r="C198" s="50" t="n"/>
      <c r="D198" s="50" t="n"/>
      <c r="E198" s="50" t="n"/>
      <c r="F198" s="50" t="n"/>
      <c r="G198" s="50" t="n"/>
      <c r="H198" s="50" t="n"/>
      <c r="I198" s="52" t="n"/>
      <c r="J198" s="135" t="n"/>
      <c r="K198" s="135" t="n"/>
      <c r="L198" s="50" t="n"/>
    </row>
    <row r="199">
      <c r="B199" s="135" t="n"/>
      <c r="C199" s="50" t="n"/>
      <c r="D199" s="50" t="n"/>
      <c r="E199" s="50" t="n"/>
      <c r="F199" s="50" t="n"/>
      <c r="G199" s="50" t="n"/>
      <c r="H199" s="50" t="n"/>
      <c r="I199" s="52" t="n"/>
      <c r="J199" s="135" t="n"/>
      <c r="K199" s="135" t="n"/>
      <c r="L199" s="50" t="n"/>
    </row>
    <row r="200">
      <c r="B200" s="135" t="n"/>
      <c r="C200" s="50" t="n"/>
      <c r="D200" s="50" t="n"/>
      <c r="E200" s="50" t="n"/>
      <c r="F200" s="50" t="n"/>
      <c r="G200" s="50" t="n"/>
      <c r="H200" s="50" t="n"/>
      <c r="I200" s="52" t="n"/>
      <c r="J200" s="135" t="n"/>
      <c r="K200" s="135" t="n"/>
      <c r="L200" s="50" t="n"/>
    </row>
    <row r="201">
      <c r="B201" s="135" t="n"/>
      <c r="C201" s="50" t="n"/>
      <c r="D201" s="50" t="n"/>
      <c r="E201" s="50" t="n"/>
      <c r="F201" s="50" t="n"/>
      <c r="G201" s="50" t="n"/>
      <c r="H201" s="50" t="n"/>
      <c r="I201" s="52" t="n"/>
      <c r="J201" s="135" t="n"/>
      <c r="K201" s="135" t="n"/>
      <c r="L201" s="50" t="n"/>
    </row>
    <row r="202">
      <c r="B202" s="135" t="n"/>
      <c r="C202" s="50" t="n"/>
      <c r="D202" s="50" t="n"/>
      <c r="E202" s="50" t="n"/>
      <c r="F202" s="50" t="n"/>
      <c r="G202" s="50" t="n"/>
      <c r="H202" s="50" t="n"/>
      <c r="I202" s="52" t="n"/>
      <c r="J202" s="135" t="n"/>
      <c r="K202" s="135" t="n"/>
      <c r="L202" s="50" t="n"/>
    </row>
    <row r="203">
      <c r="B203" s="135" t="n"/>
      <c r="C203" s="50" t="n"/>
      <c r="D203" s="50" t="n"/>
      <c r="E203" s="50" t="n"/>
      <c r="F203" s="50" t="n"/>
      <c r="G203" s="50" t="n"/>
      <c r="H203" s="50" t="n"/>
      <c r="I203" s="52" t="n"/>
      <c r="J203" s="135" t="n"/>
      <c r="K203" s="135" t="n"/>
      <c r="L203" s="50" t="n"/>
    </row>
    <row r="204">
      <c r="B204" s="135" t="n"/>
      <c r="C204" s="50" t="n"/>
      <c r="D204" s="50" t="n"/>
      <c r="E204" s="50" t="n"/>
      <c r="F204" s="50" t="n"/>
      <c r="G204" s="50" t="n"/>
      <c r="H204" s="50" t="n"/>
      <c r="I204" s="52" t="n"/>
      <c r="J204" s="135" t="n"/>
      <c r="K204" s="135" t="n"/>
      <c r="L204" s="50" t="n"/>
    </row>
    <row r="205">
      <c r="B205" s="135" t="n"/>
      <c r="C205" s="50" t="n"/>
      <c r="D205" s="50" t="n"/>
      <c r="E205" s="50" t="n"/>
      <c r="F205" s="50" t="n"/>
      <c r="G205" s="50" t="n"/>
      <c r="H205" s="50" t="n"/>
      <c r="I205" s="52" t="n"/>
      <c r="J205" s="135" t="n"/>
      <c r="K205" s="135" t="n"/>
      <c r="L205" s="50" t="n"/>
    </row>
    <row r="206">
      <c r="B206" s="135" t="n"/>
      <c r="C206" s="50" t="n"/>
      <c r="D206" s="50" t="n"/>
      <c r="E206" s="50" t="n"/>
      <c r="F206" s="50" t="n"/>
      <c r="G206" s="50" t="n"/>
      <c r="H206" s="50" t="n"/>
      <c r="I206" s="52" t="n"/>
      <c r="J206" s="135" t="n"/>
      <c r="K206" s="135" t="n"/>
      <c r="L206" s="50" t="n"/>
    </row>
    <row r="207">
      <c r="B207" s="135" t="n"/>
      <c r="C207" s="50" t="n"/>
      <c r="D207" s="50" t="n"/>
      <c r="E207" s="50" t="n"/>
      <c r="F207" s="50" t="n"/>
      <c r="G207" s="50" t="n"/>
      <c r="H207" s="50" t="n"/>
      <c r="I207" s="52" t="n"/>
      <c r="J207" s="135" t="n"/>
      <c r="K207" s="135" t="n"/>
      <c r="L207" s="50" t="n"/>
    </row>
    <row r="208">
      <c r="B208" s="135" t="n"/>
      <c r="C208" s="50" t="n"/>
      <c r="D208" s="50" t="n"/>
      <c r="E208" s="50" t="n"/>
      <c r="F208" s="50" t="n"/>
      <c r="G208" s="50" t="n"/>
      <c r="H208" s="50" t="n"/>
      <c r="I208" s="52" t="n"/>
      <c r="J208" s="135" t="n"/>
      <c r="K208" s="135" t="n"/>
      <c r="L208" s="50" t="n"/>
    </row>
    <row r="209">
      <c r="B209" s="135" t="n"/>
      <c r="C209" s="50" t="n"/>
      <c r="D209" s="50" t="n"/>
      <c r="E209" s="50" t="n"/>
      <c r="F209" s="50" t="n"/>
      <c r="G209" s="50" t="n"/>
      <c r="H209" s="50" t="n"/>
      <c r="I209" s="52" t="n"/>
      <c r="J209" s="135" t="n"/>
      <c r="K209" s="135" t="n"/>
      <c r="L209" s="50" t="n"/>
    </row>
    <row r="210">
      <c r="B210" s="135" t="n"/>
      <c r="C210" s="50" t="n"/>
      <c r="D210" s="50" t="n"/>
      <c r="E210" s="50" t="n"/>
      <c r="F210" s="50" t="n"/>
      <c r="G210" s="50" t="n"/>
      <c r="H210" s="50" t="n"/>
      <c r="I210" s="52" t="n"/>
      <c r="J210" s="135" t="n"/>
      <c r="K210" s="135" t="n"/>
      <c r="L210" s="50" t="n"/>
    </row>
    <row r="211">
      <c r="B211" s="135" t="n"/>
      <c r="C211" s="50" t="n"/>
      <c r="D211" s="50" t="n"/>
      <c r="E211" s="50" t="n"/>
      <c r="F211" s="50" t="n"/>
      <c r="G211" s="50" t="n"/>
      <c r="H211" s="50" t="n"/>
      <c r="I211" s="52" t="n"/>
      <c r="J211" s="135" t="n"/>
      <c r="K211" s="135" t="n"/>
      <c r="L211" s="50" t="n"/>
    </row>
    <row r="212">
      <c r="B212" s="135" t="n"/>
      <c r="C212" s="50" t="n"/>
      <c r="D212" s="50" t="n"/>
      <c r="E212" s="50" t="n"/>
      <c r="F212" s="50" t="n"/>
      <c r="G212" s="50" t="n"/>
      <c r="H212" s="50" t="n"/>
      <c r="I212" s="52" t="n"/>
      <c r="J212" s="135" t="n"/>
      <c r="K212" s="135" t="n"/>
      <c r="L212" s="50" t="n"/>
    </row>
    <row r="213">
      <c r="B213" s="135" t="n"/>
      <c r="C213" s="50" t="n"/>
      <c r="D213" s="50" t="n"/>
      <c r="E213" s="50" t="n"/>
      <c r="F213" s="50" t="n"/>
      <c r="G213" s="50" t="n"/>
      <c r="H213" s="50" t="n"/>
      <c r="I213" s="52" t="n"/>
      <c r="J213" s="135" t="n"/>
      <c r="K213" s="135" t="n"/>
      <c r="L213" s="50" t="n"/>
    </row>
    <row r="214">
      <c r="B214" s="135" t="n"/>
      <c r="C214" s="50" t="n"/>
      <c r="D214" s="50" t="n"/>
      <c r="E214" s="50" t="n"/>
      <c r="F214" s="50" t="n"/>
      <c r="G214" s="50" t="n"/>
      <c r="H214" s="50" t="n"/>
      <c r="I214" s="52" t="n"/>
      <c r="J214" s="135" t="n"/>
      <c r="K214" s="135" t="n"/>
      <c r="L214" s="50" t="n"/>
    </row>
    <row r="215">
      <c r="B215" s="135" t="n"/>
      <c r="C215" s="50" t="n"/>
      <c r="D215" s="50" t="n"/>
      <c r="E215" s="50" t="n"/>
      <c r="F215" s="50" t="n"/>
      <c r="G215" s="50" t="n"/>
      <c r="H215" s="50" t="n"/>
      <c r="I215" s="52" t="n"/>
      <c r="J215" s="135" t="n"/>
      <c r="K215" s="135" t="n"/>
      <c r="L215" s="50" t="n"/>
    </row>
    <row r="216">
      <c r="B216" s="135" t="n"/>
      <c r="C216" s="50" t="n"/>
      <c r="D216" s="50" t="n"/>
      <c r="E216" s="50" t="n"/>
      <c r="F216" s="50" t="n"/>
      <c r="G216" s="50" t="n"/>
      <c r="H216" s="50" t="n"/>
      <c r="I216" s="52" t="n"/>
      <c r="J216" s="135" t="n"/>
      <c r="K216" s="135" t="n"/>
      <c r="L216" s="50" t="n"/>
    </row>
    <row r="217">
      <c r="B217" s="135" t="n"/>
      <c r="C217" s="50" t="n"/>
      <c r="D217" s="50" t="n"/>
      <c r="E217" s="50" t="n"/>
      <c r="F217" s="50" t="n"/>
      <c r="G217" s="50" t="n"/>
      <c r="H217" s="50" t="n"/>
      <c r="I217" s="52" t="n"/>
      <c r="J217" s="135" t="n"/>
      <c r="K217" s="135" t="n"/>
      <c r="L217" s="50" t="n"/>
    </row>
    <row r="218">
      <c r="B218" s="135" t="n"/>
      <c r="C218" s="50" t="n"/>
      <c r="D218" s="50" t="n"/>
      <c r="E218" s="50" t="n"/>
      <c r="F218" s="50" t="n"/>
      <c r="G218" s="50" t="n"/>
      <c r="H218" s="50" t="n"/>
      <c r="I218" s="52" t="n"/>
      <c r="J218" s="135" t="n"/>
      <c r="K218" s="135" t="n"/>
      <c r="L218" s="50" t="n"/>
    </row>
    <row r="219">
      <c r="B219" s="135" t="n"/>
      <c r="C219" s="50" t="n"/>
      <c r="D219" s="50" t="n"/>
      <c r="E219" s="50" t="n"/>
      <c r="F219" s="50" t="n"/>
      <c r="G219" s="50" t="n"/>
      <c r="H219" s="50" t="n"/>
      <c r="I219" s="52" t="n"/>
      <c r="J219" s="135" t="n"/>
      <c r="K219" s="135" t="n"/>
      <c r="L219" s="50" t="n"/>
    </row>
    <row r="220">
      <c r="B220" s="135" t="n"/>
      <c r="C220" s="50" t="n"/>
      <c r="D220" s="50" t="n"/>
      <c r="E220" s="50" t="n"/>
      <c r="F220" s="50" t="n"/>
      <c r="G220" s="50" t="n"/>
      <c r="H220" s="50" t="n"/>
      <c r="I220" s="52" t="n"/>
      <c r="J220" s="135" t="n"/>
      <c r="K220" s="135" t="n"/>
      <c r="L220" s="50" t="n"/>
    </row>
    <row r="221">
      <c r="B221" s="135" t="n"/>
      <c r="C221" s="50" t="n"/>
      <c r="D221" s="50" t="n"/>
      <c r="E221" s="50" t="n"/>
      <c r="F221" s="50" t="n"/>
      <c r="G221" s="50" t="n"/>
      <c r="H221" s="50" t="n"/>
      <c r="I221" s="52" t="n"/>
      <c r="J221" s="135" t="n"/>
      <c r="K221" s="135" t="n"/>
      <c r="L221" s="50" t="n"/>
    </row>
    <row r="222">
      <c r="B222" s="135" t="n"/>
      <c r="C222" s="50" t="n"/>
      <c r="D222" s="50" t="n"/>
      <c r="E222" s="50" t="n"/>
      <c r="F222" s="50" t="n"/>
      <c r="G222" s="50" t="n"/>
      <c r="H222" s="50" t="n"/>
      <c r="I222" s="52" t="n"/>
      <c r="J222" s="135" t="n"/>
      <c r="K222" s="135" t="n"/>
      <c r="L222" s="50" t="n"/>
    </row>
    <row r="223">
      <c r="B223" s="135" t="n"/>
      <c r="C223" s="50" t="n"/>
      <c r="D223" s="50" t="n"/>
      <c r="E223" s="50" t="n"/>
      <c r="F223" s="50" t="n"/>
      <c r="G223" s="50" t="n"/>
      <c r="H223" s="50" t="n"/>
      <c r="I223" s="52" t="n"/>
      <c r="J223" s="135" t="n"/>
      <c r="K223" s="135" t="n"/>
      <c r="L223" s="50" t="n"/>
    </row>
    <row r="224">
      <c r="B224" s="135" t="n"/>
      <c r="C224" s="50" t="n"/>
      <c r="D224" s="50" t="n"/>
      <c r="E224" s="50" t="n"/>
      <c r="F224" s="50" t="n"/>
      <c r="G224" s="50" t="n"/>
      <c r="H224" s="50" t="n"/>
      <c r="I224" s="52" t="n"/>
      <c r="J224" s="135" t="n"/>
      <c r="K224" s="135" t="n"/>
      <c r="L224" s="50" t="n"/>
    </row>
    <row r="225">
      <c r="B225" s="135" t="n"/>
      <c r="C225" s="50" t="n"/>
      <c r="D225" s="50" t="n"/>
      <c r="E225" s="50" t="n"/>
      <c r="F225" s="50" t="n"/>
      <c r="G225" s="50" t="n"/>
      <c r="H225" s="50" t="n"/>
      <c r="I225" s="52" t="n"/>
      <c r="J225" s="135" t="n"/>
      <c r="K225" s="135" t="n"/>
      <c r="L225" s="50" t="n"/>
    </row>
    <row r="226">
      <c r="B226" s="135" t="n"/>
      <c r="C226" s="50" t="n"/>
      <c r="D226" s="50" t="n"/>
      <c r="E226" s="50" t="n"/>
      <c r="F226" s="50" t="n"/>
      <c r="G226" s="50" t="n"/>
      <c r="H226" s="50" t="n"/>
      <c r="I226" s="52" t="n"/>
      <c r="J226" s="135" t="n"/>
      <c r="K226" s="135" t="n"/>
      <c r="L226" s="50" t="n"/>
    </row>
    <row r="227">
      <c r="B227" s="135" t="n"/>
      <c r="C227" s="50" t="n"/>
      <c r="D227" s="50" t="n"/>
      <c r="E227" s="50" t="n"/>
      <c r="F227" s="50" t="n"/>
      <c r="G227" s="50" t="n"/>
      <c r="H227" s="50" t="n"/>
      <c r="I227" s="52" t="n"/>
      <c r="J227" s="135" t="n"/>
      <c r="K227" s="135" t="n"/>
      <c r="L227" s="50" t="n"/>
    </row>
    <row r="228">
      <c r="B228" s="135" t="n"/>
      <c r="C228" s="50" t="n"/>
      <c r="D228" s="50" t="n"/>
      <c r="E228" s="50" t="n"/>
      <c r="F228" s="50" t="n"/>
      <c r="G228" s="50" t="n"/>
      <c r="H228" s="50" t="n"/>
      <c r="I228" s="52" t="n"/>
      <c r="J228" s="135" t="n"/>
      <c r="K228" s="135" t="n"/>
      <c r="L228" s="50" t="n"/>
    </row>
    <row r="229">
      <c r="B229" s="135" t="n"/>
      <c r="C229" s="50" t="n"/>
      <c r="D229" s="50" t="n"/>
      <c r="E229" s="50" t="n"/>
      <c r="F229" s="50" t="n"/>
      <c r="G229" s="50" t="n"/>
      <c r="H229" s="50" t="n"/>
      <c r="I229" s="52" t="n"/>
      <c r="J229" s="135" t="n"/>
      <c r="K229" s="135" t="n"/>
      <c r="L229" s="50" t="n"/>
    </row>
    <row r="230">
      <c r="B230" s="135" t="n"/>
      <c r="C230" s="50" t="n"/>
      <c r="D230" s="50" t="n"/>
      <c r="E230" s="50" t="n"/>
      <c r="F230" s="50" t="n"/>
      <c r="G230" s="50" t="n"/>
      <c r="H230" s="50" t="n"/>
      <c r="I230" s="52" t="n"/>
      <c r="J230" s="135" t="n"/>
      <c r="K230" s="135" t="n"/>
      <c r="L230" s="50" t="n"/>
    </row>
    <row r="231">
      <c r="B231" s="135" t="n"/>
      <c r="C231" s="50" t="n"/>
      <c r="D231" s="50" t="n"/>
      <c r="E231" s="50" t="n"/>
      <c r="F231" s="50" t="n"/>
      <c r="G231" s="50" t="n"/>
      <c r="H231" s="50" t="n"/>
      <c r="I231" s="52" t="n"/>
      <c r="J231" s="135" t="n"/>
      <c r="K231" s="135" t="n"/>
      <c r="L231" s="50" t="n"/>
    </row>
    <row r="232">
      <c r="B232" s="135" t="n"/>
      <c r="C232" s="50" t="n"/>
      <c r="D232" s="50" t="n"/>
      <c r="E232" s="50" t="n"/>
      <c r="F232" s="50" t="n"/>
      <c r="G232" s="50" t="n"/>
      <c r="H232" s="50" t="n"/>
      <c r="I232" s="52" t="n"/>
      <c r="J232" s="135" t="n"/>
      <c r="K232" s="135" t="n"/>
      <c r="L232" s="50" t="n"/>
    </row>
    <row r="233">
      <c r="B233" s="135" t="n"/>
      <c r="C233" s="50" t="n"/>
      <c r="D233" s="50" t="n"/>
      <c r="E233" s="50" t="n"/>
      <c r="F233" s="50" t="n"/>
      <c r="G233" s="50" t="n"/>
      <c r="H233" s="50" t="n"/>
      <c r="I233" s="52" t="n"/>
      <c r="J233" s="135" t="n"/>
      <c r="K233" s="135" t="n"/>
      <c r="L233" s="50" t="n"/>
    </row>
    <row r="234">
      <c r="B234" s="135" t="n"/>
      <c r="C234" s="50" t="n"/>
      <c r="D234" s="50" t="n"/>
      <c r="E234" s="50" t="n"/>
      <c r="F234" s="50" t="n"/>
      <c r="G234" s="50" t="n"/>
      <c r="H234" s="50" t="n"/>
      <c r="I234" s="52" t="n"/>
      <c r="J234" s="135" t="n"/>
      <c r="K234" s="135" t="n"/>
      <c r="L234" s="50" t="n"/>
    </row>
    <row r="235">
      <c r="B235" s="135" t="n"/>
      <c r="C235" s="50" t="n"/>
      <c r="D235" s="50" t="n"/>
      <c r="E235" s="50" t="n"/>
      <c r="F235" s="50" t="n"/>
      <c r="G235" s="50" t="n"/>
      <c r="H235" s="50" t="n"/>
      <c r="I235" s="52" t="n"/>
      <c r="J235" s="135" t="n"/>
      <c r="K235" s="135" t="n"/>
      <c r="L235" s="50" t="n"/>
    </row>
    <row r="236">
      <c r="B236" s="135" t="n"/>
      <c r="C236" s="50" t="n"/>
      <c r="D236" s="50" t="n"/>
      <c r="E236" s="50" t="n"/>
      <c r="F236" s="50" t="n"/>
      <c r="G236" s="50" t="n"/>
      <c r="H236" s="50" t="n"/>
      <c r="I236" s="52" t="n"/>
      <c r="J236" s="135" t="n"/>
      <c r="K236" s="135" t="n"/>
      <c r="L236" s="50" t="n"/>
    </row>
    <row r="237">
      <c r="B237" s="135" t="n"/>
      <c r="C237" s="50" t="n"/>
      <c r="D237" s="50" t="n"/>
      <c r="E237" s="50" t="n"/>
      <c r="F237" s="50" t="n"/>
      <c r="G237" s="50" t="n"/>
      <c r="H237" s="50" t="n"/>
      <c r="I237" s="52" t="n"/>
      <c r="J237" s="135" t="n"/>
      <c r="K237" s="135" t="n"/>
      <c r="L237" s="50" t="n"/>
    </row>
    <row r="238">
      <c r="B238" s="135" t="n"/>
      <c r="C238" s="50" t="n"/>
      <c r="D238" s="50" t="n"/>
      <c r="E238" s="50" t="n"/>
      <c r="F238" s="50" t="n"/>
      <c r="G238" s="50" t="n"/>
      <c r="H238" s="50" t="n"/>
      <c r="I238" s="52" t="n"/>
      <c r="J238" s="135" t="n"/>
      <c r="K238" s="135" t="n"/>
      <c r="L238" s="50" t="n"/>
    </row>
    <row r="239">
      <c r="B239" s="135" t="n"/>
      <c r="C239" s="50" t="n"/>
      <c r="D239" s="50" t="n"/>
      <c r="E239" s="50" t="n"/>
      <c r="F239" s="50" t="n"/>
      <c r="G239" s="50" t="n"/>
      <c r="H239" s="50" t="n"/>
      <c r="I239" s="52" t="n"/>
      <c r="J239" s="135" t="n"/>
      <c r="K239" s="135" t="n"/>
      <c r="L239" s="50" t="n"/>
    </row>
    <row r="240">
      <c r="B240" s="135" t="n"/>
      <c r="C240" s="50" t="n"/>
      <c r="D240" s="50" t="n"/>
      <c r="E240" s="50" t="n"/>
      <c r="F240" s="50" t="n"/>
      <c r="G240" s="50" t="n"/>
      <c r="H240" s="50" t="n"/>
      <c r="I240" s="52" t="n"/>
      <c r="J240" s="135" t="n"/>
      <c r="K240" s="135" t="n"/>
      <c r="L240" s="50" t="n"/>
    </row>
    <row r="241">
      <c r="B241" s="135" t="n"/>
      <c r="C241" s="50" t="n"/>
      <c r="D241" s="50" t="n"/>
      <c r="E241" s="50" t="n"/>
      <c r="F241" s="50" t="n"/>
      <c r="G241" s="50" t="n"/>
      <c r="H241" s="50" t="n"/>
      <c r="I241" s="52" t="n"/>
      <c r="J241" s="135" t="n"/>
      <c r="K241" s="135" t="n"/>
      <c r="L241" s="50" t="n"/>
    </row>
    <row r="242">
      <c r="B242" s="135" t="n"/>
      <c r="C242" s="50" t="n"/>
      <c r="D242" s="50" t="n"/>
      <c r="E242" s="50" t="n"/>
      <c r="F242" s="50" t="n"/>
      <c r="G242" s="50" t="n"/>
      <c r="H242" s="50" t="n"/>
      <c r="I242" s="52" t="n"/>
      <c r="J242" s="135" t="n"/>
      <c r="K242" s="135" t="n"/>
      <c r="L242" s="50" t="n"/>
    </row>
    <row r="243">
      <c r="B243" s="135" t="n"/>
      <c r="C243" s="50" t="n"/>
      <c r="D243" s="50" t="n"/>
      <c r="E243" s="50" t="n"/>
      <c r="F243" s="50" t="n"/>
      <c r="G243" s="50" t="n"/>
      <c r="H243" s="50" t="n"/>
      <c r="I243" s="52" t="n"/>
      <c r="J243" s="135" t="n"/>
      <c r="K243" s="135" t="n"/>
      <c r="L243" s="50" t="n"/>
    </row>
    <row r="244">
      <c r="B244" s="135" t="n"/>
      <c r="C244" s="50" t="n"/>
      <c r="D244" s="50" t="n"/>
      <c r="E244" s="50" t="n"/>
      <c r="F244" s="50" t="n"/>
      <c r="G244" s="50" t="n"/>
      <c r="H244" s="50" t="n"/>
      <c r="I244" s="52" t="n"/>
      <c r="J244" s="135" t="n"/>
      <c r="K244" s="135" t="n"/>
      <c r="L244" s="50" t="n"/>
    </row>
    <row r="245">
      <c r="B245" s="135" t="n"/>
      <c r="C245" s="50" t="n"/>
      <c r="D245" s="50" t="n"/>
      <c r="E245" s="50" t="n"/>
      <c r="F245" s="50" t="n"/>
      <c r="G245" s="50" t="n"/>
      <c r="H245" s="50" t="n"/>
      <c r="I245" s="52" t="n"/>
      <c r="J245" s="135" t="n"/>
      <c r="K245" s="135" t="n"/>
      <c r="L245" s="50" t="n"/>
    </row>
    <row r="246">
      <c r="B246" s="135" t="n"/>
      <c r="C246" s="50" t="n"/>
      <c r="D246" s="50" t="n"/>
      <c r="E246" s="50" t="n"/>
      <c r="F246" s="50" t="n"/>
      <c r="G246" s="50" t="n"/>
      <c r="H246" s="50" t="n"/>
      <c r="I246" s="52" t="n"/>
      <c r="J246" s="135" t="n"/>
      <c r="K246" s="135" t="n"/>
      <c r="L246" s="50" t="n"/>
    </row>
    <row r="247">
      <c r="B247" s="135" t="n"/>
      <c r="C247" s="50" t="n"/>
      <c r="D247" s="50" t="n"/>
      <c r="E247" s="50" t="n"/>
      <c r="F247" s="50" t="n"/>
      <c r="G247" s="50" t="n"/>
      <c r="H247" s="50" t="n"/>
      <c r="I247" s="52" t="n"/>
      <c r="J247" s="135" t="n"/>
      <c r="K247" s="135" t="n"/>
      <c r="L247" s="50" t="n"/>
    </row>
    <row r="248">
      <c r="B248" s="135" t="n"/>
      <c r="C248" s="50" t="n"/>
      <c r="D248" s="50" t="n"/>
      <c r="E248" s="50" t="n"/>
      <c r="F248" s="50" t="n"/>
      <c r="G248" s="50" t="n"/>
      <c r="H248" s="50" t="n"/>
      <c r="I248" s="52" t="n"/>
      <c r="J248" s="135" t="n"/>
      <c r="K248" s="135" t="n"/>
      <c r="L248" s="50" t="n"/>
    </row>
    <row r="249">
      <c r="B249" s="135" t="n"/>
      <c r="C249" s="50" t="n"/>
      <c r="D249" s="50" t="n"/>
      <c r="E249" s="50" t="n"/>
      <c r="F249" s="50" t="n"/>
      <c r="G249" s="50" t="n"/>
      <c r="H249" s="50" t="n"/>
      <c r="I249" s="52" t="n"/>
      <c r="J249" s="135" t="n"/>
      <c r="K249" s="135" t="n"/>
      <c r="L249" s="50" t="n"/>
    </row>
    <row r="250">
      <c r="B250" s="135" t="n"/>
      <c r="C250" s="50" t="n"/>
      <c r="D250" s="50" t="n"/>
      <c r="E250" s="50" t="n"/>
      <c r="F250" s="50" t="n"/>
      <c r="G250" s="50" t="n"/>
      <c r="H250" s="50" t="n"/>
      <c r="I250" s="52" t="n"/>
      <c r="J250" s="135" t="n"/>
      <c r="K250" s="135" t="n"/>
      <c r="L250" s="50" t="n"/>
    </row>
    <row r="251">
      <c r="B251" s="135" t="n"/>
      <c r="C251" s="50" t="n"/>
      <c r="D251" s="50" t="n"/>
      <c r="E251" s="50" t="n"/>
      <c r="F251" s="50" t="n"/>
      <c r="G251" s="50" t="n"/>
      <c r="H251" s="50" t="n"/>
      <c r="I251" s="52" t="n"/>
      <c r="J251" s="135" t="n"/>
      <c r="K251" s="135" t="n"/>
      <c r="L251" s="50" t="n"/>
    </row>
    <row r="252">
      <c r="B252" s="135" t="n"/>
      <c r="C252" s="50" t="n"/>
      <c r="D252" s="50" t="n"/>
      <c r="E252" s="50" t="n"/>
      <c r="F252" s="50" t="n"/>
      <c r="G252" s="50" t="n"/>
      <c r="H252" s="50" t="n"/>
      <c r="I252" s="52" t="n"/>
      <c r="J252" s="135" t="n"/>
      <c r="K252" s="135" t="n"/>
      <c r="L252" s="50" t="n"/>
    </row>
    <row r="253">
      <c r="B253" s="135" t="n"/>
      <c r="C253" s="50" t="n"/>
      <c r="D253" s="50" t="n"/>
      <c r="E253" s="50" t="n"/>
      <c r="F253" s="50" t="n"/>
      <c r="G253" s="50" t="n"/>
      <c r="H253" s="50" t="n"/>
      <c r="I253" s="52" t="n"/>
      <c r="J253" s="135" t="n"/>
      <c r="K253" s="135" t="n"/>
      <c r="L253" s="50" t="n"/>
    </row>
    <row r="254">
      <c r="B254" s="135" t="n"/>
      <c r="C254" s="50" t="n"/>
      <c r="D254" s="50" t="n"/>
      <c r="E254" s="50" t="n"/>
      <c r="F254" s="50" t="n"/>
      <c r="G254" s="50" t="n"/>
      <c r="H254" s="50" t="n"/>
      <c r="I254" s="52" t="n"/>
      <c r="J254" s="135" t="n"/>
      <c r="K254" s="135" t="n"/>
      <c r="L254" s="50" t="n"/>
    </row>
    <row r="255">
      <c r="B255" s="135" t="n"/>
      <c r="C255" s="50" t="n"/>
      <c r="D255" s="50" t="n"/>
      <c r="E255" s="50" t="n"/>
      <c r="F255" s="50" t="n"/>
      <c r="G255" s="50" t="n"/>
      <c r="H255" s="50" t="n"/>
      <c r="I255" s="52" t="n"/>
      <c r="J255" s="135" t="n"/>
      <c r="K255" s="135" t="n"/>
      <c r="L255" s="50" t="n"/>
    </row>
    <row r="256">
      <c r="B256" s="135" t="n"/>
      <c r="C256" s="50" t="n"/>
      <c r="D256" s="50" t="n"/>
      <c r="E256" s="50" t="n"/>
      <c r="F256" s="50" t="n"/>
      <c r="G256" s="50" t="n"/>
      <c r="H256" s="50" t="n"/>
      <c r="I256" s="52" t="n"/>
      <c r="J256" s="135" t="n"/>
      <c r="K256" s="135" t="n"/>
      <c r="L256" s="50" t="n"/>
    </row>
    <row r="257">
      <c r="B257" s="135" t="n"/>
      <c r="C257" s="50" t="n"/>
      <c r="D257" s="50" t="n"/>
      <c r="E257" s="50" t="n"/>
      <c r="F257" s="50" t="n"/>
      <c r="G257" s="50" t="n"/>
      <c r="H257" s="50" t="n"/>
      <c r="I257" s="52" t="n"/>
      <c r="J257" s="135" t="n"/>
      <c r="K257" s="135" t="n"/>
      <c r="L257" s="50" t="n"/>
    </row>
    <row r="258">
      <c r="B258" s="135" t="n"/>
      <c r="C258" s="50" t="n"/>
      <c r="D258" s="50" t="n"/>
      <c r="E258" s="50" t="n"/>
      <c r="F258" s="50" t="n"/>
      <c r="G258" s="50" t="n"/>
      <c r="H258" s="50" t="n"/>
      <c r="I258" s="52" t="n"/>
      <c r="J258" s="135" t="n"/>
      <c r="K258" s="135" t="n"/>
      <c r="L258" s="50" t="n"/>
    </row>
    <row r="259">
      <c r="B259" s="135" t="n"/>
      <c r="C259" s="50" t="n"/>
      <c r="D259" s="50" t="n"/>
      <c r="E259" s="50" t="n"/>
      <c r="F259" s="50" t="n"/>
      <c r="G259" s="50" t="n"/>
      <c r="H259" s="50" t="n"/>
      <c r="I259" s="52" t="n"/>
      <c r="J259" s="135" t="n"/>
      <c r="K259" s="135" t="n"/>
      <c r="L259" s="50" t="n"/>
    </row>
    <row r="260">
      <c r="B260" s="135" t="n"/>
      <c r="C260" s="50" t="n"/>
      <c r="D260" s="50" t="n"/>
      <c r="E260" s="50" t="n"/>
      <c r="F260" s="50" t="n"/>
      <c r="G260" s="50" t="n"/>
      <c r="H260" s="50" t="n"/>
      <c r="I260" s="52" t="n"/>
      <c r="J260" s="135" t="n"/>
      <c r="K260" s="135" t="n"/>
      <c r="L260" s="50" t="n"/>
    </row>
    <row r="261">
      <c r="B261" s="135" t="n"/>
      <c r="C261" s="50" t="n"/>
      <c r="D261" s="50" t="n"/>
      <c r="E261" s="50" t="n"/>
      <c r="F261" s="50" t="n"/>
      <c r="G261" s="50" t="n"/>
      <c r="H261" s="50" t="n"/>
      <c r="I261" s="52" t="n"/>
      <c r="J261" s="135" t="n"/>
      <c r="K261" s="135" t="n"/>
      <c r="L261" s="50" t="n"/>
    </row>
    <row r="262">
      <c r="B262" s="135" t="n"/>
      <c r="C262" s="50" t="n"/>
      <c r="D262" s="50" t="n"/>
      <c r="E262" s="50" t="n"/>
      <c r="F262" s="50" t="n"/>
      <c r="G262" s="50" t="n"/>
      <c r="H262" s="50" t="n"/>
      <c r="I262" s="52" t="n"/>
      <c r="J262" s="135" t="n"/>
      <c r="K262" s="135" t="n"/>
      <c r="L262" s="50" t="n"/>
    </row>
    <row r="263">
      <c r="B263" s="135" t="n"/>
      <c r="C263" s="50" t="n"/>
      <c r="D263" s="50" t="n"/>
      <c r="E263" s="50" t="n"/>
      <c r="F263" s="50" t="n"/>
      <c r="G263" s="50" t="n"/>
      <c r="H263" s="50" t="n"/>
      <c r="I263" s="52" t="n"/>
      <c r="J263" s="135" t="n"/>
      <c r="K263" s="135" t="n"/>
      <c r="L263" s="50" t="n"/>
    </row>
    <row r="264">
      <c r="B264" s="135" t="n"/>
      <c r="C264" s="50" t="n"/>
      <c r="D264" s="50" t="n"/>
      <c r="E264" s="50" t="n"/>
      <c r="F264" s="50" t="n"/>
      <c r="G264" s="50" t="n"/>
      <c r="H264" s="50" t="n"/>
      <c r="I264" s="52" t="n"/>
      <c r="J264" s="135" t="n"/>
      <c r="K264" s="135" t="n"/>
      <c r="L264" s="50" t="n"/>
    </row>
    <row r="265">
      <c r="B265" s="135" t="n"/>
      <c r="C265" s="50" t="n"/>
      <c r="D265" s="50" t="n"/>
      <c r="E265" s="50" t="n"/>
      <c r="F265" s="50" t="n"/>
      <c r="G265" s="50" t="n"/>
      <c r="H265" s="50" t="n"/>
      <c r="I265" s="52" t="n"/>
      <c r="J265" s="135" t="n"/>
      <c r="K265" s="135" t="n"/>
      <c r="L265" s="50" t="n"/>
    </row>
    <row r="266">
      <c r="B266" s="135" t="n"/>
      <c r="C266" s="50" t="n"/>
      <c r="D266" s="50" t="n"/>
      <c r="E266" s="50" t="n"/>
      <c r="F266" s="50" t="n"/>
      <c r="G266" s="50" t="n"/>
      <c r="H266" s="50" t="n"/>
      <c r="I266" s="52" t="n"/>
      <c r="J266" s="135" t="n"/>
      <c r="K266" s="135" t="n"/>
      <c r="L266" s="50" t="n"/>
    </row>
    <row r="267">
      <c r="B267" s="135" t="n"/>
      <c r="C267" s="50" t="n"/>
      <c r="D267" s="50" t="n"/>
      <c r="E267" s="50" t="n"/>
      <c r="F267" s="50" t="n"/>
      <c r="G267" s="50" t="n"/>
      <c r="H267" s="50" t="n"/>
      <c r="I267" s="52" t="n"/>
      <c r="J267" s="135" t="n"/>
      <c r="K267" s="135" t="n"/>
      <c r="L267" s="50" t="n"/>
    </row>
    <row r="268">
      <c r="B268" s="135" t="n"/>
      <c r="C268" s="50" t="n"/>
      <c r="D268" s="50" t="n"/>
      <c r="E268" s="50" t="n"/>
      <c r="F268" s="50" t="n"/>
      <c r="G268" s="50" t="n"/>
      <c r="H268" s="50" t="n"/>
      <c r="I268" s="52" t="n"/>
      <c r="J268" s="135" t="n"/>
      <c r="K268" s="135" t="n"/>
      <c r="L268" s="50" t="n"/>
    </row>
    <row r="269">
      <c r="B269" s="135" t="n"/>
      <c r="C269" s="50" t="n"/>
      <c r="D269" s="50" t="n"/>
      <c r="E269" s="50" t="n"/>
      <c r="F269" s="50" t="n"/>
      <c r="G269" s="50" t="n"/>
      <c r="H269" s="50" t="n"/>
      <c r="I269" s="52" t="n"/>
      <c r="J269" s="135" t="n"/>
      <c r="K269" s="135" t="n"/>
      <c r="L269" s="50" t="n"/>
    </row>
    <row r="270">
      <c r="B270" s="135" t="n"/>
      <c r="C270" s="50" t="n"/>
      <c r="D270" s="50" t="n"/>
      <c r="E270" s="50" t="n"/>
      <c r="F270" s="50" t="n"/>
      <c r="G270" s="50" t="n"/>
      <c r="H270" s="50" t="n"/>
      <c r="I270" s="52" t="n"/>
      <c r="J270" s="135" t="n"/>
      <c r="K270" s="135" t="n"/>
      <c r="L270" s="50" t="n"/>
    </row>
    <row r="271">
      <c r="B271" s="135" t="n"/>
      <c r="C271" s="50" t="n"/>
      <c r="D271" s="50" t="n"/>
      <c r="E271" s="50" t="n"/>
      <c r="F271" s="50" t="n"/>
      <c r="G271" s="50" t="n"/>
      <c r="H271" s="50" t="n"/>
      <c r="I271" s="52" t="n"/>
      <c r="J271" s="135" t="n"/>
      <c r="K271" s="135" t="n"/>
      <c r="L271" s="50" t="n"/>
    </row>
    <row r="272">
      <c r="B272" s="135" t="n"/>
      <c r="C272" s="50" t="n"/>
      <c r="D272" s="50" t="n"/>
      <c r="E272" s="50" t="n"/>
      <c r="F272" s="50" t="n"/>
      <c r="G272" s="50" t="n"/>
      <c r="H272" s="50" t="n"/>
      <c r="I272" s="52" t="n"/>
      <c r="J272" s="135" t="n"/>
      <c r="K272" s="135" t="n"/>
      <c r="L272" s="50" t="n"/>
    </row>
    <row r="273">
      <c r="B273" s="135" t="n"/>
      <c r="C273" s="50" t="n"/>
      <c r="D273" s="50" t="n"/>
      <c r="E273" s="50" t="n"/>
      <c r="F273" s="50" t="n"/>
      <c r="G273" s="50" t="n"/>
      <c r="H273" s="50" t="n"/>
      <c r="I273" s="52" t="n"/>
      <c r="J273" s="135" t="n"/>
      <c r="K273" s="135" t="n"/>
      <c r="L273" s="50" t="n"/>
    </row>
    <row r="274">
      <c r="B274" s="135" t="n"/>
      <c r="C274" s="50" t="n"/>
      <c r="D274" s="50" t="n"/>
      <c r="E274" s="50" t="n"/>
      <c r="F274" s="50" t="n"/>
      <c r="G274" s="50" t="n"/>
      <c r="H274" s="50" t="n"/>
      <c r="I274" s="52" t="n"/>
      <c r="J274" s="135" t="n"/>
      <c r="K274" s="135" t="n"/>
      <c r="L274" s="50" t="n"/>
    </row>
    <row r="275">
      <c r="B275" s="135" t="n"/>
      <c r="C275" s="50" t="n"/>
      <c r="D275" s="50" t="n"/>
      <c r="E275" s="50" t="n"/>
      <c r="F275" s="50" t="n"/>
      <c r="G275" s="50" t="n"/>
      <c r="H275" s="50" t="n"/>
      <c r="I275" s="52" t="n"/>
      <c r="J275" s="135" t="n"/>
      <c r="K275" s="135" t="n"/>
      <c r="L275" s="50" t="n"/>
    </row>
    <row r="276">
      <c r="B276" s="135" t="n"/>
      <c r="C276" s="50" t="n"/>
      <c r="D276" s="50" t="n"/>
      <c r="E276" s="50" t="n"/>
      <c r="F276" s="50" t="n"/>
      <c r="G276" s="50" t="n"/>
      <c r="H276" s="50" t="n"/>
      <c r="I276" s="52" t="n"/>
      <c r="J276" s="135" t="n"/>
      <c r="K276" s="135" t="n"/>
      <c r="L276" s="50" t="n"/>
    </row>
    <row r="277">
      <c r="B277" s="135" t="n"/>
      <c r="C277" s="50" t="n"/>
      <c r="D277" s="50" t="n"/>
      <c r="E277" s="50" t="n"/>
      <c r="F277" s="50" t="n"/>
      <c r="G277" s="50" t="n"/>
      <c r="H277" s="50" t="n"/>
      <c r="I277" s="52" t="n"/>
      <c r="J277" s="135" t="n"/>
      <c r="K277" s="135" t="n"/>
      <c r="L277" s="50" t="n"/>
    </row>
    <row r="278">
      <c r="B278" s="135" t="n"/>
      <c r="C278" s="50" t="n"/>
      <c r="D278" s="50" t="n"/>
      <c r="E278" s="50" t="n"/>
      <c r="F278" s="50" t="n"/>
      <c r="G278" s="50" t="n"/>
      <c r="H278" s="50" t="n"/>
      <c r="I278" s="52" t="n"/>
      <c r="J278" s="135" t="n"/>
      <c r="K278" s="135" t="n"/>
      <c r="L278" s="50" t="n"/>
    </row>
    <row r="279">
      <c r="B279" s="135" t="n"/>
      <c r="C279" s="50" t="n"/>
      <c r="D279" s="50" t="n"/>
      <c r="E279" s="50" t="n"/>
      <c r="F279" s="50" t="n"/>
      <c r="G279" s="50" t="n"/>
      <c r="H279" s="50" t="n"/>
      <c r="I279" s="52" t="n"/>
      <c r="J279" s="135" t="n"/>
      <c r="K279" s="135" t="n"/>
      <c r="L279" s="50" t="n"/>
    </row>
    <row r="280">
      <c r="B280" s="135" t="n"/>
      <c r="C280" s="50" t="n"/>
      <c r="D280" s="50" t="n"/>
      <c r="E280" s="50" t="n"/>
      <c r="F280" s="50" t="n"/>
      <c r="G280" s="50" t="n"/>
      <c r="H280" s="50" t="n"/>
      <c r="I280" s="52" t="n"/>
      <c r="J280" s="135" t="n"/>
      <c r="K280" s="135" t="n"/>
      <c r="L280" s="50" t="n"/>
    </row>
    <row r="281">
      <c r="B281" s="135" t="n"/>
      <c r="C281" s="50" t="n"/>
      <c r="D281" s="50" t="n"/>
      <c r="E281" s="50" t="n"/>
      <c r="F281" s="50" t="n"/>
      <c r="G281" s="50" t="n"/>
      <c r="H281" s="50" t="n"/>
      <c r="I281" s="52" t="n"/>
      <c r="J281" s="135" t="n"/>
      <c r="K281" s="135" t="n"/>
      <c r="L281" s="50" t="n"/>
    </row>
    <row r="282">
      <c r="B282" s="135" t="n"/>
      <c r="C282" s="50" t="n"/>
      <c r="D282" s="50" t="n"/>
      <c r="E282" s="50" t="n"/>
      <c r="F282" s="50" t="n"/>
      <c r="G282" s="50" t="n"/>
      <c r="H282" s="50" t="n"/>
      <c r="I282" s="52" t="n"/>
      <c r="J282" s="135" t="n"/>
      <c r="K282" s="135" t="n"/>
      <c r="L282" s="50" t="n"/>
    </row>
    <row r="283">
      <c r="B283" s="135" t="n"/>
      <c r="C283" s="50" t="n"/>
      <c r="D283" s="50" t="n"/>
      <c r="E283" s="50" t="n"/>
      <c r="F283" s="50" t="n"/>
      <c r="G283" s="50" t="n"/>
      <c r="H283" s="50" t="n"/>
      <c r="I283" s="52" t="n"/>
      <c r="J283" s="135" t="n"/>
      <c r="K283" s="135" t="n"/>
      <c r="L283" s="50" t="n"/>
    </row>
    <row r="284">
      <c r="B284" s="135" t="n"/>
      <c r="C284" s="50" t="n"/>
      <c r="D284" s="50" t="n"/>
      <c r="E284" s="50" t="n"/>
      <c r="F284" s="50" t="n"/>
      <c r="G284" s="50" t="n"/>
      <c r="H284" s="50" t="n"/>
      <c r="I284" s="52" t="n"/>
      <c r="J284" s="135" t="n"/>
      <c r="K284" s="135" t="n"/>
      <c r="L284" s="50" t="n"/>
    </row>
    <row r="285">
      <c r="B285" s="135" t="n"/>
      <c r="C285" s="50" t="n"/>
      <c r="D285" s="50" t="n"/>
      <c r="E285" s="50" t="n"/>
      <c r="F285" s="50" t="n"/>
      <c r="G285" s="50" t="n"/>
      <c r="H285" s="50" t="n"/>
      <c r="I285" s="52" t="n"/>
      <c r="J285" s="135" t="n"/>
      <c r="K285" s="135" t="n"/>
      <c r="L285" s="50" t="n"/>
    </row>
    <row r="286">
      <c r="B286" s="135" t="n"/>
      <c r="C286" s="50" t="n"/>
      <c r="D286" s="50" t="n"/>
      <c r="E286" s="50" t="n"/>
      <c r="F286" s="50" t="n"/>
      <c r="G286" s="50" t="n"/>
      <c r="H286" s="50" t="n"/>
      <c r="I286" s="52" t="n"/>
      <c r="J286" s="135" t="n"/>
      <c r="K286" s="135" t="n"/>
      <c r="L286" s="50" t="n"/>
    </row>
    <row r="287">
      <c r="B287" s="135" t="n"/>
      <c r="C287" s="50" t="n"/>
      <c r="D287" s="50" t="n"/>
      <c r="E287" s="50" t="n"/>
      <c r="F287" s="50" t="n"/>
      <c r="G287" s="50" t="n"/>
      <c r="H287" s="50" t="n"/>
      <c r="I287" s="52" t="n"/>
      <c r="J287" s="135" t="n"/>
      <c r="K287" s="135" t="n"/>
      <c r="L287" s="50" t="n"/>
    </row>
    <row r="288">
      <c r="B288" s="135" t="n"/>
      <c r="C288" s="50" t="n"/>
      <c r="D288" s="50" t="n"/>
      <c r="E288" s="50" t="n"/>
      <c r="F288" s="50" t="n"/>
      <c r="G288" s="50" t="n"/>
      <c r="H288" s="50" t="n"/>
      <c r="I288" s="52" t="n"/>
      <c r="J288" s="135" t="n"/>
      <c r="K288" s="135" t="n"/>
      <c r="L288" s="50" t="n"/>
    </row>
    <row r="289">
      <c r="B289" s="135" t="n"/>
      <c r="C289" s="50" t="n"/>
      <c r="D289" s="50" t="n"/>
      <c r="E289" s="50" t="n"/>
      <c r="F289" s="50" t="n"/>
      <c r="G289" s="50" t="n"/>
      <c r="H289" s="50" t="n"/>
      <c r="I289" s="52" t="n"/>
      <c r="J289" s="135" t="n"/>
      <c r="K289" s="135" t="n"/>
      <c r="L289" s="50" t="n"/>
    </row>
    <row r="290">
      <c r="B290" s="135" t="n"/>
      <c r="C290" s="50" t="n"/>
      <c r="D290" s="50" t="n"/>
      <c r="E290" s="50" t="n"/>
      <c r="F290" s="50" t="n"/>
      <c r="G290" s="50" t="n"/>
      <c r="H290" s="50" t="n"/>
      <c r="I290" s="52" t="n"/>
      <c r="J290" s="135" t="n"/>
      <c r="K290" s="135" t="n"/>
      <c r="L290" s="50" t="n"/>
    </row>
    <row r="291">
      <c r="B291" s="135" t="n"/>
      <c r="C291" s="50" t="n"/>
      <c r="D291" s="50" t="n"/>
      <c r="E291" s="50" t="n"/>
      <c r="F291" s="50" t="n"/>
      <c r="G291" s="50" t="n"/>
      <c r="H291" s="50" t="n"/>
      <c r="I291" s="52" t="n"/>
      <c r="J291" s="135" t="n"/>
      <c r="K291" s="135" t="n"/>
      <c r="L291" s="50" t="n"/>
    </row>
    <row r="292">
      <c r="B292" s="135" t="n"/>
      <c r="C292" s="50" t="n"/>
      <c r="D292" s="50" t="n"/>
      <c r="E292" s="50" t="n"/>
      <c r="F292" s="50" t="n"/>
      <c r="G292" s="50" t="n"/>
      <c r="H292" s="50" t="n"/>
      <c r="I292" s="52" t="n"/>
      <c r="J292" s="135" t="n"/>
      <c r="K292" s="135" t="n"/>
      <c r="L292" s="50" t="n"/>
    </row>
    <row r="293">
      <c r="B293" s="135" t="n"/>
      <c r="C293" s="50" t="n"/>
      <c r="D293" s="50" t="n"/>
      <c r="E293" s="50" t="n"/>
      <c r="F293" s="50" t="n"/>
      <c r="G293" s="50" t="n"/>
      <c r="H293" s="50" t="n"/>
      <c r="I293" s="52" t="n"/>
      <c r="J293" s="135" t="n"/>
      <c r="K293" s="135" t="n"/>
      <c r="L293" s="50" t="n"/>
    </row>
    <row r="294">
      <c r="B294" s="135" t="n"/>
      <c r="C294" s="50" t="n"/>
      <c r="D294" s="50" t="n"/>
      <c r="E294" s="50" t="n"/>
      <c r="F294" s="50" t="n"/>
      <c r="G294" s="50" t="n"/>
      <c r="H294" s="50" t="n"/>
      <c r="I294" s="52" t="n"/>
      <c r="J294" s="135" t="n"/>
      <c r="K294" s="135" t="n"/>
      <c r="L294" s="50" t="n"/>
    </row>
    <row r="295">
      <c r="B295" s="135" t="n"/>
      <c r="C295" s="50" t="n"/>
      <c r="D295" s="50" t="n"/>
      <c r="E295" s="50" t="n"/>
      <c r="F295" s="50" t="n"/>
      <c r="G295" s="50" t="n"/>
      <c r="H295" s="50" t="n"/>
      <c r="I295" s="52" t="n"/>
      <c r="J295" s="135" t="n"/>
      <c r="K295" s="135" t="n"/>
      <c r="L295" s="50" t="n"/>
    </row>
    <row r="296">
      <c r="B296" s="135" t="n"/>
      <c r="C296" s="50" t="n"/>
      <c r="D296" s="50" t="n"/>
      <c r="E296" s="50" t="n"/>
      <c r="F296" s="50" t="n"/>
      <c r="G296" s="50" t="n"/>
      <c r="H296" s="50" t="n"/>
      <c r="I296" s="52" t="n"/>
      <c r="J296" s="135" t="n"/>
      <c r="K296" s="135" t="n"/>
      <c r="L296" s="50" t="n"/>
    </row>
    <row r="297">
      <c r="B297" s="135" t="n"/>
      <c r="C297" s="50" t="n"/>
      <c r="D297" s="50" t="n"/>
      <c r="E297" s="50" t="n"/>
      <c r="F297" s="50" t="n"/>
      <c r="G297" s="50" t="n"/>
      <c r="H297" s="50" t="n"/>
      <c r="I297" s="52" t="n"/>
      <c r="J297" s="135" t="n"/>
      <c r="K297" s="135" t="n"/>
      <c r="L297" s="50" t="n"/>
    </row>
    <row r="298">
      <c r="B298" s="135" t="n"/>
      <c r="C298" s="50" t="n"/>
      <c r="D298" s="50" t="n"/>
      <c r="E298" s="50" t="n"/>
      <c r="F298" s="50" t="n"/>
      <c r="G298" s="50" t="n"/>
      <c r="H298" s="50" t="n"/>
      <c r="I298" s="52" t="n"/>
      <c r="J298" s="135" t="n"/>
      <c r="K298" s="135" t="n"/>
      <c r="L298" s="50" t="n"/>
    </row>
    <row r="299">
      <c r="B299" s="135" t="n"/>
      <c r="C299" s="50" t="n"/>
      <c r="D299" s="50" t="n"/>
      <c r="E299" s="50" t="n"/>
      <c r="F299" s="50" t="n"/>
      <c r="G299" s="50" t="n"/>
      <c r="H299" s="50" t="n"/>
      <c r="I299" s="52" t="n"/>
      <c r="J299" s="135" t="n"/>
      <c r="K299" s="135" t="n"/>
      <c r="L299" s="50" t="n"/>
    </row>
    <row r="300">
      <c r="B300" s="135" t="n"/>
      <c r="C300" s="50" t="n"/>
      <c r="D300" s="50" t="n"/>
      <c r="E300" s="50" t="n"/>
      <c r="F300" s="50" t="n"/>
      <c r="G300" s="50" t="n"/>
      <c r="H300" s="50" t="n"/>
      <c r="I300" s="52" t="n"/>
      <c r="J300" s="135" t="n"/>
      <c r="K300" s="135" t="n"/>
      <c r="L300" s="50" t="n"/>
    </row>
    <row r="301">
      <c r="B301" s="135" t="n"/>
      <c r="C301" s="50" t="n"/>
      <c r="D301" s="50" t="n"/>
      <c r="E301" s="50" t="n"/>
      <c r="F301" s="50" t="n"/>
      <c r="G301" s="50" t="n"/>
      <c r="H301" s="50" t="n"/>
      <c r="I301" s="52" t="n"/>
      <c r="J301" s="135" t="n"/>
      <c r="K301" s="135" t="n"/>
      <c r="L301" s="50" t="n"/>
    </row>
    <row r="302">
      <c r="B302" s="135" t="n"/>
      <c r="C302" s="50" t="n"/>
      <c r="D302" s="50" t="n"/>
      <c r="E302" s="50" t="n"/>
      <c r="F302" s="50" t="n"/>
      <c r="G302" s="50" t="n"/>
      <c r="H302" s="50" t="n"/>
      <c r="I302" s="52" t="n"/>
      <c r="J302" s="135" t="n"/>
      <c r="K302" s="135" t="n"/>
      <c r="L302" s="50" t="n"/>
    </row>
    <row r="303">
      <c r="B303" s="135" t="n"/>
      <c r="C303" s="50" t="n"/>
      <c r="D303" s="50" t="n"/>
      <c r="E303" s="50" t="n"/>
      <c r="F303" s="50" t="n"/>
      <c r="G303" s="50" t="n"/>
      <c r="H303" s="50" t="n"/>
      <c r="I303" s="52" t="n"/>
      <c r="J303" s="135" t="n"/>
      <c r="K303" s="135" t="n"/>
      <c r="L303" s="50" t="n"/>
    </row>
    <row r="304">
      <c r="B304" s="135" t="n"/>
      <c r="C304" s="50" t="n"/>
      <c r="D304" s="50" t="n"/>
      <c r="E304" s="50" t="n"/>
      <c r="F304" s="50" t="n"/>
      <c r="G304" s="50" t="n"/>
      <c r="H304" s="50" t="n"/>
      <c r="I304" s="52" t="n"/>
      <c r="J304" s="135" t="n"/>
      <c r="K304" s="135" t="n"/>
      <c r="L304" s="50" t="n"/>
    </row>
    <row r="305">
      <c r="B305" s="135" t="n"/>
      <c r="C305" s="50" t="n"/>
      <c r="D305" s="50" t="n"/>
      <c r="E305" s="50" t="n"/>
      <c r="F305" s="50" t="n"/>
      <c r="G305" s="50" t="n"/>
      <c r="H305" s="50" t="n"/>
      <c r="I305" s="52" t="n"/>
      <c r="J305" s="135" t="n"/>
      <c r="K305" s="135" t="n"/>
      <c r="L305" s="50" t="n"/>
    </row>
    <row r="306">
      <c r="B306" s="135" t="n"/>
      <c r="C306" s="50" t="n"/>
      <c r="D306" s="50" t="n"/>
      <c r="E306" s="50" t="n"/>
      <c r="F306" s="50" t="n"/>
      <c r="G306" s="50" t="n"/>
      <c r="H306" s="50" t="n"/>
      <c r="I306" s="52" t="n"/>
      <c r="J306" s="135" t="n"/>
      <c r="K306" s="135" t="n"/>
      <c r="L306" s="50" t="n"/>
    </row>
    <row r="307">
      <c r="B307" s="135" t="n"/>
      <c r="C307" s="50" t="n"/>
      <c r="D307" s="50" t="n"/>
      <c r="E307" s="50" t="n"/>
      <c r="F307" s="50" t="n"/>
      <c r="G307" s="50" t="n"/>
      <c r="H307" s="50" t="n"/>
      <c r="I307" s="52" t="n"/>
      <c r="J307" s="135" t="n"/>
      <c r="K307" s="135" t="n"/>
      <c r="L307" s="50" t="n"/>
    </row>
    <row r="308">
      <c r="B308" s="135" t="n"/>
      <c r="C308" s="50" t="n"/>
      <c r="D308" s="50" t="n"/>
      <c r="E308" s="50" t="n"/>
      <c r="F308" s="50" t="n"/>
      <c r="G308" s="50" t="n"/>
      <c r="H308" s="50" t="n"/>
      <c r="I308" s="52" t="n"/>
      <c r="J308" s="135" t="n"/>
      <c r="K308" s="135" t="n"/>
      <c r="L308" s="50" t="n"/>
    </row>
    <row r="309">
      <c r="B309" s="135" t="n"/>
      <c r="C309" s="50" t="n"/>
      <c r="D309" s="50" t="n"/>
      <c r="E309" s="50" t="n"/>
      <c r="F309" s="50" t="n"/>
      <c r="G309" s="50" t="n"/>
      <c r="H309" s="50" t="n"/>
      <c r="I309" s="52" t="n"/>
      <c r="J309" s="135" t="n"/>
      <c r="K309" s="135" t="n"/>
      <c r="L309" s="50" t="n"/>
    </row>
    <row r="310">
      <c r="B310" s="135" t="n"/>
      <c r="C310" s="50" t="n"/>
      <c r="D310" s="50" t="n"/>
      <c r="E310" s="50" t="n"/>
      <c r="F310" s="50" t="n"/>
      <c r="G310" s="50" t="n"/>
      <c r="H310" s="50" t="n"/>
      <c r="I310" s="52" t="n"/>
      <c r="J310" s="135" t="n"/>
      <c r="K310" s="135" t="n"/>
      <c r="L310" s="50" t="n"/>
    </row>
    <row r="311">
      <c r="B311" s="135" t="n"/>
      <c r="C311" s="50" t="n"/>
      <c r="D311" s="50" t="n"/>
      <c r="E311" s="50" t="n"/>
      <c r="F311" s="50" t="n"/>
      <c r="G311" s="50" t="n"/>
      <c r="H311" s="50" t="n"/>
      <c r="I311" s="52" t="n"/>
      <c r="J311" s="135" t="n"/>
      <c r="K311" s="135" t="n"/>
      <c r="L311" s="50" t="n"/>
    </row>
    <row r="312">
      <c r="B312" s="135" t="n"/>
      <c r="C312" s="50" t="n"/>
      <c r="D312" s="50" t="n"/>
      <c r="E312" s="50" t="n"/>
      <c r="F312" s="50" t="n"/>
      <c r="G312" s="50" t="n"/>
      <c r="H312" s="50" t="n"/>
      <c r="I312" s="52" t="n"/>
      <c r="J312" s="135" t="n"/>
      <c r="K312" s="135" t="n"/>
      <c r="L312" s="50" t="n"/>
    </row>
    <row r="313">
      <c r="B313" s="135" t="n"/>
      <c r="C313" s="50" t="n"/>
      <c r="D313" s="50" t="n"/>
      <c r="E313" s="50" t="n"/>
      <c r="F313" s="50" t="n"/>
      <c r="G313" s="50" t="n"/>
      <c r="H313" s="50" t="n"/>
      <c r="I313" s="52" t="n"/>
      <c r="J313" s="135" t="n"/>
      <c r="K313" s="135" t="n"/>
      <c r="L313" s="50" t="n"/>
    </row>
    <row r="314">
      <c r="B314" s="135" t="n"/>
      <c r="C314" s="50" t="n"/>
      <c r="D314" s="50" t="n"/>
      <c r="E314" s="50" t="n"/>
      <c r="F314" s="50" t="n"/>
      <c r="G314" s="50" t="n"/>
      <c r="H314" s="50" t="n"/>
      <c r="I314" s="52" t="n"/>
      <c r="J314" s="135" t="n"/>
      <c r="K314" s="135" t="n"/>
      <c r="L314" s="50" t="n"/>
    </row>
    <row r="315">
      <c r="B315" s="135" t="n"/>
      <c r="C315" s="50" t="n"/>
      <c r="D315" s="50" t="n"/>
      <c r="E315" s="50" t="n"/>
      <c r="F315" s="50" t="n"/>
      <c r="G315" s="50" t="n"/>
      <c r="H315" s="50" t="n"/>
      <c r="I315" s="52" t="n"/>
      <c r="J315" s="135" t="n"/>
      <c r="K315" s="135" t="n"/>
      <c r="L315" s="50" t="n"/>
    </row>
    <row r="316">
      <c r="B316" s="135" t="n"/>
      <c r="C316" s="50" t="n"/>
      <c r="D316" s="50" t="n"/>
      <c r="E316" s="50" t="n"/>
      <c r="F316" s="50" t="n"/>
      <c r="G316" s="50" t="n"/>
      <c r="H316" s="50" t="n"/>
      <c r="I316" s="52" t="n"/>
      <c r="J316" s="135" t="n"/>
      <c r="K316" s="135" t="n"/>
      <c r="L316" s="50" t="n"/>
    </row>
    <row r="317">
      <c r="B317" s="135" t="n"/>
      <c r="C317" s="50" t="n"/>
      <c r="D317" s="50" t="n"/>
      <c r="E317" s="50" t="n"/>
      <c r="F317" s="50" t="n"/>
      <c r="G317" s="50" t="n"/>
      <c r="H317" s="50" t="n"/>
      <c r="I317" s="52" t="n"/>
      <c r="J317" s="135" t="n"/>
      <c r="K317" s="135" t="n"/>
      <c r="L317" s="50" t="n"/>
    </row>
    <row r="318">
      <c r="B318" s="135" t="n"/>
      <c r="C318" s="50" t="n"/>
      <c r="D318" s="50" t="n"/>
      <c r="E318" s="50" t="n"/>
      <c r="F318" s="50" t="n"/>
      <c r="G318" s="50" t="n"/>
      <c r="H318" s="50" t="n"/>
      <c r="I318" s="52" t="n"/>
      <c r="J318" s="135" t="n"/>
      <c r="K318" s="135" t="n"/>
      <c r="L318" s="50" t="n"/>
    </row>
    <row r="319">
      <c r="B319" s="135" t="n"/>
      <c r="C319" s="50" t="n"/>
      <c r="D319" s="50" t="n"/>
      <c r="E319" s="50" t="n"/>
      <c r="F319" s="50" t="n"/>
      <c r="G319" s="50" t="n"/>
      <c r="H319" s="50" t="n"/>
      <c r="I319" s="52" t="n"/>
      <c r="J319" s="135" t="n"/>
      <c r="K319" s="135" t="n"/>
      <c r="L319" s="50" t="n"/>
    </row>
    <row r="320">
      <c r="B320" s="135" t="n"/>
      <c r="C320" s="50" t="n"/>
      <c r="D320" s="50" t="n"/>
      <c r="E320" s="50" t="n"/>
      <c r="F320" s="50" t="n"/>
      <c r="G320" s="50" t="n"/>
      <c r="H320" s="50" t="n"/>
      <c r="I320" s="52" t="n"/>
      <c r="J320" s="135" t="n"/>
      <c r="K320" s="135" t="n"/>
      <c r="L320" s="50" t="n"/>
    </row>
    <row r="321">
      <c r="B321" s="135" t="n"/>
      <c r="C321" s="50" t="n"/>
      <c r="D321" s="50" t="n"/>
      <c r="E321" s="50" t="n"/>
      <c r="F321" s="50" t="n"/>
      <c r="G321" s="50" t="n"/>
      <c r="H321" s="50" t="n"/>
      <c r="I321" s="52" t="n"/>
      <c r="J321" s="135" t="n"/>
      <c r="K321" s="135" t="n"/>
      <c r="L321" s="50" t="n"/>
    </row>
    <row r="322">
      <c r="B322" s="135" t="n"/>
      <c r="C322" s="50" t="n"/>
      <c r="D322" s="50" t="n"/>
      <c r="E322" s="50" t="n"/>
      <c r="F322" s="50" t="n"/>
      <c r="G322" s="50" t="n"/>
      <c r="H322" s="50" t="n"/>
      <c r="I322" s="52" t="n"/>
      <c r="J322" s="135" t="n"/>
      <c r="K322" s="135" t="n"/>
      <c r="L322" s="50" t="n"/>
    </row>
    <row r="323">
      <c r="B323" s="135" t="n"/>
      <c r="C323" s="50" t="n"/>
      <c r="D323" s="50" t="n"/>
      <c r="E323" s="50" t="n"/>
      <c r="F323" s="50" t="n"/>
      <c r="G323" s="50" t="n"/>
      <c r="H323" s="50" t="n"/>
      <c r="I323" s="52" t="n"/>
      <c r="J323" s="135" t="n"/>
      <c r="K323" s="135" t="n"/>
      <c r="L323" s="50" t="n"/>
    </row>
    <row r="324">
      <c r="B324" s="135" t="n"/>
      <c r="C324" s="50" t="n"/>
      <c r="D324" s="50" t="n"/>
      <c r="E324" s="50" t="n"/>
      <c r="F324" s="50" t="n"/>
      <c r="G324" s="50" t="n"/>
      <c r="H324" s="50" t="n"/>
      <c r="I324" s="52" t="n"/>
      <c r="J324" s="135" t="n"/>
      <c r="K324" s="135" t="n"/>
      <c r="L324" s="50" t="n"/>
    </row>
    <row r="325">
      <c r="B325" s="135" t="n"/>
      <c r="C325" s="50" t="n"/>
      <c r="D325" s="50" t="n"/>
      <c r="E325" s="50" t="n"/>
      <c r="F325" s="50" t="n"/>
      <c r="G325" s="50" t="n"/>
      <c r="H325" s="50" t="n"/>
      <c r="I325" s="52" t="n"/>
      <c r="J325" s="135" t="n"/>
      <c r="K325" s="135" t="n"/>
      <c r="L325" s="50" t="n"/>
    </row>
    <row r="326">
      <c r="B326" s="135" t="n"/>
      <c r="C326" s="50" t="n"/>
      <c r="D326" s="50" t="n"/>
      <c r="E326" s="50" t="n"/>
      <c r="F326" s="50" t="n"/>
      <c r="G326" s="50" t="n"/>
      <c r="H326" s="50" t="n"/>
      <c r="I326" s="52" t="n"/>
      <c r="J326" s="135" t="n"/>
      <c r="K326" s="135" t="n"/>
      <c r="L326" s="50" t="n"/>
    </row>
    <row r="327">
      <c r="B327" s="135" t="n"/>
      <c r="C327" s="50" t="n"/>
      <c r="D327" s="50" t="n"/>
      <c r="E327" s="50" t="n"/>
      <c r="F327" s="50" t="n"/>
      <c r="G327" s="50" t="n"/>
      <c r="H327" s="50" t="n"/>
      <c r="I327" s="52" t="n"/>
      <c r="J327" s="135" t="n"/>
      <c r="K327" s="135" t="n"/>
      <c r="L327" s="50" t="n"/>
    </row>
    <row r="328">
      <c r="B328" s="135" t="n"/>
      <c r="C328" s="50" t="n"/>
      <c r="D328" s="50" t="n"/>
      <c r="E328" s="50" t="n"/>
      <c r="F328" s="50" t="n"/>
      <c r="G328" s="50" t="n"/>
      <c r="H328" s="50" t="n"/>
      <c r="I328" s="52" t="n"/>
      <c r="J328" s="135" t="n"/>
      <c r="K328" s="135" t="n"/>
      <c r="L328" s="50" t="n"/>
    </row>
    <row r="329">
      <c r="B329" s="135" t="n"/>
      <c r="C329" s="50" t="n"/>
      <c r="D329" s="50" t="n"/>
      <c r="E329" s="50" t="n"/>
      <c r="F329" s="50" t="n"/>
      <c r="G329" s="50" t="n"/>
      <c r="H329" s="50" t="n"/>
      <c r="I329" s="52" t="n"/>
      <c r="J329" s="135" t="n"/>
      <c r="K329" s="135" t="n"/>
      <c r="L329" s="50" t="n"/>
    </row>
    <row r="330">
      <c r="B330" s="135" t="n"/>
      <c r="C330" s="50" t="n"/>
      <c r="D330" s="50" t="n"/>
      <c r="E330" s="50" t="n"/>
      <c r="F330" s="50" t="n"/>
      <c r="G330" s="50" t="n"/>
      <c r="H330" s="50" t="n"/>
      <c r="I330" s="52" t="n"/>
      <c r="J330" s="135" t="n"/>
      <c r="K330" s="135" t="n"/>
      <c r="L330" s="50" t="n"/>
    </row>
    <row r="331">
      <c r="B331" s="135" t="n"/>
      <c r="C331" s="50" t="n"/>
      <c r="D331" s="50" t="n"/>
      <c r="E331" s="50" t="n"/>
      <c r="F331" s="50" t="n"/>
      <c r="G331" s="50" t="n"/>
      <c r="H331" s="50" t="n"/>
      <c r="I331" s="52" t="n"/>
      <c r="J331" s="135" t="n"/>
      <c r="K331" s="135" t="n"/>
      <c r="L331" s="50" t="n"/>
    </row>
    <row r="332">
      <c r="B332" s="135" t="n"/>
      <c r="C332" s="50" t="n"/>
      <c r="D332" s="50" t="n"/>
      <c r="E332" s="50" t="n"/>
      <c r="F332" s="50" t="n"/>
      <c r="G332" s="50" t="n"/>
      <c r="H332" s="50" t="n"/>
      <c r="I332" s="52" t="n"/>
      <c r="J332" s="135" t="n"/>
      <c r="K332" s="135" t="n"/>
      <c r="L332" s="50" t="n"/>
    </row>
    <row r="333">
      <c r="B333" s="135" t="n"/>
      <c r="C333" s="50" t="n"/>
      <c r="D333" s="50" t="n"/>
      <c r="E333" s="50" t="n"/>
      <c r="F333" s="50" t="n"/>
      <c r="G333" s="50" t="n"/>
      <c r="H333" s="50" t="n"/>
      <c r="I333" s="52" t="n"/>
      <c r="J333" s="135" t="n"/>
      <c r="K333" s="135" t="n"/>
      <c r="L333" s="50" t="n"/>
    </row>
    <row r="334">
      <c r="B334" s="135" t="n"/>
      <c r="C334" s="50" t="n"/>
      <c r="D334" s="50" t="n"/>
      <c r="E334" s="50" t="n"/>
      <c r="F334" s="50" t="n"/>
      <c r="G334" s="50" t="n"/>
      <c r="H334" s="50" t="n"/>
      <c r="I334" s="52" t="n"/>
      <c r="J334" s="135" t="n"/>
      <c r="K334" s="135" t="n"/>
      <c r="L334" s="50" t="n"/>
    </row>
    <row r="335">
      <c r="B335" s="135" t="n"/>
      <c r="C335" s="50" t="n"/>
      <c r="D335" s="50" t="n"/>
      <c r="E335" s="50" t="n"/>
      <c r="F335" s="50" t="n"/>
      <c r="G335" s="50" t="n"/>
      <c r="H335" s="50" t="n"/>
      <c r="I335" s="52" t="n"/>
      <c r="J335" s="135" t="n"/>
      <c r="K335" s="135" t="n"/>
      <c r="L335" s="50" t="n"/>
    </row>
    <row r="336">
      <c r="B336" s="135" t="n"/>
      <c r="C336" s="50" t="n"/>
      <c r="D336" s="50" t="n"/>
      <c r="E336" s="50" t="n"/>
      <c r="F336" s="50" t="n"/>
      <c r="G336" s="50" t="n"/>
      <c r="H336" s="50" t="n"/>
      <c r="I336" s="52" t="n"/>
      <c r="J336" s="135" t="n"/>
      <c r="K336" s="135" t="n"/>
      <c r="L336" s="50" t="n"/>
    </row>
    <row r="337">
      <c r="B337" s="135" t="n"/>
      <c r="C337" s="50" t="n"/>
      <c r="D337" s="50" t="n"/>
      <c r="E337" s="50" t="n"/>
      <c r="F337" s="50" t="n"/>
      <c r="G337" s="50" t="n"/>
      <c r="H337" s="50" t="n"/>
      <c r="I337" s="52" t="n"/>
      <c r="J337" s="135" t="n"/>
      <c r="K337" s="135" t="n"/>
      <c r="L337" s="50" t="n"/>
    </row>
    <row r="338">
      <c r="B338" s="135" t="n"/>
      <c r="C338" s="50" t="n"/>
      <c r="D338" s="50" t="n"/>
      <c r="E338" s="50" t="n"/>
      <c r="F338" s="50" t="n"/>
      <c r="G338" s="50" t="n"/>
      <c r="H338" s="50" t="n"/>
      <c r="I338" s="52" t="n"/>
      <c r="J338" s="135" t="n"/>
      <c r="K338" s="135" t="n"/>
      <c r="L338" s="50" t="n"/>
    </row>
    <row r="339">
      <c r="B339" s="135" t="n"/>
      <c r="C339" s="50" t="n"/>
      <c r="D339" s="50" t="n"/>
      <c r="E339" s="50" t="n"/>
      <c r="F339" s="50" t="n"/>
      <c r="G339" s="50" t="n"/>
      <c r="H339" s="50" t="n"/>
      <c r="I339" s="52" t="n"/>
      <c r="J339" s="135" t="n"/>
      <c r="K339" s="135" t="n"/>
      <c r="L339" s="50" t="n"/>
    </row>
    <row r="340">
      <c r="B340" s="135" t="n"/>
      <c r="C340" s="50" t="n"/>
      <c r="D340" s="50" t="n"/>
      <c r="E340" s="50" t="n"/>
      <c r="F340" s="50" t="n"/>
      <c r="G340" s="50" t="n"/>
      <c r="H340" s="50" t="n"/>
      <c r="I340" s="52" t="n"/>
      <c r="J340" s="135" t="n"/>
      <c r="K340" s="135" t="n"/>
      <c r="L340" s="50" t="n"/>
    </row>
    <row r="341">
      <c r="B341" s="135" t="n"/>
      <c r="C341" s="50" t="n"/>
      <c r="D341" s="50" t="n"/>
      <c r="E341" s="50" t="n"/>
      <c r="F341" s="50" t="n"/>
      <c r="G341" s="50" t="n"/>
      <c r="H341" s="50" t="n"/>
      <c r="I341" s="52" t="n"/>
      <c r="J341" s="135" t="n"/>
      <c r="K341" s="135" t="n"/>
      <c r="L341" s="50" t="n"/>
    </row>
    <row r="342">
      <c r="B342" s="135" t="n"/>
      <c r="C342" s="50" t="n"/>
      <c r="D342" s="50" t="n"/>
      <c r="E342" s="50" t="n"/>
      <c r="F342" s="50" t="n"/>
      <c r="G342" s="50" t="n"/>
      <c r="H342" s="50" t="n"/>
      <c r="I342" s="52" t="n"/>
      <c r="J342" s="135" t="n"/>
      <c r="K342" s="135" t="n"/>
      <c r="L342" s="50" t="n"/>
    </row>
    <row r="343">
      <c r="B343" s="135" t="n"/>
      <c r="C343" s="50" t="n"/>
      <c r="D343" s="50" t="n"/>
      <c r="E343" s="50" t="n"/>
      <c r="F343" s="50" t="n"/>
      <c r="G343" s="50" t="n"/>
      <c r="H343" s="50" t="n"/>
      <c r="I343" s="52" t="n"/>
      <c r="J343" s="135" t="n"/>
      <c r="K343" s="135" t="n"/>
      <c r="L343" s="50" t="n"/>
    </row>
    <row r="344">
      <c r="B344" s="135" t="n"/>
      <c r="C344" s="50" t="n"/>
      <c r="D344" s="50" t="n"/>
      <c r="E344" s="50" t="n"/>
      <c r="F344" s="50" t="n"/>
      <c r="G344" s="50" t="n"/>
      <c r="H344" s="50" t="n"/>
      <c r="I344" s="52" t="n"/>
      <c r="J344" s="135" t="n"/>
      <c r="K344" s="135" t="n"/>
      <c r="L344" s="50" t="n"/>
    </row>
    <row r="345">
      <c r="B345" s="135" t="n"/>
      <c r="C345" s="50" t="n"/>
      <c r="D345" s="50" t="n"/>
      <c r="E345" s="50" t="n"/>
      <c r="F345" s="50" t="n"/>
      <c r="G345" s="50" t="n"/>
      <c r="H345" s="50" t="n"/>
      <c r="I345" s="52" t="n"/>
      <c r="J345" s="135" t="n"/>
      <c r="K345" s="135" t="n"/>
      <c r="L345" s="50" t="n"/>
    </row>
    <row r="346">
      <c r="B346" s="135" t="n"/>
      <c r="C346" s="50" t="n"/>
      <c r="D346" s="50" t="n"/>
      <c r="E346" s="50" t="n"/>
      <c r="F346" s="50" t="n"/>
      <c r="G346" s="50" t="n"/>
      <c r="H346" s="50" t="n"/>
      <c r="I346" s="52" t="n"/>
      <c r="J346" s="135" t="n"/>
      <c r="K346" s="135" t="n"/>
      <c r="L346" s="50" t="n"/>
    </row>
    <row r="347">
      <c r="B347" s="135" t="n"/>
      <c r="C347" s="50" t="n"/>
      <c r="D347" s="50" t="n"/>
      <c r="E347" s="50" t="n"/>
      <c r="F347" s="50" t="n"/>
      <c r="G347" s="50" t="n"/>
      <c r="H347" s="50" t="n"/>
      <c r="I347" s="52" t="n"/>
      <c r="J347" s="135" t="n"/>
      <c r="K347" s="135" t="n"/>
      <c r="L347" s="50" t="n"/>
    </row>
    <row r="348">
      <c r="B348" s="135" t="n"/>
      <c r="C348" s="50" t="n"/>
      <c r="D348" s="50" t="n"/>
      <c r="E348" s="50" t="n"/>
      <c r="F348" s="50" t="n"/>
      <c r="G348" s="50" t="n"/>
      <c r="H348" s="50" t="n"/>
      <c r="I348" s="52" t="n"/>
      <c r="J348" s="135" t="n"/>
      <c r="K348" s="135" t="n"/>
      <c r="L348" s="50" t="n"/>
    </row>
    <row r="349">
      <c r="B349" s="135" t="n"/>
      <c r="C349" s="50" t="n"/>
      <c r="D349" s="50" t="n"/>
      <c r="E349" s="50" t="n"/>
      <c r="F349" s="50" t="n"/>
      <c r="G349" s="50" t="n"/>
      <c r="H349" s="50" t="n"/>
      <c r="I349" s="52" t="n"/>
      <c r="J349" s="135" t="n"/>
      <c r="K349" s="135" t="n"/>
      <c r="L349" s="50" t="n"/>
    </row>
    <row r="350">
      <c r="B350" s="135" t="n"/>
      <c r="C350" s="50" t="n"/>
      <c r="D350" s="50" t="n"/>
      <c r="E350" s="50" t="n"/>
      <c r="F350" s="50" t="n"/>
      <c r="G350" s="50" t="n"/>
      <c r="H350" s="50" t="n"/>
      <c r="I350" s="52" t="n"/>
      <c r="J350" s="135" t="n"/>
      <c r="K350" s="135" t="n"/>
      <c r="L350" s="50" t="n"/>
    </row>
    <row r="351">
      <c r="B351" s="135" t="n"/>
      <c r="C351" s="50" t="n"/>
      <c r="D351" s="50" t="n"/>
      <c r="E351" s="50" t="n"/>
      <c r="F351" s="50" t="n"/>
      <c r="G351" s="50" t="n"/>
      <c r="H351" s="50" t="n"/>
      <c r="I351" s="52" t="n"/>
      <c r="J351" s="135" t="n"/>
      <c r="K351" s="135" t="n"/>
      <c r="L351" s="50" t="n"/>
    </row>
    <row r="352">
      <c r="B352" s="135" t="n"/>
      <c r="C352" s="50" t="n"/>
      <c r="D352" s="50" t="n"/>
      <c r="E352" s="50" t="n"/>
      <c r="F352" s="50" t="n"/>
      <c r="G352" s="50" t="n"/>
      <c r="H352" s="50" t="n"/>
      <c r="I352" s="52" t="n"/>
      <c r="J352" s="135" t="n"/>
      <c r="K352" s="135" t="n"/>
      <c r="L352" s="50" t="n"/>
    </row>
    <row r="353">
      <c r="B353" s="135" t="n"/>
      <c r="C353" s="50" t="n"/>
      <c r="D353" s="50" t="n"/>
      <c r="E353" s="50" t="n"/>
      <c r="F353" s="50" t="n"/>
      <c r="G353" s="50" t="n"/>
      <c r="H353" s="50" t="n"/>
      <c r="I353" s="52" t="n"/>
      <c r="J353" s="135" t="n"/>
      <c r="K353" s="135" t="n"/>
      <c r="L353" s="50" t="n"/>
    </row>
    <row r="354">
      <c r="B354" s="135" t="n"/>
      <c r="C354" s="50" t="n"/>
      <c r="D354" s="50" t="n"/>
      <c r="E354" s="50" t="n"/>
      <c r="F354" s="50" t="n"/>
      <c r="G354" s="50" t="n"/>
      <c r="H354" s="50" t="n"/>
      <c r="I354" s="52" t="n"/>
      <c r="J354" s="135" t="n"/>
      <c r="K354" s="135" t="n"/>
      <c r="L354" s="50" t="n"/>
    </row>
    <row r="355">
      <c r="B355" s="135" t="n"/>
      <c r="C355" s="50" t="n"/>
      <c r="D355" s="50" t="n"/>
      <c r="E355" s="50" t="n"/>
      <c r="F355" s="50" t="n"/>
      <c r="G355" s="50" t="n"/>
      <c r="H355" s="50" t="n"/>
      <c r="I355" s="52" t="n"/>
      <c r="J355" s="135" t="n"/>
      <c r="K355" s="135" t="n"/>
      <c r="L355" s="50" t="n"/>
    </row>
    <row r="356">
      <c r="B356" s="135" t="n"/>
      <c r="C356" s="50" t="n"/>
      <c r="D356" s="50" t="n"/>
      <c r="E356" s="50" t="n"/>
      <c r="F356" s="50" t="n"/>
      <c r="G356" s="50" t="n"/>
      <c r="H356" s="50" t="n"/>
      <c r="I356" s="52" t="n"/>
      <c r="J356" s="135" t="n"/>
      <c r="K356" s="135" t="n"/>
      <c r="L356" s="50" t="n"/>
    </row>
    <row r="357">
      <c r="B357" s="135" t="n"/>
      <c r="C357" s="50" t="n"/>
      <c r="D357" s="50" t="n"/>
      <c r="E357" s="50" t="n"/>
      <c r="F357" s="50" t="n"/>
      <c r="G357" s="50" t="n"/>
      <c r="H357" s="50" t="n"/>
      <c r="I357" s="52" t="n"/>
      <c r="J357" s="135" t="n"/>
      <c r="K357" s="135" t="n"/>
      <c r="L357" s="50" t="n"/>
    </row>
    <row r="358">
      <c r="B358" s="135" t="n"/>
      <c r="C358" s="50" t="n"/>
      <c r="D358" s="50" t="n"/>
      <c r="E358" s="50" t="n"/>
      <c r="F358" s="50" t="n"/>
      <c r="G358" s="50" t="n"/>
      <c r="H358" s="50" t="n"/>
      <c r="I358" s="52" t="n"/>
      <c r="J358" s="135" t="n"/>
      <c r="K358" s="135" t="n"/>
      <c r="L358" s="50" t="n"/>
    </row>
    <row r="359">
      <c r="B359" s="135" t="n"/>
      <c r="C359" s="50" t="n"/>
      <c r="D359" s="50" t="n"/>
      <c r="E359" s="50" t="n"/>
      <c r="F359" s="50" t="n"/>
      <c r="G359" s="50" t="n"/>
      <c r="H359" s="50" t="n"/>
      <c r="I359" s="52" t="n"/>
      <c r="J359" s="135" t="n"/>
      <c r="K359" s="135" t="n"/>
      <c r="L359" s="50" t="n"/>
    </row>
    <row r="360">
      <c r="B360" s="135" t="n"/>
      <c r="C360" s="50" t="n"/>
      <c r="D360" s="50" t="n"/>
      <c r="E360" s="50" t="n"/>
      <c r="F360" s="50" t="n"/>
      <c r="G360" s="50" t="n"/>
      <c r="H360" s="50" t="n"/>
      <c r="I360" s="52" t="n"/>
      <c r="J360" s="135" t="n"/>
      <c r="K360" s="135" t="n"/>
      <c r="L360" s="50" t="n"/>
    </row>
    <row r="361">
      <c r="B361" s="135" t="n"/>
      <c r="C361" s="50" t="n"/>
      <c r="D361" s="50" t="n"/>
      <c r="E361" s="50" t="n"/>
      <c r="F361" s="50" t="n"/>
      <c r="G361" s="50" t="n"/>
      <c r="H361" s="50" t="n"/>
      <c r="I361" s="52" t="n"/>
      <c r="J361" s="135" t="n"/>
      <c r="K361" s="135" t="n"/>
      <c r="L361" s="50" t="n"/>
    </row>
    <row r="362">
      <c r="B362" s="135" t="n"/>
      <c r="C362" s="50" t="n"/>
      <c r="D362" s="50" t="n"/>
      <c r="E362" s="50" t="n"/>
      <c r="F362" s="50" t="n"/>
      <c r="G362" s="50" t="n"/>
      <c r="H362" s="50" t="n"/>
      <c r="I362" s="52" t="n"/>
      <c r="J362" s="135" t="n"/>
      <c r="K362" s="135" t="n"/>
      <c r="L362" s="50" t="n"/>
    </row>
    <row r="363">
      <c r="B363" s="135" t="n"/>
      <c r="C363" s="50" t="n"/>
      <c r="D363" s="50" t="n"/>
      <c r="E363" s="50" t="n"/>
      <c r="F363" s="50" t="n"/>
      <c r="G363" s="50" t="n"/>
      <c r="H363" s="50" t="n"/>
      <c r="I363" s="52" t="n"/>
      <c r="J363" s="135" t="n"/>
      <c r="K363" s="135" t="n"/>
      <c r="L363" s="50" t="n"/>
    </row>
    <row r="364">
      <c r="B364" s="135" t="n"/>
      <c r="C364" s="50" t="n"/>
      <c r="D364" s="50" t="n"/>
      <c r="E364" s="50" t="n"/>
      <c r="F364" s="50" t="n"/>
      <c r="G364" s="50" t="n"/>
      <c r="H364" s="50" t="n"/>
      <c r="I364" s="52" t="n"/>
      <c r="J364" s="135" t="n"/>
      <c r="K364" s="135" t="n"/>
      <c r="L364" s="50" t="n"/>
    </row>
    <row r="365">
      <c r="B365" s="135" t="n"/>
      <c r="C365" s="50" t="n"/>
      <c r="D365" s="50" t="n"/>
      <c r="E365" s="50" t="n"/>
      <c r="F365" s="50" t="n"/>
      <c r="G365" s="50" t="n"/>
      <c r="H365" s="50" t="n"/>
      <c r="I365" s="52" t="n"/>
      <c r="J365" s="135" t="n"/>
      <c r="K365" s="135" t="n"/>
      <c r="L365" s="50" t="n"/>
    </row>
    <row r="366">
      <c r="B366" s="135" t="n"/>
      <c r="C366" s="50" t="n"/>
      <c r="D366" s="50" t="n"/>
      <c r="E366" s="50" t="n"/>
      <c r="F366" s="50" t="n"/>
      <c r="G366" s="50" t="n"/>
      <c r="H366" s="50" t="n"/>
      <c r="I366" s="52" t="n"/>
      <c r="J366" s="135" t="n"/>
      <c r="K366" s="135" t="n"/>
      <c r="L366" s="50" t="n"/>
    </row>
    <row r="367">
      <c r="B367" s="135" t="n"/>
      <c r="C367" s="50" t="n"/>
      <c r="D367" s="50" t="n"/>
      <c r="E367" s="50" t="n"/>
      <c r="F367" s="50" t="n"/>
      <c r="G367" s="50" t="n"/>
      <c r="H367" s="50" t="n"/>
      <c r="I367" s="52" t="n"/>
      <c r="J367" s="135" t="n"/>
      <c r="K367" s="135" t="n"/>
      <c r="L367" s="50" t="n"/>
    </row>
    <row r="368">
      <c r="B368" s="135" t="n"/>
      <c r="C368" s="50" t="n"/>
      <c r="D368" s="50" t="n"/>
      <c r="E368" s="50" t="n"/>
      <c r="F368" s="50" t="n"/>
      <c r="G368" s="50" t="n"/>
      <c r="H368" s="50" t="n"/>
      <c r="I368" s="52" t="n"/>
      <c r="J368" s="135" t="n"/>
      <c r="K368" s="135" t="n"/>
      <c r="L368" s="50" t="n"/>
    </row>
    <row r="369">
      <c r="B369" s="135" t="n"/>
      <c r="C369" s="50" t="n"/>
      <c r="D369" s="50" t="n"/>
      <c r="E369" s="50" t="n"/>
      <c r="F369" s="50" t="n"/>
      <c r="G369" s="50" t="n"/>
      <c r="H369" s="50" t="n"/>
      <c r="I369" s="52" t="n"/>
      <c r="J369" s="135" t="n"/>
      <c r="K369" s="135" t="n"/>
      <c r="L369" s="50" t="n"/>
    </row>
    <row r="370">
      <c r="B370" s="135" t="n"/>
      <c r="C370" s="50" t="n"/>
      <c r="D370" s="50" t="n"/>
      <c r="E370" s="50" t="n"/>
      <c r="F370" s="50" t="n"/>
      <c r="G370" s="50" t="n"/>
      <c r="H370" s="50" t="n"/>
      <c r="I370" s="52" t="n"/>
      <c r="J370" s="135" t="n"/>
      <c r="K370" s="135" t="n"/>
      <c r="L370" s="50" t="n"/>
    </row>
    <row r="371">
      <c r="B371" s="135" t="n"/>
      <c r="C371" s="50" t="n"/>
      <c r="D371" s="50" t="n"/>
      <c r="E371" s="50" t="n"/>
      <c r="F371" s="50" t="n"/>
      <c r="G371" s="50" t="n"/>
      <c r="H371" s="50" t="n"/>
      <c r="I371" s="52" t="n"/>
      <c r="J371" s="135" t="n"/>
      <c r="K371" s="135" t="n"/>
      <c r="L371" s="50" t="n"/>
    </row>
    <row r="372">
      <c r="B372" s="135" t="n"/>
      <c r="C372" s="50" t="n"/>
      <c r="D372" s="50" t="n"/>
      <c r="E372" s="50" t="n"/>
      <c r="F372" s="50" t="n"/>
      <c r="G372" s="50" t="n"/>
      <c r="H372" s="50" t="n"/>
      <c r="I372" s="52" t="n"/>
      <c r="J372" s="135" t="n"/>
      <c r="K372" s="135" t="n"/>
      <c r="L372" s="50" t="n"/>
    </row>
    <row r="373">
      <c r="B373" s="135" t="n"/>
      <c r="C373" s="50" t="n"/>
      <c r="D373" s="50" t="n"/>
      <c r="E373" s="50" t="n"/>
      <c r="F373" s="50" t="n"/>
      <c r="G373" s="50" t="n"/>
      <c r="H373" s="50" t="n"/>
      <c r="I373" s="52" t="n"/>
      <c r="J373" s="135" t="n"/>
      <c r="K373" s="135" t="n"/>
      <c r="L373" s="50" t="n"/>
    </row>
    <row r="374">
      <c r="B374" s="135" t="n"/>
      <c r="C374" s="50" t="n"/>
      <c r="D374" s="50" t="n"/>
      <c r="E374" s="50" t="n"/>
      <c r="F374" s="50" t="n"/>
      <c r="G374" s="50" t="n"/>
      <c r="H374" s="50" t="n"/>
      <c r="I374" s="52" t="n"/>
      <c r="J374" s="135" t="n"/>
      <c r="K374" s="135" t="n"/>
      <c r="L374" s="50" t="n"/>
    </row>
    <row r="375">
      <c r="B375" s="135" t="n"/>
      <c r="C375" s="50" t="n"/>
      <c r="D375" s="50" t="n"/>
      <c r="E375" s="50" t="n"/>
      <c r="F375" s="50" t="n"/>
      <c r="G375" s="50" t="n"/>
      <c r="H375" s="50" t="n"/>
      <c r="I375" s="52" t="n"/>
      <c r="J375" s="135" t="n"/>
      <c r="K375" s="135" t="n"/>
      <c r="L375" s="50" t="n"/>
    </row>
    <row r="376">
      <c r="B376" s="135" t="n"/>
      <c r="C376" s="50" t="n"/>
      <c r="D376" s="50" t="n"/>
      <c r="E376" s="50" t="n"/>
      <c r="F376" s="50" t="n"/>
      <c r="G376" s="50" t="n"/>
      <c r="H376" s="50" t="n"/>
      <c r="I376" s="52" t="n"/>
      <c r="J376" s="135" t="n"/>
      <c r="K376" s="135" t="n"/>
      <c r="L376" s="50" t="n"/>
    </row>
    <row r="377">
      <c r="B377" s="135" t="n"/>
      <c r="C377" s="50" t="n"/>
      <c r="D377" s="50" t="n"/>
      <c r="E377" s="50" t="n"/>
      <c r="F377" s="50" t="n"/>
      <c r="G377" s="50" t="n"/>
      <c r="H377" s="50" t="n"/>
      <c r="I377" s="52" t="n"/>
      <c r="J377" s="135" t="n"/>
      <c r="K377" s="135" t="n"/>
      <c r="L377" s="50" t="n"/>
    </row>
    <row r="378">
      <c r="B378" s="135" t="n"/>
      <c r="C378" s="50" t="n"/>
      <c r="D378" s="50" t="n"/>
      <c r="E378" s="50" t="n"/>
      <c r="F378" s="50" t="n"/>
      <c r="G378" s="50" t="n"/>
      <c r="H378" s="50" t="n"/>
      <c r="I378" s="52" t="n"/>
      <c r="J378" s="135" t="n"/>
      <c r="K378" s="135" t="n"/>
      <c r="L378" s="50" t="n"/>
    </row>
    <row r="379">
      <c r="B379" s="135" t="n"/>
      <c r="C379" s="50" t="n"/>
      <c r="D379" s="50" t="n"/>
      <c r="E379" s="50" t="n"/>
      <c r="F379" s="50" t="n"/>
      <c r="G379" s="50" t="n"/>
      <c r="H379" s="50" t="n"/>
      <c r="I379" s="52" t="n"/>
      <c r="J379" s="135" t="n"/>
      <c r="K379" s="135" t="n"/>
      <c r="L379" s="50" t="n"/>
    </row>
    <row r="380">
      <c r="B380" s="135" t="n"/>
      <c r="C380" s="50" t="n"/>
      <c r="D380" s="50" t="n"/>
      <c r="E380" s="50" t="n"/>
      <c r="F380" s="50" t="n"/>
      <c r="G380" s="50" t="n"/>
      <c r="H380" s="50" t="n"/>
      <c r="I380" s="52" t="n"/>
      <c r="J380" s="135" t="n"/>
      <c r="K380" s="135" t="n"/>
      <c r="L380" s="50" t="n"/>
    </row>
    <row r="381">
      <c r="B381" s="135" t="n"/>
      <c r="C381" s="50" t="n"/>
      <c r="D381" s="50" t="n"/>
      <c r="E381" s="50" t="n"/>
      <c r="F381" s="50" t="n"/>
      <c r="G381" s="50" t="n"/>
      <c r="H381" s="50" t="n"/>
      <c r="I381" s="52" t="n"/>
      <c r="J381" s="135" t="n"/>
      <c r="K381" s="135" t="n"/>
      <c r="L381" s="50" t="n"/>
    </row>
    <row r="382">
      <c r="B382" s="135" t="n"/>
      <c r="C382" s="50" t="n"/>
      <c r="D382" s="50" t="n"/>
      <c r="E382" s="50" t="n"/>
      <c r="F382" s="50" t="n"/>
      <c r="G382" s="50" t="n"/>
      <c r="H382" s="50" t="n"/>
      <c r="I382" s="52" t="n"/>
      <c r="J382" s="135" t="n"/>
      <c r="K382" s="135" t="n"/>
      <c r="L382" s="50" t="n"/>
    </row>
    <row r="383">
      <c r="B383" s="135" t="n"/>
      <c r="C383" s="50" t="n"/>
      <c r="D383" s="50" t="n"/>
      <c r="E383" s="50" t="n"/>
      <c r="F383" s="50" t="n"/>
      <c r="G383" s="50" t="n"/>
      <c r="H383" s="50" t="n"/>
      <c r="I383" s="52" t="n"/>
      <c r="J383" s="135" t="n"/>
      <c r="K383" s="135" t="n"/>
      <c r="L383" s="50" t="n"/>
    </row>
    <row r="384">
      <c r="B384" s="135" t="n"/>
      <c r="C384" s="50" t="n"/>
      <c r="D384" s="50" t="n"/>
      <c r="E384" s="50" t="n"/>
      <c r="F384" s="50" t="n"/>
      <c r="G384" s="50" t="n"/>
      <c r="H384" s="50" t="n"/>
      <c r="I384" s="52" t="n"/>
      <c r="J384" s="135" t="n"/>
      <c r="K384" s="135" t="n"/>
      <c r="L384" s="50" t="n"/>
    </row>
    <row r="385">
      <c r="B385" s="135" t="n"/>
      <c r="C385" s="50" t="n"/>
      <c r="D385" s="50" t="n"/>
      <c r="E385" s="50" t="n"/>
      <c r="F385" s="50" t="n"/>
      <c r="G385" s="50" t="n"/>
      <c r="H385" s="50" t="n"/>
      <c r="I385" s="52" t="n"/>
      <c r="J385" s="135" t="n"/>
      <c r="K385" s="135" t="n"/>
      <c r="L385" s="50" t="n"/>
    </row>
    <row r="386">
      <c r="B386" s="135" t="n"/>
      <c r="C386" s="50" t="n"/>
      <c r="D386" s="50" t="n"/>
      <c r="E386" s="50" t="n"/>
      <c r="F386" s="50" t="n"/>
      <c r="G386" s="50" t="n"/>
      <c r="H386" s="50" t="n"/>
      <c r="I386" s="52" t="n"/>
      <c r="J386" s="135" t="n"/>
      <c r="K386" s="135" t="n"/>
      <c r="L386" s="50" t="n"/>
    </row>
    <row r="387">
      <c r="B387" s="135" t="n"/>
      <c r="C387" s="50" t="n"/>
      <c r="D387" s="50" t="n"/>
      <c r="E387" s="50" t="n"/>
      <c r="F387" s="50" t="n"/>
      <c r="G387" s="50" t="n"/>
      <c r="H387" s="50" t="n"/>
      <c r="I387" s="52" t="n"/>
      <c r="J387" s="135" t="n"/>
      <c r="K387" s="135" t="n"/>
      <c r="L387" s="50" t="n"/>
    </row>
    <row r="388">
      <c r="B388" s="135" t="n"/>
      <c r="C388" s="50" t="n"/>
      <c r="D388" s="50" t="n"/>
      <c r="E388" s="50" t="n"/>
      <c r="F388" s="50" t="n"/>
      <c r="G388" s="50" t="n"/>
      <c r="H388" s="50" t="n"/>
      <c r="I388" s="52" t="n"/>
      <c r="J388" s="135" t="n"/>
      <c r="K388" s="135" t="n"/>
      <c r="L388" s="50" t="n"/>
    </row>
    <row r="389">
      <c r="B389" s="135" t="n"/>
      <c r="C389" s="50" t="n"/>
      <c r="D389" s="50" t="n"/>
      <c r="E389" s="50" t="n"/>
      <c r="F389" s="50" t="n"/>
      <c r="G389" s="50" t="n"/>
      <c r="H389" s="50" t="n"/>
      <c r="I389" s="52" t="n"/>
      <c r="J389" s="135" t="n"/>
      <c r="K389" s="135" t="n"/>
      <c r="L389" s="50" t="n"/>
    </row>
    <row r="390">
      <c r="B390" s="135" t="n"/>
      <c r="C390" s="50" t="n"/>
      <c r="D390" s="50" t="n"/>
      <c r="E390" s="50" t="n"/>
      <c r="F390" s="50" t="n"/>
      <c r="G390" s="50" t="n"/>
      <c r="H390" s="50" t="n"/>
      <c r="I390" s="52" t="n"/>
      <c r="J390" s="135" t="n"/>
      <c r="K390" s="135" t="n"/>
      <c r="L390" s="50" t="n"/>
    </row>
    <row r="391">
      <c r="B391" s="135" t="n"/>
      <c r="C391" s="50" t="n"/>
      <c r="D391" s="50" t="n"/>
      <c r="E391" s="50" t="n"/>
      <c r="F391" s="50" t="n"/>
      <c r="G391" s="50" t="n"/>
      <c r="H391" s="50" t="n"/>
      <c r="I391" s="52" t="n"/>
      <c r="J391" s="135" t="n"/>
      <c r="K391" s="135" t="n"/>
      <c r="L391" s="50" t="n"/>
    </row>
    <row r="392">
      <c r="B392" s="135" t="n"/>
      <c r="C392" s="50" t="n"/>
      <c r="D392" s="50" t="n"/>
      <c r="E392" s="50" t="n"/>
      <c r="F392" s="50" t="n"/>
      <c r="G392" s="50" t="n"/>
      <c r="H392" s="50" t="n"/>
      <c r="I392" s="52" t="n"/>
      <c r="J392" s="135" t="n"/>
      <c r="K392" s="135" t="n"/>
      <c r="L392" s="50" t="n"/>
    </row>
    <row r="393">
      <c r="B393" s="135" t="n"/>
      <c r="C393" s="50" t="n"/>
      <c r="D393" s="50" t="n"/>
      <c r="E393" s="50" t="n"/>
      <c r="F393" s="50" t="n"/>
      <c r="G393" s="50" t="n"/>
      <c r="H393" s="50" t="n"/>
      <c r="I393" s="52" t="n"/>
      <c r="J393" s="135" t="n"/>
      <c r="K393" s="135" t="n"/>
      <c r="L393" s="50" t="n"/>
    </row>
    <row r="394">
      <c r="B394" s="135" t="n"/>
      <c r="C394" s="50" t="n"/>
      <c r="D394" s="50" t="n"/>
      <c r="E394" s="50" t="n"/>
      <c r="F394" s="50" t="n"/>
      <c r="G394" s="50" t="n"/>
      <c r="H394" s="50" t="n"/>
      <c r="I394" s="52" t="n"/>
      <c r="J394" s="135" t="n"/>
      <c r="K394" s="135" t="n"/>
      <c r="L394" s="50" t="n"/>
    </row>
    <row r="395">
      <c r="B395" s="135" t="n"/>
      <c r="C395" s="50" t="n"/>
      <c r="D395" s="50" t="n"/>
      <c r="E395" s="50" t="n"/>
      <c r="F395" s="50" t="n"/>
      <c r="G395" s="50" t="n"/>
      <c r="H395" s="50" t="n"/>
      <c r="I395" s="52" t="n"/>
      <c r="J395" s="135" t="n"/>
      <c r="K395" s="135" t="n"/>
      <c r="L395" s="50" t="n"/>
    </row>
    <row r="396">
      <c r="B396" s="135" t="n"/>
      <c r="C396" s="50" t="n"/>
      <c r="D396" s="50" t="n"/>
      <c r="E396" s="50" t="n"/>
      <c r="F396" s="50" t="n"/>
      <c r="G396" s="50" t="n"/>
      <c r="H396" s="50" t="n"/>
      <c r="I396" s="52" t="n"/>
      <c r="J396" s="135" t="n"/>
      <c r="K396" s="135" t="n"/>
      <c r="L396" s="50" t="n"/>
    </row>
    <row r="397">
      <c r="B397" s="135" t="n"/>
      <c r="C397" s="50" t="n"/>
      <c r="D397" s="50" t="n"/>
      <c r="E397" s="50" t="n"/>
      <c r="F397" s="50" t="n"/>
      <c r="G397" s="50" t="n"/>
      <c r="H397" s="50" t="n"/>
      <c r="I397" s="52" t="n"/>
      <c r="J397" s="135" t="n"/>
      <c r="K397" s="135" t="n"/>
      <c r="L397" s="50" t="n"/>
    </row>
    <row r="398">
      <c r="B398" s="135" t="n"/>
      <c r="C398" s="50" t="n"/>
      <c r="D398" s="50" t="n"/>
      <c r="E398" s="50" t="n"/>
      <c r="F398" s="50" t="n"/>
      <c r="G398" s="50" t="n"/>
      <c r="H398" s="50" t="n"/>
      <c r="I398" s="52" t="n"/>
      <c r="J398" s="135" t="n"/>
      <c r="K398" s="135" t="n"/>
      <c r="L398" s="50" t="n"/>
    </row>
    <row r="399">
      <c r="B399" s="135" t="n"/>
      <c r="C399" s="50" t="n"/>
      <c r="D399" s="50" t="n"/>
      <c r="E399" s="50" t="n"/>
      <c r="F399" s="50" t="n"/>
      <c r="G399" s="50" t="n"/>
      <c r="H399" s="50" t="n"/>
      <c r="I399" s="52" t="n"/>
      <c r="J399" s="135" t="n"/>
      <c r="K399" s="135" t="n"/>
      <c r="L399" s="50" t="n"/>
    </row>
    <row r="400">
      <c r="B400" s="135" t="n"/>
      <c r="C400" s="50" t="n"/>
      <c r="D400" s="50" t="n"/>
      <c r="E400" s="50" t="n"/>
      <c r="F400" s="50" t="n"/>
      <c r="G400" s="50" t="n"/>
      <c r="H400" s="50" t="n"/>
      <c r="I400" s="52" t="n"/>
      <c r="J400" s="135" t="n"/>
      <c r="K400" s="135" t="n"/>
      <c r="L400" s="50" t="n"/>
    </row>
    <row r="401">
      <c r="B401" s="135" t="n"/>
      <c r="C401" s="50" t="n"/>
      <c r="D401" s="50" t="n"/>
      <c r="E401" s="50" t="n"/>
      <c r="F401" s="50" t="n"/>
      <c r="G401" s="50" t="n"/>
      <c r="H401" s="50" t="n"/>
      <c r="I401" s="52" t="n"/>
      <c r="J401" s="135" t="n"/>
      <c r="K401" s="135" t="n"/>
      <c r="L401" s="50" t="n"/>
    </row>
    <row r="402">
      <c r="B402" s="135" t="n"/>
      <c r="C402" s="50" t="n"/>
      <c r="D402" s="50" t="n"/>
      <c r="E402" s="50" t="n"/>
      <c r="F402" s="50" t="n"/>
      <c r="G402" s="50" t="n"/>
      <c r="H402" s="50" t="n"/>
      <c r="I402" s="52" t="n"/>
      <c r="J402" s="135" t="n"/>
      <c r="K402" s="135" t="n"/>
      <c r="L402" s="50" t="n"/>
    </row>
    <row r="403">
      <c r="B403" s="135" t="n"/>
      <c r="C403" s="50" t="n"/>
      <c r="D403" s="50" t="n"/>
      <c r="E403" s="50" t="n"/>
      <c r="F403" s="50" t="n"/>
      <c r="G403" s="50" t="n"/>
      <c r="H403" s="50" t="n"/>
      <c r="I403" s="52" t="n"/>
      <c r="J403" s="135" t="n"/>
      <c r="K403" s="135" t="n"/>
      <c r="L403" s="50" t="n"/>
    </row>
    <row r="404">
      <c r="B404" s="135" t="n"/>
      <c r="C404" s="50" t="n"/>
      <c r="D404" s="50" t="n"/>
      <c r="E404" s="50" t="n"/>
      <c r="F404" s="50" t="n"/>
      <c r="G404" s="50" t="n"/>
      <c r="H404" s="50" t="n"/>
      <c r="I404" s="52" t="n"/>
      <c r="J404" s="135" t="n"/>
      <c r="K404" s="135" t="n"/>
      <c r="L404" s="50" t="n"/>
    </row>
    <row r="405">
      <c r="B405" s="135" t="n"/>
      <c r="C405" s="50" t="n"/>
      <c r="D405" s="50" t="n"/>
      <c r="E405" s="50" t="n"/>
      <c r="F405" s="50" t="n"/>
      <c r="G405" s="50" t="n"/>
      <c r="H405" s="50" t="n"/>
      <c r="I405" s="52" t="n"/>
      <c r="J405" s="135" t="n"/>
      <c r="K405" s="135" t="n"/>
      <c r="L405" s="50" t="n"/>
    </row>
    <row r="406">
      <c r="B406" s="135" t="n"/>
      <c r="C406" s="50" t="n"/>
      <c r="D406" s="50" t="n"/>
      <c r="E406" s="50" t="n"/>
      <c r="F406" s="50" t="n"/>
      <c r="G406" s="50" t="n"/>
      <c r="H406" s="50" t="n"/>
      <c r="I406" s="52" t="n"/>
      <c r="J406" s="135" t="n"/>
      <c r="K406" s="135" t="n"/>
      <c r="L406" s="50" t="n"/>
    </row>
    <row r="407">
      <c r="B407" s="135" t="n"/>
      <c r="C407" s="50" t="n"/>
      <c r="D407" s="50" t="n"/>
      <c r="E407" s="50" t="n"/>
      <c r="F407" s="50" t="n"/>
      <c r="G407" s="50" t="n"/>
      <c r="H407" s="50" t="n"/>
      <c r="I407" s="52" t="n"/>
      <c r="J407" s="135" t="n"/>
      <c r="K407" s="135" t="n"/>
      <c r="L407" s="50" t="n"/>
    </row>
    <row r="408">
      <c r="B408" s="135" t="n"/>
      <c r="C408" s="50" t="n"/>
      <c r="D408" s="50" t="n"/>
      <c r="E408" s="50" t="n"/>
      <c r="F408" s="50" t="n"/>
      <c r="G408" s="50" t="n"/>
      <c r="H408" s="50" t="n"/>
      <c r="I408" s="52" t="n"/>
      <c r="J408" s="135" t="n"/>
      <c r="K408" s="135" t="n"/>
      <c r="L408" s="50" t="n"/>
    </row>
    <row r="409">
      <c r="B409" s="135" t="n"/>
      <c r="C409" s="50" t="n"/>
      <c r="D409" s="50" t="n"/>
      <c r="E409" s="50" t="n"/>
      <c r="F409" s="50" t="n"/>
      <c r="G409" s="50" t="n"/>
      <c r="H409" s="50" t="n"/>
      <c r="I409" s="52" t="n"/>
      <c r="J409" s="135" t="n"/>
      <c r="K409" s="135" t="n"/>
      <c r="L409" s="50" t="n"/>
    </row>
    <row r="410">
      <c r="B410" s="135" t="n"/>
      <c r="C410" s="50" t="n"/>
      <c r="D410" s="50" t="n"/>
      <c r="E410" s="50" t="n"/>
      <c r="F410" s="50" t="n"/>
      <c r="G410" s="50" t="n"/>
      <c r="H410" s="50" t="n"/>
      <c r="I410" s="52" t="n"/>
      <c r="J410" s="135" t="n"/>
      <c r="K410" s="135" t="n"/>
      <c r="L410" s="50" t="n"/>
    </row>
    <row r="411">
      <c r="B411" s="135" t="n"/>
      <c r="C411" s="50" t="n"/>
      <c r="D411" s="50" t="n"/>
      <c r="E411" s="50" t="n"/>
      <c r="F411" s="50" t="n"/>
      <c r="G411" s="50" t="n"/>
      <c r="H411" s="50" t="n"/>
      <c r="I411" s="52" t="n"/>
      <c r="J411" s="135" t="n"/>
      <c r="K411" s="135" t="n"/>
      <c r="L411" s="50" t="n"/>
    </row>
    <row r="412">
      <c r="B412" s="135" t="n"/>
      <c r="C412" s="50" t="n"/>
      <c r="D412" s="50" t="n"/>
      <c r="E412" s="50" t="n"/>
      <c r="F412" s="50" t="n"/>
      <c r="G412" s="50" t="n"/>
      <c r="H412" s="50" t="n"/>
      <c r="I412" s="52" t="n"/>
      <c r="J412" s="135" t="n"/>
      <c r="K412" s="135" t="n"/>
      <c r="L412" s="50" t="n"/>
    </row>
    <row r="413">
      <c r="B413" s="135" t="n"/>
      <c r="C413" s="50" t="n"/>
      <c r="D413" s="50" t="n"/>
      <c r="E413" s="50" t="n"/>
      <c r="F413" s="50" t="n"/>
      <c r="G413" s="50" t="n"/>
      <c r="H413" s="50" t="n"/>
      <c r="I413" s="52" t="n"/>
      <c r="J413" s="135" t="n"/>
      <c r="K413" s="135" t="n"/>
      <c r="L413" s="50" t="n"/>
    </row>
    <row r="414">
      <c r="B414" s="135" t="n"/>
      <c r="C414" s="50" t="n"/>
      <c r="D414" s="50" t="n"/>
      <c r="E414" s="50" t="n"/>
      <c r="F414" s="50" t="n"/>
      <c r="G414" s="50" t="n"/>
      <c r="H414" s="50" t="n"/>
      <c r="I414" s="52" t="n"/>
      <c r="J414" s="135" t="n"/>
      <c r="K414" s="135" t="n"/>
      <c r="L414" s="50" t="n"/>
    </row>
    <row r="415">
      <c r="B415" s="135" t="n"/>
      <c r="C415" s="50" t="n"/>
      <c r="D415" s="50" t="n"/>
      <c r="E415" s="50" t="n"/>
      <c r="F415" s="50" t="n"/>
      <c r="G415" s="50" t="n"/>
      <c r="H415" s="50" t="n"/>
      <c r="I415" s="52" t="n"/>
      <c r="J415" s="135" t="n"/>
      <c r="K415" s="135" t="n"/>
      <c r="L415" s="50" t="n"/>
    </row>
    <row r="416">
      <c r="B416" s="135" t="n"/>
      <c r="C416" s="50" t="n"/>
      <c r="D416" s="50" t="n"/>
      <c r="E416" s="50" t="n"/>
      <c r="F416" s="50" t="n"/>
      <c r="G416" s="50" t="n"/>
      <c r="H416" s="50" t="n"/>
      <c r="I416" s="52" t="n"/>
      <c r="J416" s="135" t="n"/>
      <c r="K416" s="135" t="n"/>
      <c r="L416" s="50" t="n"/>
    </row>
    <row r="417">
      <c r="B417" s="135" t="n"/>
      <c r="C417" s="50" t="n"/>
      <c r="D417" s="50" t="n"/>
      <c r="E417" s="50" t="n"/>
      <c r="F417" s="50" t="n"/>
      <c r="G417" s="50" t="n"/>
      <c r="H417" s="50" t="n"/>
      <c r="I417" s="52" t="n"/>
      <c r="J417" s="135" t="n"/>
      <c r="K417" s="135" t="n"/>
      <c r="L417" s="50" t="n"/>
    </row>
    <row r="418">
      <c r="B418" s="135" t="n"/>
      <c r="C418" s="50" t="n"/>
      <c r="D418" s="50" t="n"/>
      <c r="E418" s="50" t="n"/>
      <c r="F418" s="50" t="n"/>
      <c r="G418" s="50" t="n"/>
      <c r="H418" s="50" t="n"/>
      <c r="I418" s="52" t="n"/>
      <c r="J418" s="135" t="n"/>
      <c r="K418" s="135" t="n"/>
      <c r="L418" s="50" t="n"/>
    </row>
    <row r="419">
      <c r="B419" s="135" t="n"/>
      <c r="C419" s="50" t="n"/>
      <c r="D419" s="50" t="n"/>
      <c r="E419" s="50" t="n"/>
      <c r="F419" s="50" t="n"/>
      <c r="G419" s="50" t="n"/>
      <c r="H419" s="50" t="n"/>
      <c r="I419" s="52" t="n"/>
      <c r="J419" s="135" t="n"/>
      <c r="K419" s="135" t="n"/>
      <c r="L419" s="50" t="n"/>
    </row>
    <row r="420">
      <c r="B420" s="135" t="n"/>
      <c r="C420" s="50" t="n"/>
      <c r="D420" s="50" t="n"/>
      <c r="E420" s="50" t="n"/>
      <c r="F420" s="50" t="n"/>
      <c r="G420" s="50" t="n"/>
      <c r="H420" s="50" t="n"/>
      <c r="I420" s="52" t="n"/>
      <c r="J420" s="135" t="n"/>
      <c r="K420" s="135" t="n"/>
      <c r="L420" s="50" t="n"/>
    </row>
    <row r="421">
      <c r="B421" s="135" t="n"/>
      <c r="C421" s="50" t="n"/>
      <c r="D421" s="50" t="n"/>
      <c r="E421" s="50" t="n"/>
      <c r="F421" s="50" t="n"/>
      <c r="G421" s="50" t="n"/>
      <c r="H421" s="50" t="n"/>
      <c r="I421" s="52" t="n"/>
      <c r="J421" s="135" t="n"/>
      <c r="K421" s="135" t="n"/>
      <c r="L421" s="50" t="n"/>
    </row>
    <row r="422">
      <c r="B422" s="135" t="n"/>
      <c r="C422" s="50" t="n"/>
      <c r="D422" s="50" t="n"/>
      <c r="E422" s="50" t="n"/>
      <c r="F422" s="50" t="n"/>
      <c r="G422" s="50" t="n"/>
      <c r="H422" s="50" t="n"/>
      <c r="I422" s="52" t="n"/>
      <c r="J422" s="135" t="n"/>
      <c r="K422" s="135" t="n"/>
      <c r="L422" s="50" t="n"/>
    </row>
    <row r="423">
      <c r="B423" s="135" t="n"/>
      <c r="C423" s="50" t="n"/>
      <c r="D423" s="50" t="n"/>
      <c r="E423" s="50" t="n"/>
      <c r="F423" s="50" t="n"/>
      <c r="G423" s="50" t="n"/>
      <c r="H423" s="50" t="n"/>
      <c r="I423" s="52" t="n"/>
      <c r="J423" s="135" t="n"/>
      <c r="K423" s="135" t="n"/>
      <c r="L423" s="50" t="n"/>
    </row>
    <row r="424">
      <c r="B424" s="135" t="n"/>
      <c r="C424" s="50" t="n"/>
      <c r="D424" s="50" t="n"/>
      <c r="E424" s="50" t="n"/>
      <c r="F424" s="50" t="n"/>
      <c r="G424" s="50" t="n"/>
      <c r="H424" s="50" t="n"/>
      <c r="I424" s="52" t="n"/>
      <c r="J424" s="135" t="n"/>
      <c r="K424" s="135" t="n"/>
      <c r="L424" s="50" t="n"/>
    </row>
    <row r="425">
      <c r="B425" s="135" t="n"/>
      <c r="C425" s="50" t="n"/>
      <c r="D425" s="50" t="n"/>
      <c r="E425" s="50" t="n"/>
      <c r="F425" s="50" t="n"/>
      <c r="G425" s="50" t="n"/>
      <c r="H425" s="50" t="n"/>
      <c r="I425" s="52" t="n"/>
      <c r="J425" s="135" t="n"/>
      <c r="K425" s="135" t="n"/>
      <c r="L425" s="50" t="n"/>
    </row>
    <row r="426">
      <c r="B426" s="135" t="n"/>
      <c r="C426" s="50" t="n"/>
      <c r="D426" s="50" t="n"/>
      <c r="E426" s="50" t="n"/>
      <c r="F426" s="50" t="n"/>
      <c r="G426" s="50" t="n"/>
      <c r="H426" s="50" t="n"/>
      <c r="I426" s="52" t="n"/>
      <c r="J426" s="135" t="n"/>
      <c r="K426" s="135" t="n"/>
      <c r="L426" s="50" t="n"/>
    </row>
    <row r="427">
      <c r="B427" s="135" t="n"/>
      <c r="C427" s="50" t="n"/>
      <c r="D427" s="50" t="n"/>
      <c r="E427" s="50" t="n"/>
      <c r="F427" s="50" t="n"/>
      <c r="G427" s="50" t="n"/>
      <c r="H427" s="50" t="n"/>
      <c r="I427" s="52" t="n"/>
      <c r="J427" s="135" t="n"/>
      <c r="K427" s="135" t="n"/>
      <c r="L427" s="50" t="n"/>
    </row>
    <row r="428">
      <c r="B428" s="135" t="n"/>
      <c r="C428" s="50" t="n"/>
      <c r="D428" s="50" t="n"/>
      <c r="E428" s="50" t="n"/>
      <c r="F428" s="50" t="n"/>
      <c r="G428" s="50" t="n"/>
      <c r="H428" s="50" t="n"/>
      <c r="I428" s="52" t="n"/>
      <c r="J428" s="135" t="n"/>
      <c r="K428" s="135" t="n"/>
      <c r="L428" s="50" t="n"/>
    </row>
    <row r="429">
      <c r="B429" s="135" t="n"/>
      <c r="C429" s="50" t="n"/>
      <c r="D429" s="50" t="n"/>
      <c r="E429" s="50" t="n"/>
      <c r="F429" s="50" t="n"/>
      <c r="G429" s="50" t="n"/>
      <c r="H429" s="50" t="n"/>
      <c r="I429" s="52" t="n"/>
      <c r="J429" s="135" t="n"/>
      <c r="K429" s="135" t="n"/>
      <c r="L429" s="50" t="n"/>
    </row>
    <row r="430">
      <c r="B430" s="135" t="n"/>
      <c r="C430" s="50" t="n"/>
      <c r="D430" s="50" t="n"/>
      <c r="E430" s="50" t="n"/>
      <c r="F430" s="50" t="n"/>
      <c r="G430" s="50" t="n"/>
      <c r="H430" s="50" t="n"/>
      <c r="I430" s="52" t="n"/>
      <c r="J430" s="135" t="n"/>
      <c r="K430" s="135" t="n"/>
      <c r="L430" s="50" t="n"/>
    </row>
    <row r="431">
      <c r="B431" s="135" t="n"/>
      <c r="C431" s="50" t="n"/>
      <c r="D431" s="50" t="n"/>
      <c r="E431" s="50" t="n"/>
      <c r="F431" s="50" t="n"/>
      <c r="G431" s="50" t="n"/>
      <c r="H431" s="50" t="n"/>
      <c r="I431" s="52" t="n"/>
      <c r="J431" s="135" t="n"/>
      <c r="K431" s="135" t="n"/>
      <c r="L431" s="50" t="n"/>
    </row>
    <row r="432">
      <c r="B432" s="135" t="n"/>
      <c r="C432" s="50" t="n"/>
      <c r="D432" s="50" t="n"/>
      <c r="E432" s="50" t="n"/>
      <c r="F432" s="50" t="n"/>
      <c r="G432" s="50" t="n"/>
      <c r="H432" s="50" t="n"/>
      <c r="I432" s="52" t="n"/>
      <c r="J432" s="135" t="n"/>
      <c r="K432" s="135" t="n"/>
      <c r="L432" s="50" t="n"/>
    </row>
    <row r="433">
      <c r="B433" s="135" t="n"/>
      <c r="C433" s="50" t="n"/>
      <c r="D433" s="50" t="n"/>
      <c r="E433" s="50" t="n"/>
      <c r="F433" s="50" t="n"/>
      <c r="G433" s="50" t="n"/>
      <c r="H433" s="50" t="n"/>
      <c r="I433" s="52" t="n"/>
      <c r="J433" s="135" t="n"/>
      <c r="K433" s="135" t="n"/>
      <c r="L433" s="50" t="n"/>
    </row>
    <row r="434">
      <c r="B434" s="135" t="n"/>
      <c r="C434" s="50" t="n"/>
      <c r="D434" s="50" t="n"/>
      <c r="E434" s="50" t="n"/>
      <c r="F434" s="50" t="n"/>
      <c r="G434" s="50" t="n"/>
      <c r="H434" s="50" t="n"/>
      <c r="I434" s="52" t="n"/>
      <c r="J434" s="135" t="n"/>
      <c r="K434" s="135" t="n"/>
      <c r="L434" s="50" t="n"/>
    </row>
    <row r="435">
      <c r="B435" s="135" t="n"/>
      <c r="C435" s="50" t="n"/>
      <c r="D435" s="50" t="n"/>
      <c r="E435" s="50" t="n"/>
      <c r="F435" s="50" t="n"/>
      <c r="G435" s="50" t="n"/>
      <c r="H435" s="50" t="n"/>
      <c r="I435" s="52" t="n"/>
      <c r="J435" s="135" t="n"/>
      <c r="K435" s="135" t="n"/>
      <c r="L435" s="50" t="n"/>
    </row>
    <row r="436">
      <c r="B436" s="135" t="n"/>
      <c r="C436" s="50" t="n"/>
      <c r="D436" s="50" t="n"/>
      <c r="E436" s="50" t="n"/>
      <c r="F436" s="50" t="n"/>
      <c r="G436" s="50" t="n"/>
      <c r="H436" s="50" t="n"/>
      <c r="I436" s="52" t="n"/>
      <c r="J436" s="135" t="n"/>
      <c r="K436" s="135" t="n"/>
      <c r="L436" s="50" t="n"/>
    </row>
    <row r="437">
      <c r="B437" s="135" t="n"/>
      <c r="C437" s="50" t="n"/>
      <c r="D437" s="50" t="n"/>
      <c r="E437" s="50" t="n"/>
      <c r="F437" s="50" t="n"/>
      <c r="G437" s="50" t="n"/>
      <c r="H437" s="50" t="n"/>
      <c r="I437" s="52" t="n"/>
      <c r="J437" s="135" t="n"/>
      <c r="K437" s="135" t="n"/>
      <c r="L437" s="50" t="n"/>
    </row>
    <row r="438">
      <c r="B438" s="135" t="n"/>
      <c r="C438" s="50" t="n"/>
      <c r="D438" s="50" t="n"/>
      <c r="E438" s="50" t="n"/>
      <c r="F438" s="50" t="n"/>
      <c r="G438" s="50" t="n"/>
      <c r="H438" s="50" t="n"/>
      <c r="I438" s="52" t="n"/>
      <c r="J438" s="135" t="n"/>
      <c r="K438" s="135" t="n"/>
      <c r="L438" s="50" t="n"/>
    </row>
    <row r="439">
      <c r="B439" s="135" t="n"/>
      <c r="C439" s="50" t="n"/>
      <c r="D439" s="50" t="n"/>
      <c r="E439" s="50" t="n"/>
      <c r="F439" s="50" t="n"/>
      <c r="G439" s="50" t="n"/>
      <c r="H439" s="50" t="n"/>
      <c r="I439" s="52" t="n"/>
      <c r="J439" s="135" t="n"/>
      <c r="K439" s="135" t="n"/>
      <c r="L439" s="50" t="n"/>
    </row>
    <row r="440">
      <c r="B440" s="135" t="n"/>
      <c r="C440" s="50" t="n"/>
      <c r="D440" s="50" t="n"/>
      <c r="E440" s="50" t="n"/>
      <c r="F440" s="50" t="n"/>
      <c r="G440" s="50" t="n"/>
      <c r="H440" s="50" t="n"/>
      <c r="I440" s="52" t="n"/>
      <c r="J440" s="135" t="n"/>
      <c r="K440" s="135" t="n"/>
      <c r="L440" s="50" t="n"/>
    </row>
    <row r="441">
      <c r="B441" s="135" t="n"/>
      <c r="C441" s="50" t="n"/>
      <c r="D441" s="50" t="n"/>
      <c r="E441" s="50" t="n"/>
      <c r="F441" s="50" t="n"/>
      <c r="G441" s="50" t="n"/>
      <c r="H441" s="50" t="n"/>
      <c r="I441" s="52" t="n"/>
      <c r="J441" s="135" t="n"/>
      <c r="K441" s="135" t="n"/>
      <c r="L441" s="50" t="n"/>
    </row>
    <row r="442">
      <c r="B442" s="135" t="n"/>
      <c r="C442" s="50" t="n"/>
      <c r="D442" s="50" t="n"/>
      <c r="E442" s="50" t="n"/>
      <c r="F442" s="50" t="n"/>
      <c r="G442" s="50" t="n"/>
      <c r="H442" s="50" t="n"/>
      <c r="I442" s="52" t="n"/>
      <c r="J442" s="135" t="n"/>
      <c r="K442" s="135" t="n"/>
      <c r="L442" s="50" t="n"/>
    </row>
    <row r="443">
      <c r="B443" s="135" t="n"/>
      <c r="C443" s="50" t="n"/>
      <c r="D443" s="50" t="n"/>
      <c r="E443" s="50" t="n"/>
      <c r="F443" s="50" t="n"/>
      <c r="G443" s="50" t="n"/>
      <c r="H443" s="50" t="n"/>
      <c r="I443" s="52" t="n"/>
      <c r="J443" s="135" t="n"/>
      <c r="K443" s="135" t="n"/>
      <c r="L443" s="50" t="n"/>
    </row>
    <row r="444">
      <c r="B444" s="135" t="n"/>
      <c r="C444" s="50" t="n"/>
      <c r="D444" s="50" t="n"/>
      <c r="E444" s="50" t="n"/>
      <c r="F444" s="50" t="n"/>
      <c r="G444" s="50" t="n"/>
      <c r="H444" s="50" t="n"/>
      <c r="I444" s="52" t="n"/>
      <c r="J444" s="135" t="n"/>
      <c r="K444" s="135" t="n"/>
      <c r="L444" s="50" t="n"/>
    </row>
    <row r="445">
      <c r="B445" s="135" t="n"/>
      <c r="C445" s="50" t="n"/>
      <c r="D445" s="50" t="n"/>
      <c r="E445" s="50" t="n"/>
      <c r="F445" s="50" t="n"/>
      <c r="G445" s="50" t="n"/>
      <c r="H445" s="50" t="n"/>
      <c r="I445" s="52" t="n"/>
      <c r="J445" s="135" t="n"/>
      <c r="K445" s="135" t="n"/>
      <c r="L445" s="50" t="n"/>
    </row>
    <row r="446">
      <c r="B446" s="135" t="n"/>
      <c r="C446" s="50" t="n"/>
      <c r="D446" s="50" t="n"/>
      <c r="E446" s="50" t="n"/>
      <c r="F446" s="50" t="n"/>
      <c r="G446" s="50" t="n"/>
      <c r="H446" s="50" t="n"/>
      <c r="I446" s="52" t="n"/>
      <c r="J446" s="135" t="n"/>
      <c r="K446" s="135" t="n"/>
      <c r="L446" s="50" t="n"/>
    </row>
    <row r="447">
      <c r="B447" s="135" t="n"/>
      <c r="C447" s="50" t="n"/>
      <c r="D447" s="50" t="n"/>
      <c r="E447" s="50" t="n"/>
      <c r="F447" s="50" t="n"/>
      <c r="G447" s="50" t="n"/>
      <c r="H447" s="50" t="n"/>
      <c r="I447" s="52" t="n"/>
      <c r="J447" s="135" t="n"/>
      <c r="K447" s="135" t="n"/>
      <c r="L447" s="50" t="n"/>
    </row>
    <row r="448">
      <c r="B448" s="135" t="n"/>
      <c r="C448" s="50" t="n"/>
      <c r="D448" s="50" t="n"/>
      <c r="E448" s="50" t="n"/>
      <c r="F448" s="50" t="n"/>
      <c r="G448" s="50" t="n"/>
      <c r="H448" s="50" t="n"/>
      <c r="I448" s="52" t="n"/>
      <c r="J448" s="135" t="n"/>
      <c r="K448" s="135" t="n"/>
      <c r="L448" s="50" t="n"/>
    </row>
    <row r="449">
      <c r="B449" s="135" t="n"/>
      <c r="C449" s="50" t="n"/>
      <c r="D449" s="50" t="n"/>
      <c r="E449" s="50" t="n"/>
      <c r="F449" s="50" t="n"/>
      <c r="G449" s="50" t="n"/>
      <c r="H449" s="50" t="n"/>
      <c r="I449" s="52" t="n"/>
      <c r="J449" s="135" t="n"/>
      <c r="K449" s="135" t="n"/>
      <c r="L449" s="50" t="n"/>
    </row>
    <row r="450">
      <c r="B450" s="135" t="n"/>
      <c r="C450" s="50" t="n"/>
      <c r="D450" s="50" t="n"/>
      <c r="E450" s="50" t="n"/>
      <c r="F450" s="50" t="n"/>
      <c r="G450" s="50" t="n"/>
      <c r="H450" s="50" t="n"/>
      <c r="I450" s="52" t="n"/>
      <c r="J450" s="135" t="n"/>
      <c r="K450" s="135" t="n"/>
      <c r="L450" s="50" t="n"/>
    </row>
    <row r="451">
      <c r="B451" s="135" t="n"/>
      <c r="C451" s="50" t="n"/>
      <c r="D451" s="50" t="n"/>
      <c r="E451" s="50" t="n"/>
      <c r="F451" s="50" t="n"/>
      <c r="G451" s="50" t="n"/>
      <c r="H451" s="50" t="n"/>
      <c r="I451" s="52" t="n"/>
      <c r="J451" s="135" t="n"/>
      <c r="K451" s="135" t="n"/>
      <c r="L451" s="50" t="n"/>
    </row>
    <row r="452">
      <c r="B452" s="135" t="n"/>
      <c r="C452" s="50" t="n"/>
      <c r="D452" s="50" t="n"/>
      <c r="E452" s="50" t="n"/>
      <c r="F452" s="50" t="n"/>
      <c r="G452" s="50" t="n"/>
      <c r="H452" s="50" t="n"/>
      <c r="I452" s="52" t="n"/>
      <c r="J452" s="135" t="n"/>
      <c r="K452" s="135" t="n"/>
      <c r="L452" s="50" t="n"/>
    </row>
    <row r="453">
      <c r="B453" s="135" t="n"/>
      <c r="C453" s="50" t="n"/>
      <c r="D453" s="50" t="n"/>
      <c r="E453" s="50" t="n"/>
      <c r="F453" s="50" t="n"/>
      <c r="G453" s="50" t="n"/>
      <c r="H453" s="50" t="n"/>
      <c r="I453" s="52" t="n"/>
      <c r="J453" s="135" t="n"/>
      <c r="K453" s="135" t="n"/>
      <c r="L453" s="50" t="n"/>
    </row>
    <row r="454">
      <c r="B454" s="135" t="n"/>
      <c r="C454" s="50" t="n"/>
      <c r="D454" s="50" t="n"/>
      <c r="E454" s="50" t="n"/>
      <c r="F454" s="50" t="n"/>
      <c r="G454" s="50" t="n"/>
      <c r="H454" s="50" t="n"/>
      <c r="I454" s="52" t="n"/>
      <c r="J454" s="135" t="n"/>
      <c r="K454" s="135" t="n"/>
      <c r="L454" s="50" t="n"/>
    </row>
    <row r="455">
      <c r="B455" s="135" t="n"/>
      <c r="C455" s="50" t="n"/>
      <c r="D455" s="50" t="n"/>
      <c r="E455" s="50" t="n"/>
      <c r="F455" s="50" t="n"/>
      <c r="G455" s="50" t="n"/>
      <c r="H455" s="50" t="n"/>
      <c r="I455" s="52" t="n"/>
      <c r="J455" s="135" t="n"/>
      <c r="K455" s="135" t="n"/>
      <c r="L455" s="50" t="n"/>
    </row>
    <row r="456">
      <c r="B456" s="135" t="n"/>
      <c r="C456" s="50" t="n"/>
      <c r="D456" s="50" t="n"/>
      <c r="E456" s="50" t="n"/>
      <c r="F456" s="50" t="n"/>
      <c r="G456" s="50" t="n"/>
      <c r="H456" s="50" t="n"/>
      <c r="I456" s="52" t="n"/>
      <c r="J456" s="135" t="n"/>
      <c r="K456" s="135" t="n"/>
      <c r="L456" s="50" t="n"/>
    </row>
    <row r="457">
      <c r="B457" s="135" t="n"/>
      <c r="C457" s="50" t="n"/>
      <c r="D457" s="50" t="n"/>
      <c r="E457" s="50" t="n"/>
      <c r="F457" s="50" t="n"/>
      <c r="G457" s="50" t="n"/>
      <c r="H457" s="50" t="n"/>
      <c r="I457" s="52" t="n"/>
      <c r="J457" s="135" t="n"/>
      <c r="K457" s="135" t="n"/>
      <c r="L457" s="50" t="n"/>
    </row>
    <row r="458">
      <c r="B458" s="135" t="n"/>
      <c r="C458" s="50" t="n"/>
      <c r="D458" s="50" t="n"/>
      <c r="E458" s="50" t="n"/>
      <c r="F458" s="50" t="n"/>
      <c r="G458" s="50" t="n"/>
      <c r="H458" s="50" t="n"/>
      <c r="I458" s="52" t="n"/>
      <c r="J458" s="135" t="n"/>
      <c r="K458" s="135" t="n"/>
      <c r="L458" s="50" t="n"/>
    </row>
    <row r="459">
      <c r="B459" s="135" t="n"/>
      <c r="C459" s="50" t="n"/>
      <c r="D459" s="50" t="n"/>
      <c r="E459" s="50" t="n"/>
      <c r="F459" s="50" t="n"/>
      <c r="G459" s="50" t="n"/>
      <c r="H459" s="50" t="n"/>
      <c r="I459" s="52" t="n"/>
      <c r="J459" s="135" t="n"/>
      <c r="K459" s="135" t="n"/>
      <c r="L459" s="50" t="n"/>
    </row>
    <row r="460">
      <c r="B460" s="135" t="n"/>
      <c r="C460" s="50" t="n"/>
      <c r="D460" s="50" t="n"/>
      <c r="E460" s="50" t="n"/>
      <c r="F460" s="50" t="n"/>
      <c r="G460" s="50" t="n"/>
      <c r="H460" s="50" t="n"/>
      <c r="I460" s="52" t="n"/>
      <c r="J460" s="135" t="n"/>
      <c r="K460" s="135" t="n"/>
      <c r="L460" s="50" t="n"/>
    </row>
    <row r="461">
      <c r="B461" s="135" t="n"/>
      <c r="C461" s="50" t="n"/>
      <c r="D461" s="50" t="n"/>
      <c r="E461" s="50" t="n"/>
      <c r="F461" s="50" t="n"/>
      <c r="G461" s="50" t="n"/>
      <c r="H461" s="50" t="n"/>
      <c r="I461" s="52" t="n"/>
      <c r="J461" s="135" t="n"/>
      <c r="K461" s="135" t="n"/>
      <c r="L461" s="50" t="n"/>
    </row>
    <row r="462">
      <c r="B462" s="135" t="n"/>
      <c r="C462" s="50" t="n"/>
      <c r="D462" s="50" t="n"/>
      <c r="E462" s="50" t="n"/>
      <c r="F462" s="50" t="n"/>
      <c r="G462" s="50" t="n"/>
      <c r="H462" s="50" t="n"/>
      <c r="I462" s="52" t="n"/>
      <c r="J462" s="135" t="n"/>
      <c r="K462" s="135" t="n"/>
      <c r="L462" s="50" t="n"/>
    </row>
    <row r="463">
      <c r="B463" s="135" t="n"/>
      <c r="C463" s="50" t="n"/>
      <c r="D463" s="50" t="n"/>
      <c r="E463" s="50" t="n"/>
      <c r="F463" s="50" t="n"/>
      <c r="G463" s="50" t="n"/>
      <c r="H463" s="50" t="n"/>
      <c r="I463" s="52" t="n"/>
      <c r="J463" s="135" t="n"/>
      <c r="K463" s="135" t="n"/>
      <c r="L463" s="50" t="n"/>
    </row>
    <row r="464">
      <c r="B464" s="135" t="n"/>
      <c r="C464" s="50" t="n"/>
      <c r="D464" s="50" t="n"/>
      <c r="E464" s="50" t="n"/>
      <c r="F464" s="50" t="n"/>
      <c r="G464" s="50" t="n"/>
      <c r="H464" s="50" t="n"/>
      <c r="I464" s="52" t="n"/>
      <c r="J464" s="135" t="n"/>
      <c r="K464" s="135" t="n"/>
      <c r="L464" s="50" t="n"/>
    </row>
    <row r="465">
      <c r="B465" s="135" t="n"/>
      <c r="C465" s="50" t="n"/>
      <c r="D465" s="50" t="n"/>
      <c r="E465" s="50" t="n"/>
      <c r="F465" s="50" t="n"/>
      <c r="G465" s="50" t="n"/>
      <c r="H465" s="50" t="n"/>
      <c r="I465" s="52" t="n"/>
      <c r="J465" s="135" t="n"/>
      <c r="K465" s="135" t="n"/>
      <c r="L465" s="50" t="n"/>
    </row>
    <row r="466">
      <c r="B466" s="135" t="n"/>
      <c r="C466" s="50" t="n"/>
      <c r="D466" s="50" t="n"/>
      <c r="E466" s="50" t="n"/>
      <c r="F466" s="50" t="n"/>
      <c r="G466" s="50" t="n"/>
      <c r="H466" s="50" t="n"/>
      <c r="I466" s="52" t="n"/>
      <c r="J466" s="135" t="n"/>
      <c r="K466" s="135" t="n"/>
      <c r="L466" s="50" t="n"/>
    </row>
    <row r="467">
      <c r="B467" s="135" t="n"/>
      <c r="C467" s="50" t="n"/>
      <c r="D467" s="50" t="n"/>
      <c r="E467" s="50" t="n"/>
      <c r="F467" s="50" t="n"/>
      <c r="G467" s="50" t="n"/>
      <c r="H467" s="50" t="n"/>
      <c r="I467" s="52" t="n"/>
      <c r="J467" s="135" t="n"/>
      <c r="K467" s="135" t="n"/>
      <c r="L467" s="50" t="n"/>
    </row>
    <row r="468">
      <c r="B468" s="135" t="n"/>
      <c r="C468" s="50" t="n"/>
      <c r="D468" s="50" t="n"/>
      <c r="E468" s="50" t="n"/>
      <c r="F468" s="50" t="n"/>
      <c r="G468" s="50" t="n"/>
      <c r="H468" s="50" t="n"/>
      <c r="I468" s="52" t="n"/>
      <c r="J468" s="135" t="n"/>
      <c r="K468" s="135" t="n"/>
      <c r="L468" s="50" t="n"/>
    </row>
    <row r="469">
      <c r="B469" s="135" t="n"/>
      <c r="C469" s="50" t="n"/>
      <c r="D469" s="50" t="n"/>
      <c r="E469" s="50" t="n"/>
      <c r="F469" s="50" t="n"/>
      <c r="G469" s="50" t="n"/>
      <c r="H469" s="50" t="n"/>
      <c r="I469" s="52" t="n"/>
      <c r="J469" s="135" t="n"/>
      <c r="K469" s="135" t="n"/>
      <c r="L469" s="50" t="n"/>
    </row>
    <row r="470">
      <c r="B470" s="135" t="n"/>
      <c r="C470" s="50" t="n"/>
      <c r="D470" s="50" t="n"/>
      <c r="E470" s="50" t="n"/>
      <c r="F470" s="50" t="n"/>
      <c r="G470" s="50" t="n"/>
      <c r="H470" s="50" t="n"/>
      <c r="I470" s="52" t="n"/>
      <c r="J470" s="135" t="n"/>
      <c r="K470" s="135" t="n"/>
      <c r="L470" s="50" t="n"/>
    </row>
    <row r="471">
      <c r="B471" s="135" t="n"/>
      <c r="C471" s="50" t="n"/>
      <c r="D471" s="50" t="n"/>
      <c r="E471" s="50" t="n"/>
      <c r="F471" s="50" t="n"/>
      <c r="G471" s="50" t="n"/>
      <c r="H471" s="50" t="n"/>
      <c r="I471" s="52" t="n"/>
      <c r="J471" s="135" t="n"/>
      <c r="K471" s="135" t="n"/>
      <c r="L471" s="50" t="n"/>
    </row>
    <row r="472">
      <c r="B472" s="135" t="n"/>
      <c r="C472" s="50" t="n"/>
      <c r="D472" s="50" t="n"/>
      <c r="E472" s="50" t="n"/>
      <c r="F472" s="50" t="n"/>
      <c r="G472" s="50" t="n"/>
      <c r="H472" s="50" t="n"/>
      <c r="I472" s="52" t="n"/>
      <c r="J472" s="135" t="n"/>
      <c r="K472" s="135" t="n"/>
      <c r="L472" s="50" t="n"/>
    </row>
    <row r="473">
      <c r="B473" s="135" t="n"/>
      <c r="C473" s="50" t="n"/>
      <c r="D473" s="50" t="n"/>
      <c r="E473" s="50" t="n"/>
      <c r="F473" s="50" t="n"/>
      <c r="G473" s="50" t="n"/>
      <c r="H473" s="50" t="n"/>
      <c r="I473" s="52" t="n"/>
      <c r="J473" s="135" t="n"/>
      <c r="K473" s="135" t="n"/>
      <c r="L473" s="50" t="n"/>
    </row>
    <row r="474">
      <c r="B474" s="135" t="n"/>
      <c r="C474" s="50" t="n"/>
      <c r="D474" s="50" t="n"/>
      <c r="E474" s="50" t="n"/>
      <c r="F474" s="50" t="n"/>
      <c r="G474" s="50" t="n"/>
      <c r="H474" s="50" t="n"/>
      <c r="I474" s="52" t="n"/>
      <c r="J474" s="135" t="n"/>
      <c r="K474" s="135" t="n"/>
      <c r="L474" s="50" t="n"/>
    </row>
    <row r="475">
      <c r="B475" s="135" t="n"/>
      <c r="C475" s="50" t="n"/>
      <c r="D475" s="50" t="n"/>
      <c r="E475" s="50" t="n"/>
      <c r="F475" s="50" t="n"/>
      <c r="G475" s="50" t="n"/>
      <c r="H475" s="50" t="n"/>
      <c r="I475" s="52" t="n"/>
      <c r="J475" s="135" t="n"/>
      <c r="K475" s="135" t="n"/>
      <c r="L475" s="50" t="n"/>
    </row>
    <row r="476">
      <c r="B476" s="135" t="n"/>
      <c r="C476" s="50" t="n"/>
      <c r="D476" s="50" t="n"/>
      <c r="E476" s="50" t="n"/>
      <c r="F476" s="50" t="n"/>
      <c r="G476" s="50" t="n"/>
      <c r="H476" s="50" t="n"/>
      <c r="I476" s="52" t="n"/>
      <c r="J476" s="135" t="n"/>
      <c r="K476" s="135" t="n"/>
      <c r="L476" s="50" t="n"/>
    </row>
    <row r="477">
      <c r="B477" s="135" t="n"/>
      <c r="C477" s="50" t="n"/>
      <c r="D477" s="50" t="n"/>
      <c r="E477" s="50" t="n"/>
      <c r="F477" s="50" t="n"/>
      <c r="G477" s="50" t="n"/>
      <c r="H477" s="50" t="n"/>
      <c r="I477" s="52" t="n"/>
      <c r="J477" s="135" t="n"/>
      <c r="K477" s="135" t="n"/>
      <c r="L477" s="50" t="n"/>
    </row>
    <row r="478">
      <c r="B478" s="135" t="n"/>
      <c r="C478" s="50" t="n"/>
      <c r="D478" s="50" t="n"/>
      <c r="E478" s="50" t="n"/>
      <c r="F478" s="50" t="n"/>
      <c r="G478" s="50" t="n"/>
      <c r="H478" s="50" t="n"/>
      <c r="I478" s="52" t="n"/>
      <c r="J478" s="135" t="n"/>
      <c r="K478" s="135" t="n"/>
      <c r="L478" s="50" t="n"/>
    </row>
    <row r="479">
      <c r="B479" s="135" t="n"/>
      <c r="C479" s="50" t="n"/>
      <c r="D479" s="50" t="n"/>
      <c r="E479" s="50" t="n"/>
      <c r="F479" s="50" t="n"/>
      <c r="G479" s="50" t="n"/>
      <c r="H479" s="50" t="n"/>
      <c r="I479" s="52" t="n"/>
      <c r="J479" s="135" t="n"/>
      <c r="K479" s="135" t="n"/>
      <c r="L479" s="50" t="n"/>
    </row>
    <row r="480">
      <c r="B480" s="135" t="n"/>
      <c r="C480" s="50" t="n"/>
      <c r="D480" s="50" t="n"/>
      <c r="E480" s="50" t="n"/>
      <c r="F480" s="50" t="n"/>
      <c r="G480" s="50" t="n"/>
      <c r="H480" s="50" t="n"/>
      <c r="I480" s="52" t="n"/>
      <c r="J480" s="135" t="n"/>
      <c r="K480" s="135" t="n"/>
      <c r="L480" s="50" t="n"/>
    </row>
    <row r="481">
      <c r="B481" s="135" t="n"/>
      <c r="C481" s="50" t="n"/>
      <c r="D481" s="50" t="n"/>
      <c r="E481" s="50" t="n"/>
      <c r="F481" s="50" t="n"/>
      <c r="G481" s="50" t="n"/>
      <c r="H481" s="50" t="n"/>
      <c r="I481" s="52" t="n"/>
      <c r="J481" s="135" t="n"/>
      <c r="K481" s="135" t="n"/>
      <c r="L481" s="50" t="n"/>
    </row>
    <row r="482">
      <c r="B482" s="135" t="n"/>
      <c r="C482" s="50" t="n"/>
      <c r="D482" s="50" t="n"/>
      <c r="E482" s="50" t="n"/>
      <c r="F482" s="50" t="n"/>
      <c r="G482" s="50" t="n"/>
      <c r="H482" s="50" t="n"/>
      <c r="I482" s="52" t="n"/>
      <c r="J482" s="135" t="n"/>
      <c r="K482" s="135" t="n"/>
      <c r="L482" s="50" t="n"/>
    </row>
    <row r="483">
      <c r="B483" s="135" t="n"/>
      <c r="C483" s="50" t="n"/>
      <c r="D483" s="50" t="n"/>
      <c r="E483" s="50" t="n"/>
      <c r="F483" s="50" t="n"/>
      <c r="G483" s="50" t="n"/>
      <c r="H483" s="50" t="n"/>
      <c r="I483" s="52" t="n"/>
      <c r="J483" s="135" t="n"/>
      <c r="K483" s="135" t="n"/>
      <c r="L483" s="50" t="n"/>
    </row>
    <row r="484">
      <c r="B484" s="135" t="n"/>
      <c r="C484" s="50" t="n"/>
      <c r="D484" s="50" t="n"/>
      <c r="E484" s="50" t="n"/>
      <c r="F484" s="50" t="n"/>
      <c r="G484" s="50" t="n"/>
      <c r="H484" s="50" t="n"/>
      <c r="I484" s="52" t="n"/>
      <c r="J484" s="135" t="n"/>
      <c r="K484" s="135" t="n"/>
      <c r="L484" s="50" t="n"/>
    </row>
    <row r="485">
      <c r="B485" s="135" t="n"/>
      <c r="C485" s="50" t="n"/>
      <c r="D485" s="50" t="n"/>
      <c r="E485" s="50" t="n"/>
      <c r="F485" s="50" t="n"/>
      <c r="G485" s="50" t="n"/>
      <c r="H485" s="50" t="n"/>
      <c r="I485" s="52" t="n"/>
      <c r="J485" s="135" t="n"/>
      <c r="K485" s="135" t="n"/>
      <c r="L485" s="50" t="n"/>
    </row>
    <row r="486">
      <c r="B486" s="135" t="n"/>
      <c r="C486" s="50" t="n"/>
      <c r="D486" s="50" t="n"/>
      <c r="E486" s="50" t="n"/>
      <c r="F486" s="50" t="n"/>
      <c r="G486" s="50" t="n"/>
      <c r="H486" s="50" t="n"/>
      <c r="I486" s="52" t="n"/>
      <c r="J486" s="135" t="n"/>
      <c r="K486" s="135" t="n"/>
      <c r="L486" s="50" t="n"/>
    </row>
    <row r="487">
      <c r="B487" s="135" t="n"/>
      <c r="C487" s="50" t="n"/>
      <c r="D487" s="50" t="n"/>
      <c r="E487" s="50" t="n"/>
      <c r="F487" s="50" t="n"/>
      <c r="G487" s="50" t="n"/>
      <c r="H487" s="50" t="n"/>
      <c r="I487" s="52" t="n"/>
      <c r="J487" s="135" t="n"/>
      <c r="K487" s="135" t="n"/>
      <c r="L487" s="50" t="n"/>
    </row>
    <row r="488">
      <c r="B488" s="135" t="n"/>
      <c r="C488" s="50" t="n"/>
      <c r="D488" s="50" t="n"/>
      <c r="E488" s="50" t="n"/>
      <c r="F488" s="50" t="n"/>
      <c r="G488" s="50" t="n"/>
      <c r="H488" s="50" t="n"/>
      <c r="I488" s="52" t="n"/>
      <c r="J488" s="135" t="n"/>
      <c r="K488" s="135" t="n"/>
      <c r="L488" s="50" t="n"/>
    </row>
    <row r="489">
      <c r="B489" s="135" t="n"/>
      <c r="C489" s="50" t="n"/>
      <c r="D489" s="50" t="n"/>
      <c r="E489" s="50" t="n"/>
      <c r="F489" s="50" t="n"/>
      <c r="G489" s="50" t="n"/>
      <c r="H489" s="50" t="n"/>
      <c r="I489" s="52" t="n"/>
      <c r="J489" s="135" t="n"/>
      <c r="K489" s="135" t="n"/>
      <c r="L489" s="50" t="n"/>
    </row>
    <row r="490">
      <c r="B490" s="135" t="n"/>
      <c r="C490" s="50" t="n"/>
      <c r="D490" s="50" t="n"/>
      <c r="E490" s="50" t="n"/>
      <c r="F490" s="50" t="n"/>
      <c r="G490" s="50" t="n"/>
      <c r="H490" s="50" t="n"/>
      <c r="I490" s="52" t="n"/>
      <c r="J490" s="135" t="n"/>
      <c r="K490" s="135" t="n"/>
      <c r="L490" s="50" t="n"/>
    </row>
    <row r="491">
      <c r="B491" s="135" t="n"/>
      <c r="C491" s="50" t="n"/>
      <c r="D491" s="50" t="n"/>
      <c r="E491" s="50" t="n"/>
      <c r="F491" s="50" t="n"/>
      <c r="G491" s="50" t="n"/>
      <c r="H491" s="50" t="n"/>
      <c r="I491" s="52" t="n"/>
      <c r="J491" s="135" t="n"/>
      <c r="K491" s="135" t="n"/>
      <c r="L491" s="50" t="n"/>
    </row>
    <row r="492">
      <c r="B492" s="135" t="n"/>
      <c r="C492" s="50" t="n"/>
      <c r="D492" s="50" t="n"/>
      <c r="E492" s="50" t="n"/>
      <c r="F492" s="50" t="n"/>
      <c r="G492" s="50" t="n"/>
      <c r="H492" s="50" t="n"/>
      <c r="I492" s="52" t="n"/>
      <c r="J492" s="135" t="n"/>
      <c r="K492" s="135" t="n"/>
      <c r="L492" s="50" t="n"/>
    </row>
    <row r="493">
      <c r="B493" s="135" t="n"/>
      <c r="C493" s="50" t="n"/>
      <c r="D493" s="50" t="n"/>
      <c r="E493" s="50" t="n"/>
      <c r="F493" s="50" t="n"/>
      <c r="G493" s="50" t="n"/>
      <c r="H493" s="50" t="n"/>
      <c r="I493" s="52" t="n"/>
      <c r="J493" s="135" t="n"/>
      <c r="K493" s="135" t="n"/>
      <c r="L493" s="50" t="n"/>
    </row>
    <row r="494">
      <c r="B494" s="135" t="n"/>
      <c r="C494" s="50" t="n"/>
      <c r="D494" s="50" t="n"/>
      <c r="E494" s="50" t="n"/>
      <c r="F494" s="50" t="n"/>
      <c r="G494" s="50" t="n"/>
      <c r="H494" s="50" t="n"/>
      <c r="I494" s="52" t="n"/>
      <c r="J494" s="135" t="n"/>
      <c r="K494" s="135" t="n"/>
      <c r="L494" s="50" t="n"/>
    </row>
    <row r="495">
      <c r="B495" s="135" t="n"/>
      <c r="C495" s="50" t="n"/>
      <c r="D495" s="50" t="n"/>
      <c r="E495" s="50" t="n"/>
      <c r="F495" s="50" t="n"/>
      <c r="G495" s="50" t="n"/>
      <c r="H495" s="50" t="n"/>
      <c r="I495" s="52" t="n"/>
      <c r="J495" s="135" t="n"/>
      <c r="K495" s="135" t="n"/>
      <c r="L495" s="50" t="n"/>
    </row>
    <row r="496">
      <c r="B496" s="135" t="n"/>
      <c r="C496" s="50" t="n"/>
      <c r="D496" s="50" t="n"/>
      <c r="E496" s="50" t="n"/>
      <c r="F496" s="50" t="n"/>
      <c r="G496" s="50" t="n"/>
      <c r="H496" s="50" t="n"/>
      <c r="I496" s="52" t="n"/>
      <c r="J496" s="135" t="n"/>
      <c r="K496" s="135" t="n"/>
      <c r="L496" s="50" t="n"/>
    </row>
    <row r="497">
      <c r="B497" s="135" t="n"/>
      <c r="C497" s="50" t="n"/>
      <c r="D497" s="50" t="n"/>
      <c r="E497" s="50" t="n"/>
      <c r="F497" s="50" t="n"/>
      <c r="G497" s="50" t="n"/>
      <c r="H497" s="50" t="n"/>
      <c r="I497" s="52" t="n"/>
      <c r="J497" s="135" t="n"/>
      <c r="K497" s="135" t="n"/>
      <c r="L497" s="50" t="n"/>
    </row>
    <row r="498">
      <c r="B498" s="135" t="n"/>
      <c r="C498" s="50" t="n"/>
      <c r="D498" s="50" t="n"/>
      <c r="E498" s="50" t="n"/>
      <c r="F498" s="50" t="n"/>
      <c r="G498" s="50" t="n"/>
      <c r="H498" s="50" t="n"/>
      <c r="I498" s="52" t="n"/>
      <c r="J498" s="135" t="n"/>
      <c r="K498" s="135" t="n"/>
      <c r="L498" s="50" t="n"/>
    </row>
    <row r="499">
      <c r="B499" s="135" t="n"/>
      <c r="C499" s="50" t="n"/>
      <c r="D499" s="50" t="n"/>
      <c r="E499" s="50" t="n"/>
      <c r="F499" s="50" t="n"/>
      <c r="G499" s="50" t="n"/>
      <c r="H499" s="50" t="n"/>
      <c r="I499" s="52" t="n"/>
      <c r="J499" s="135" t="n"/>
      <c r="K499" s="135" t="n"/>
      <c r="L499" s="50" t="n"/>
    </row>
    <row r="500">
      <c r="B500" s="135" t="n"/>
      <c r="C500" s="50" t="n"/>
      <c r="D500" s="50" t="n"/>
      <c r="E500" s="50" t="n"/>
      <c r="F500" s="50" t="n"/>
      <c r="G500" s="50" t="n"/>
      <c r="H500" s="50" t="n"/>
      <c r="I500" s="52" t="n"/>
      <c r="J500" s="135" t="n"/>
      <c r="K500" s="135" t="n"/>
      <c r="L500" s="50" t="n"/>
    </row>
    <row r="501">
      <c r="B501" s="135" t="n"/>
      <c r="C501" s="50" t="n"/>
      <c r="D501" s="50" t="n"/>
      <c r="E501" s="50" t="n"/>
      <c r="F501" s="50" t="n"/>
      <c r="G501" s="50" t="n"/>
      <c r="H501" s="50" t="n"/>
      <c r="I501" s="52" t="n"/>
      <c r="J501" s="135" t="n"/>
      <c r="K501" s="135" t="n"/>
      <c r="L501" s="50" t="n"/>
    </row>
    <row r="502">
      <c r="B502" s="135" t="n"/>
      <c r="C502" s="50" t="n"/>
      <c r="D502" s="50" t="n"/>
      <c r="E502" s="50" t="n"/>
      <c r="F502" s="50" t="n"/>
      <c r="G502" s="50" t="n"/>
      <c r="H502" s="50" t="n"/>
      <c r="I502" s="52" t="n"/>
      <c r="J502" s="135" t="n"/>
      <c r="K502" s="135" t="n"/>
      <c r="L502" s="50" t="n"/>
    </row>
    <row r="503">
      <c r="B503" s="135" t="n"/>
      <c r="C503" s="50" t="n"/>
      <c r="D503" s="50" t="n"/>
      <c r="E503" s="50" t="n"/>
      <c r="F503" s="50" t="n"/>
      <c r="G503" s="50" t="n"/>
      <c r="H503" s="50" t="n"/>
      <c r="I503" s="52" t="n"/>
      <c r="J503" s="135" t="n"/>
      <c r="K503" s="135" t="n"/>
      <c r="L503" s="50" t="n"/>
    </row>
    <row r="504">
      <c r="B504" s="135" t="n"/>
      <c r="C504" s="50" t="n"/>
      <c r="D504" s="50" t="n"/>
      <c r="E504" s="50" t="n"/>
      <c r="F504" s="50" t="n"/>
      <c r="G504" s="50" t="n"/>
      <c r="H504" s="50" t="n"/>
      <c r="I504" s="52" t="n"/>
      <c r="J504" s="135" t="n"/>
      <c r="K504" s="135" t="n"/>
      <c r="L504" s="50" t="n"/>
    </row>
    <row r="505">
      <c r="B505" s="135" t="n"/>
      <c r="C505" s="50" t="n"/>
      <c r="D505" s="50" t="n"/>
      <c r="E505" s="50" t="n"/>
      <c r="F505" s="50" t="n"/>
      <c r="G505" s="50" t="n"/>
      <c r="H505" s="50" t="n"/>
      <c r="I505" s="52" t="n"/>
      <c r="J505" s="135" t="n"/>
      <c r="K505" s="135" t="n"/>
      <c r="L505" s="50" t="n"/>
    </row>
    <row r="506">
      <c r="B506" s="135" t="n"/>
      <c r="C506" s="50" t="n"/>
      <c r="D506" s="50" t="n"/>
      <c r="E506" s="50" t="n"/>
      <c r="F506" s="50" t="n"/>
      <c r="G506" s="50" t="n"/>
      <c r="H506" s="50" t="n"/>
      <c r="I506" s="52" t="n"/>
      <c r="J506" s="135" t="n"/>
      <c r="K506" s="135" t="n"/>
      <c r="L506" s="50" t="n"/>
    </row>
    <row r="507">
      <c r="B507" s="135" t="n"/>
      <c r="C507" s="50" t="n"/>
      <c r="D507" s="50" t="n"/>
      <c r="E507" s="50" t="n"/>
      <c r="F507" s="50" t="n"/>
      <c r="G507" s="50" t="n"/>
      <c r="H507" s="50" t="n"/>
      <c r="I507" s="52" t="n"/>
      <c r="J507" s="135" t="n"/>
      <c r="K507" s="135" t="n"/>
      <c r="L507" s="50" t="n"/>
    </row>
    <row r="508">
      <c r="B508" s="135" t="n"/>
      <c r="C508" s="50" t="n"/>
      <c r="D508" s="50" t="n"/>
      <c r="E508" s="50" t="n"/>
      <c r="F508" s="50" t="n"/>
      <c r="G508" s="50" t="n"/>
      <c r="H508" s="50" t="n"/>
      <c r="I508" s="52" t="n"/>
      <c r="J508" s="135" t="n"/>
      <c r="K508" s="135" t="n"/>
      <c r="L508" s="50" t="n"/>
    </row>
    <row r="509">
      <c r="B509" s="135" t="n"/>
      <c r="C509" s="50" t="n"/>
      <c r="D509" s="50" t="n"/>
      <c r="E509" s="50" t="n"/>
      <c r="F509" s="50" t="n"/>
      <c r="G509" s="50" t="n"/>
      <c r="H509" s="50" t="n"/>
      <c r="I509" s="52" t="n"/>
      <c r="J509" s="135" t="n"/>
      <c r="K509" s="135" t="n"/>
      <c r="L509" s="50" t="n"/>
    </row>
    <row r="510">
      <c r="B510" s="135" t="n"/>
      <c r="C510" s="50" t="n"/>
      <c r="D510" s="50" t="n"/>
      <c r="E510" s="50" t="n"/>
      <c r="F510" s="50" t="n"/>
      <c r="G510" s="50" t="n"/>
      <c r="H510" s="50" t="n"/>
      <c r="I510" s="52" t="n"/>
      <c r="J510" s="135" t="n"/>
      <c r="K510" s="135" t="n"/>
      <c r="L510" s="50" t="n"/>
    </row>
    <row r="511">
      <c r="B511" s="135" t="n"/>
      <c r="C511" s="50" t="n"/>
      <c r="D511" s="50" t="n"/>
      <c r="E511" s="50" t="n"/>
      <c r="F511" s="50" t="n"/>
      <c r="G511" s="50" t="n"/>
      <c r="H511" s="50" t="n"/>
      <c r="I511" s="52" t="n"/>
      <c r="J511" s="135" t="n"/>
      <c r="K511" s="135" t="n"/>
      <c r="L511" s="50" t="n"/>
    </row>
    <row r="512">
      <c r="B512" s="135" t="n"/>
      <c r="C512" s="50" t="n"/>
      <c r="D512" s="50" t="n"/>
      <c r="E512" s="50" t="n"/>
      <c r="F512" s="50" t="n"/>
      <c r="G512" s="50" t="n"/>
      <c r="H512" s="50" t="n"/>
      <c r="I512" s="52" t="n"/>
      <c r="J512" s="135" t="n"/>
      <c r="K512" s="135" t="n"/>
      <c r="L512" s="50" t="n"/>
    </row>
    <row r="513">
      <c r="B513" s="135" t="n"/>
      <c r="C513" s="50" t="n"/>
      <c r="D513" s="50" t="n"/>
      <c r="E513" s="50" t="n"/>
      <c r="F513" s="50" t="n"/>
      <c r="G513" s="50" t="n"/>
      <c r="H513" s="50" t="n"/>
      <c r="I513" s="52" t="n"/>
      <c r="J513" s="135" t="n"/>
      <c r="K513" s="135" t="n"/>
      <c r="L513" s="50" t="n"/>
    </row>
    <row r="514">
      <c r="B514" s="135" t="n"/>
      <c r="C514" s="50" t="n"/>
      <c r="D514" s="50" t="n"/>
      <c r="E514" s="50" t="n"/>
      <c r="F514" s="50" t="n"/>
      <c r="G514" s="50" t="n"/>
      <c r="H514" s="50" t="n"/>
      <c r="I514" s="52" t="n"/>
      <c r="J514" s="135" t="n"/>
      <c r="K514" s="135" t="n"/>
      <c r="L514" s="50" t="n"/>
    </row>
    <row r="515">
      <c r="B515" s="135" t="n"/>
      <c r="C515" s="50" t="n"/>
      <c r="D515" s="50" t="n"/>
      <c r="E515" s="50" t="n"/>
      <c r="F515" s="50" t="n"/>
      <c r="G515" s="50" t="n"/>
      <c r="H515" s="50" t="n"/>
      <c r="I515" s="52" t="n"/>
      <c r="J515" s="135" t="n"/>
      <c r="K515" s="135" t="n"/>
      <c r="L515" s="50" t="n"/>
    </row>
    <row r="516">
      <c r="B516" s="135" t="n"/>
      <c r="C516" s="50" t="n"/>
      <c r="D516" s="50" t="n"/>
      <c r="E516" s="50" t="n"/>
      <c r="F516" s="50" t="n"/>
      <c r="G516" s="50" t="n"/>
      <c r="H516" s="50" t="n"/>
      <c r="I516" s="52" t="n"/>
      <c r="J516" s="135" t="n"/>
      <c r="K516" s="135" t="n"/>
      <c r="L516" s="50" t="n"/>
    </row>
    <row r="517">
      <c r="B517" s="135" t="n"/>
      <c r="C517" s="50" t="n"/>
      <c r="D517" s="50" t="n"/>
      <c r="E517" s="50" t="n"/>
      <c r="F517" s="50" t="n"/>
      <c r="G517" s="50" t="n"/>
      <c r="H517" s="50" t="n"/>
      <c r="I517" s="52" t="n"/>
      <c r="J517" s="135" t="n"/>
      <c r="K517" s="135" t="n"/>
      <c r="L517" s="50" t="n"/>
    </row>
    <row r="518">
      <c r="B518" s="135" t="n"/>
      <c r="C518" s="50" t="n"/>
      <c r="D518" s="50" t="n"/>
      <c r="E518" s="50" t="n"/>
      <c r="F518" s="50" t="n"/>
      <c r="G518" s="50" t="n"/>
      <c r="H518" s="50" t="n"/>
      <c r="I518" s="52" t="n"/>
      <c r="J518" s="135" t="n"/>
      <c r="K518" s="135" t="n"/>
      <c r="L518" s="50" t="n"/>
    </row>
    <row r="519">
      <c r="B519" s="135" t="n"/>
      <c r="C519" s="50" t="n"/>
      <c r="D519" s="50" t="n"/>
      <c r="E519" s="50" t="n"/>
      <c r="F519" s="50" t="n"/>
      <c r="G519" s="50" t="n"/>
      <c r="H519" s="50" t="n"/>
      <c r="I519" s="52" t="n"/>
      <c r="J519" s="135" t="n"/>
      <c r="K519" s="135" t="n"/>
      <c r="L519" s="50" t="n"/>
    </row>
    <row r="520">
      <c r="B520" s="135" t="n"/>
      <c r="C520" s="50" t="n"/>
      <c r="D520" s="50" t="n"/>
      <c r="E520" s="50" t="n"/>
      <c r="F520" s="50" t="n"/>
      <c r="G520" s="50" t="n"/>
      <c r="H520" s="50" t="n"/>
      <c r="I520" s="52" t="n"/>
      <c r="J520" s="135" t="n"/>
      <c r="K520" s="135" t="n"/>
      <c r="L520" s="50" t="n"/>
    </row>
    <row r="521">
      <c r="B521" s="135" t="n"/>
      <c r="C521" s="50" t="n"/>
      <c r="D521" s="50" t="n"/>
      <c r="E521" s="50" t="n"/>
      <c r="F521" s="50" t="n"/>
      <c r="G521" s="50" t="n"/>
      <c r="H521" s="50" t="n"/>
      <c r="I521" s="52" t="n"/>
      <c r="J521" s="135" t="n"/>
      <c r="K521" s="135" t="n"/>
      <c r="L521" s="50" t="n"/>
    </row>
    <row r="522">
      <c r="B522" s="135" t="n"/>
      <c r="C522" s="50" t="n"/>
      <c r="D522" s="50" t="n"/>
      <c r="E522" s="50" t="n"/>
      <c r="F522" s="50" t="n"/>
      <c r="G522" s="50" t="n"/>
      <c r="H522" s="50" t="n"/>
      <c r="I522" s="52" t="n"/>
      <c r="J522" s="135" t="n"/>
      <c r="K522" s="135" t="n"/>
      <c r="L522" s="50" t="n"/>
    </row>
    <row r="523">
      <c r="B523" s="135" t="n"/>
      <c r="C523" s="50" t="n"/>
      <c r="D523" s="50" t="n"/>
      <c r="E523" s="50" t="n"/>
      <c r="F523" s="50" t="n"/>
      <c r="G523" s="50" t="n"/>
      <c r="H523" s="50" t="n"/>
      <c r="I523" s="52" t="n"/>
      <c r="J523" s="135" t="n"/>
      <c r="K523" s="135" t="n"/>
      <c r="L523" s="50" t="n"/>
    </row>
    <row r="524">
      <c r="B524" s="135" t="n"/>
      <c r="C524" s="50" t="n"/>
      <c r="D524" s="50" t="n"/>
      <c r="E524" s="50" t="n"/>
      <c r="F524" s="50" t="n"/>
      <c r="G524" s="50" t="n"/>
      <c r="H524" s="50" t="n"/>
      <c r="I524" s="52" t="n"/>
      <c r="J524" s="135" t="n"/>
      <c r="K524" s="135" t="n"/>
      <c r="L524" s="50" t="n"/>
    </row>
    <row r="525">
      <c r="B525" s="135" t="n"/>
      <c r="C525" s="50" t="n"/>
      <c r="D525" s="50" t="n"/>
      <c r="E525" s="50" t="n"/>
      <c r="F525" s="50" t="n"/>
      <c r="G525" s="50" t="n"/>
      <c r="H525" s="50" t="n"/>
      <c r="I525" s="52" t="n"/>
      <c r="J525" s="135" t="n"/>
      <c r="K525" s="135" t="n"/>
      <c r="L525" s="50" t="n"/>
    </row>
    <row r="526">
      <c r="B526" s="135" t="n"/>
      <c r="C526" s="50" t="n"/>
      <c r="D526" s="50" t="n"/>
      <c r="E526" s="50" t="n"/>
      <c r="F526" s="50" t="n"/>
      <c r="G526" s="50" t="n"/>
      <c r="H526" s="50" t="n"/>
      <c r="I526" s="52" t="n"/>
      <c r="J526" s="135" t="n"/>
      <c r="K526" s="135" t="n"/>
      <c r="L526" s="50" t="n"/>
    </row>
    <row r="527">
      <c r="B527" s="135" t="n"/>
      <c r="C527" s="50" t="n"/>
      <c r="D527" s="50" t="n"/>
      <c r="E527" s="50" t="n"/>
      <c r="F527" s="50" t="n"/>
      <c r="G527" s="50" t="n"/>
      <c r="H527" s="50" t="n"/>
      <c r="I527" s="52" t="n"/>
      <c r="J527" s="135" t="n"/>
      <c r="K527" s="135" t="n"/>
      <c r="L527" s="50" t="n"/>
    </row>
    <row r="528">
      <c r="B528" s="135" t="n"/>
      <c r="C528" s="50" t="n"/>
      <c r="D528" s="50" t="n"/>
      <c r="E528" s="50" t="n"/>
      <c r="F528" s="50" t="n"/>
      <c r="G528" s="50" t="n"/>
      <c r="H528" s="50" t="n"/>
      <c r="I528" s="52" t="n"/>
      <c r="J528" s="135" t="n"/>
      <c r="K528" s="135" t="n"/>
      <c r="L528" s="50" t="n"/>
    </row>
    <row r="529">
      <c r="B529" s="135" t="n"/>
      <c r="C529" s="50" t="n"/>
      <c r="D529" s="50" t="n"/>
      <c r="E529" s="50" t="n"/>
      <c r="F529" s="50" t="n"/>
      <c r="G529" s="50" t="n"/>
      <c r="H529" s="50" t="n"/>
      <c r="I529" s="52" t="n"/>
      <c r="J529" s="135" t="n"/>
      <c r="K529" s="135" t="n"/>
      <c r="L529" s="50" t="n"/>
    </row>
    <row r="530">
      <c r="B530" s="135" t="n"/>
      <c r="C530" s="50" t="n"/>
      <c r="D530" s="50" t="n"/>
      <c r="E530" s="50" t="n"/>
      <c r="F530" s="50" t="n"/>
      <c r="G530" s="50" t="n"/>
      <c r="H530" s="50" t="n"/>
      <c r="I530" s="52" t="n"/>
      <c r="J530" s="135" t="n"/>
      <c r="K530" s="135" t="n"/>
      <c r="L530" s="50" t="n"/>
    </row>
    <row r="531">
      <c r="B531" s="135" t="n"/>
      <c r="C531" s="50" t="n"/>
      <c r="D531" s="50" t="n"/>
      <c r="E531" s="50" t="n"/>
      <c r="F531" s="50" t="n"/>
      <c r="G531" s="50" t="n"/>
      <c r="H531" s="50" t="n"/>
      <c r="I531" s="52" t="n"/>
      <c r="J531" s="135" t="n"/>
      <c r="K531" s="135" t="n"/>
      <c r="L531" s="50" t="n"/>
    </row>
    <row r="532">
      <c r="B532" s="135" t="n"/>
      <c r="C532" s="50" t="n"/>
      <c r="D532" s="50" t="n"/>
      <c r="E532" s="50" t="n"/>
      <c r="F532" s="50" t="n"/>
      <c r="G532" s="50" t="n"/>
      <c r="H532" s="50" t="n"/>
      <c r="I532" s="52" t="n"/>
      <c r="J532" s="135" t="n"/>
      <c r="K532" s="135" t="n"/>
      <c r="L532" s="50" t="n"/>
    </row>
    <row r="533">
      <c r="B533" s="135" t="n"/>
      <c r="C533" s="50" t="n"/>
      <c r="D533" s="50" t="n"/>
      <c r="E533" s="50" t="n"/>
      <c r="F533" s="50" t="n"/>
      <c r="G533" s="50" t="n"/>
      <c r="H533" s="50" t="n"/>
      <c r="I533" s="52" t="n"/>
      <c r="J533" s="135" t="n"/>
      <c r="K533" s="135" t="n"/>
      <c r="L533" s="50" t="n"/>
    </row>
    <row r="534">
      <c r="B534" s="135" t="n"/>
      <c r="C534" s="50" t="n"/>
      <c r="D534" s="50" t="n"/>
      <c r="E534" s="50" t="n"/>
      <c r="F534" s="50" t="n"/>
      <c r="G534" s="50" t="n"/>
      <c r="H534" s="50" t="n"/>
      <c r="I534" s="52" t="n"/>
      <c r="J534" s="135" t="n"/>
      <c r="K534" s="135" t="n"/>
      <c r="L534" s="50" t="n"/>
    </row>
    <row r="535">
      <c r="B535" s="135" t="n"/>
      <c r="C535" s="50" t="n"/>
      <c r="D535" s="50" t="n"/>
      <c r="E535" s="50" t="n"/>
      <c r="F535" s="50" t="n"/>
      <c r="G535" s="50" t="n"/>
      <c r="H535" s="50" t="n"/>
      <c r="I535" s="52" t="n"/>
      <c r="J535" s="135" t="n"/>
      <c r="K535" s="135" t="n"/>
      <c r="L535" s="50" t="n"/>
    </row>
    <row r="536">
      <c r="B536" s="135" t="n"/>
      <c r="C536" s="50" t="n"/>
      <c r="D536" s="50" t="n"/>
      <c r="E536" s="50" t="n"/>
      <c r="F536" s="50" t="n"/>
      <c r="G536" s="50" t="n"/>
      <c r="H536" s="50" t="n"/>
      <c r="I536" s="52" t="n"/>
      <c r="J536" s="135" t="n"/>
      <c r="K536" s="135" t="n"/>
      <c r="L536" s="50" t="n"/>
    </row>
    <row r="537">
      <c r="B537" s="135" t="n"/>
      <c r="C537" s="50" t="n"/>
      <c r="D537" s="50" t="n"/>
      <c r="E537" s="50" t="n"/>
      <c r="F537" s="50" t="n"/>
      <c r="G537" s="50" t="n"/>
      <c r="H537" s="50" t="n"/>
      <c r="I537" s="52" t="n"/>
      <c r="J537" s="135" t="n"/>
      <c r="K537" s="135" t="n"/>
      <c r="L537" s="50" t="n"/>
    </row>
    <row r="538">
      <c r="B538" s="135" t="n"/>
      <c r="C538" s="50" t="n"/>
      <c r="D538" s="50" t="n"/>
      <c r="E538" s="50" t="n"/>
      <c r="F538" s="50" t="n"/>
      <c r="G538" s="50" t="n"/>
      <c r="H538" s="50" t="n"/>
      <c r="I538" s="52" t="n"/>
      <c r="J538" s="135" t="n"/>
      <c r="K538" s="135" t="n"/>
      <c r="L538" s="50" t="n"/>
    </row>
    <row r="539">
      <c r="B539" s="135" t="n"/>
      <c r="C539" s="50" t="n"/>
      <c r="D539" s="50" t="n"/>
      <c r="E539" s="50" t="n"/>
      <c r="F539" s="50" t="n"/>
      <c r="G539" s="50" t="n"/>
      <c r="H539" s="50" t="n"/>
      <c r="I539" s="52" t="n"/>
      <c r="J539" s="135" t="n"/>
      <c r="K539" s="135" t="n"/>
      <c r="L539" s="50" t="n"/>
    </row>
    <row r="540">
      <c r="B540" s="135" t="n"/>
      <c r="C540" s="50" t="n"/>
      <c r="D540" s="50" t="n"/>
      <c r="E540" s="50" t="n"/>
      <c r="F540" s="50" t="n"/>
      <c r="G540" s="50" t="n"/>
      <c r="H540" s="50" t="n"/>
      <c r="I540" s="52" t="n"/>
      <c r="J540" s="135" t="n"/>
      <c r="K540" s="135" t="n"/>
      <c r="L540" s="50" t="n"/>
    </row>
    <row r="541">
      <c r="B541" s="135" t="n"/>
      <c r="C541" s="50" t="n"/>
      <c r="D541" s="50" t="n"/>
      <c r="E541" s="50" t="n"/>
      <c r="F541" s="50" t="n"/>
      <c r="G541" s="50" t="n"/>
      <c r="H541" s="50" t="n"/>
      <c r="I541" s="52" t="n"/>
      <c r="J541" s="135" t="n"/>
      <c r="K541" s="135" t="n"/>
      <c r="L541" s="50" t="n"/>
    </row>
    <row r="542">
      <c r="B542" s="135" t="n"/>
      <c r="C542" s="50" t="n"/>
      <c r="D542" s="50" t="n"/>
      <c r="E542" s="50" t="n"/>
      <c r="F542" s="50" t="n"/>
      <c r="G542" s="50" t="n"/>
      <c r="H542" s="50" t="n"/>
      <c r="I542" s="52" t="n"/>
      <c r="J542" s="135" t="n"/>
      <c r="K542" s="135" t="n"/>
      <c r="L542" s="50" t="n"/>
    </row>
    <row r="543">
      <c r="B543" s="135" t="n"/>
      <c r="C543" s="50" t="n"/>
      <c r="D543" s="50" t="n"/>
      <c r="E543" s="50" t="n"/>
      <c r="F543" s="50" t="n"/>
      <c r="G543" s="50" t="n"/>
      <c r="H543" s="50" t="n"/>
      <c r="I543" s="52" t="n"/>
      <c r="J543" s="135" t="n"/>
      <c r="K543" s="135" t="n"/>
      <c r="L543" s="50" t="n"/>
    </row>
    <row r="544">
      <c r="B544" s="135" t="n"/>
      <c r="C544" s="50" t="n"/>
      <c r="D544" s="50" t="n"/>
      <c r="E544" s="50" t="n"/>
      <c r="F544" s="50" t="n"/>
      <c r="G544" s="50" t="n"/>
      <c r="H544" s="50" t="n"/>
      <c r="I544" s="52" t="n"/>
      <c r="J544" s="135" t="n"/>
      <c r="K544" s="135" t="n"/>
      <c r="L544" s="50" t="n"/>
    </row>
    <row r="545">
      <c r="B545" s="135" t="n"/>
      <c r="C545" s="50" t="n"/>
      <c r="D545" s="50" t="n"/>
      <c r="E545" s="50" t="n"/>
      <c r="F545" s="50" t="n"/>
      <c r="G545" s="50" t="n"/>
      <c r="H545" s="50" t="n"/>
      <c r="I545" s="52" t="n"/>
      <c r="J545" s="135" t="n"/>
      <c r="K545" s="135" t="n"/>
      <c r="L545" s="50" t="n"/>
    </row>
    <row r="546">
      <c r="B546" s="135" t="n"/>
      <c r="C546" s="50" t="n"/>
      <c r="D546" s="50" t="n"/>
      <c r="E546" s="50" t="n"/>
      <c r="F546" s="50" t="n"/>
      <c r="G546" s="50" t="n"/>
      <c r="H546" s="50" t="n"/>
      <c r="I546" s="52" t="n"/>
      <c r="J546" s="135" t="n"/>
      <c r="K546" s="135" t="n"/>
      <c r="L546" s="50" t="n"/>
    </row>
    <row r="547">
      <c r="B547" s="135" t="n"/>
      <c r="C547" s="50" t="n"/>
      <c r="D547" s="50" t="n"/>
      <c r="E547" s="50" t="n"/>
      <c r="F547" s="50" t="n"/>
      <c r="G547" s="50" t="n"/>
      <c r="H547" s="50" t="n"/>
      <c r="I547" s="52" t="n"/>
      <c r="J547" s="135" t="n"/>
      <c r="K547" s="135" t="n"/>
      <c r="L547" s="50" t="n"/>
    </row>
    <row r="548">
      <c r="B548" s="135" t="n"/>
      <c r="C548" s="50" t="n"/>
      <c r="D548" s="50" t="n"/>
      <c r="E548" s="50" t="n"/>
      <c r="F548" s="50" t="n"/>
      <c r="G548" s="50" t="n"/>
      <c r="H548" s="50" t="n"/>
      <c r="I548" s="52" t="n"/>
      <c r="J548" s="135" t="n"/>
      <c r="K548" s="135" t="n"/>
      <c r="L548" s="50" t="n"/>
    </row>
    <row r="549">
      <c r="B549" s="135" t="n"/>
      <c r="C549" s="50" t="n"/>
      <c r="D549" s="50" t="n"/>
      <c r="E549" s="50" t="n"/>
      <c r="F549" s="50" t="n"/>
      <c r="G549" s="50" t="n"/>
      <c r="H549" s="50" t="n"/>
      <c r="I549" s="52" t="n"/>
      <c r="J549" s="135" t="n"/>
      <c r="K549" s="135" t="n"/>
      <c r="L549" s="50" t="n"/>
    </row>
    <row r="550">
      <c r="B550" s="135" t="n"/>
      <c r="C550" s="50" t="n"/>
      <c r="D550" s="50" t="n"/>
      <c r="E550" s="50" t="n"/>
      <c r="F550" s="50" t="n"/>
      <c r="G550" s="50" t="n"/>
      <c r="H550" s="50" t="n"/>
      <c r="I550" s="52" t="n"/>
      <c r="J550" s="135" t="n"/>
      <c r="K550" s="135" t="n"/>
      <c r="L550" s="50" t="n"/>
    </row>
    <row r="551">
      <c r="B551" s="135" t="n"/>
      <c r="C551" s="50" t="n"/>
      <c r="D551" s="50" t="n"/>
      <c r="E551" s="50" t="n"/>
      <c r="F551" s="50" t="n"/>
      <c r="G551" s="50" t="n"/>
      <c r="H551" s="50" t="n"/>
      <c r="I551" s="52" t="n"/>
      <c r="J551" s="135" t="n"/>
      <c r="K551" s="135" t="n"/>
      <c r="L551" s="50" t="n"/>
    </row>
    <row r="552">
      <c r="B552" s="135" t="n"/>
      <c r="C552" s="50" t="n"/>
      <c r="D552" s="50" t="n"/>
      <c r="E552" s="50" t="n"/>
      <c r="F552" s="50" t="n"/>
      <c r="G552" s="50" t="n"/>
      <c r="H552" s="50" t="n"/>
      <c r="I552" s="52" t="n"/>
      <c r="J552" s="135" t="n"/>
      <c r="K552" s="135" t="n"/>
      <c r="L552" s="50" t="n"/>
    </row>
    <row r="553">
      <c r="B553" s="135" t="n"/>
      <c r="C553" s="50" t="n"/>
      <c r="D553" s="50" t="n"/>
      <c r="E553" s="50" t="n"/>
      <c r="F553" s="50" t="n"/>
      <c r="G553" s="50" t="n"/>
      <c r="H553" s="50" t="n"/>
      <c r="I553" s="52" t="n"/>
      <c r="J553" s="135" t="n"/>
      <c r="K553" s="135" t="n"/>
      <c r="L553" s="50" t="n"/>
    </row>
    <row r="554">
      <c r="B554" s="135" t="n"/>
      <c r="C554" s="50" t="n"/>
      <c r="D554" s="50" t="n"/>
      <c r="E554" s="50" t="n"/>
      <c r="F554" s="50" t="n"/>
      <c r="G554" s="50" t="n"/>
      <c r="H554" s="50" t="n"/>
      <c r="I554" s="52" t="n"/>
      <c r="J554" s="135" t="n"/>
      <c r="K554" s="135" t="n"/>
      <c r="L554" s="50" t="n"/>
    </row>
    <row r="555">
      <c r="B555" s="135" t="n"/>
      <c r="C555" s="50" t="n"/>
      <c r="D555" s="50" t="n"/>
      <c r="E555" s="50" t="n"/>
      <c r="F555" s="50" t="n"/>
      <c r="G555" s="50" t="n"/>
      <c r="H555" s="50" t="n"/>
      <c r="I555" s="52" t="n"/>
      <c r="J555" s="135" t="n"/>
      <c r="K555" s="135" t="n"/>
      <c r="L555" s="50" t="n"/>
    </row>
    <row r="556">
      <c r="B556" s="135" t="n"/>
      <c r="C556" s="50" t="n"/>
      <c r="D556" s="50" t="n"/>
      <c r="E556" s="50" t="n"/>
      <c r="F556" s="50" t="n"/>
      <c r="G556" s="50" t="n"/>
      <c r="H556" s="50" t="n"/>
      <c r="I556" s="52" t="n"/>
      <c r="J556" s="135" t="n"/>
      <c r="K556" s="135" t="n"/>
      <c r="L556" s="50" t="n"/>
    </row>
    <row r="557">
      <c r="B557" s="135" t="n"/>
      <c r="C557" s="50" t="n"/>
      <c r="D557" s="50" t="n"/>
      <c r="E557" s="50" t="n"/>
      <c r="F557" s="50" t="n"/>
      <c r="G557" s="50" t="n"/>
      <c r="H557" s="50" t="n"/>
      <c r="I557" s="52" t="n"/>
      <c r="J557" s="135" t="n"/>
      <c r="K557" s="135" t="n"/>
      <c r="L557" s="50" t="n"/>
    </row>
    <row r="558">
      <c r="B558" s="135" t="n"/>
      <c r="C558" s="50" t="n"/>
      <c r="D558" s="50" t="n"/>
      <c r="E558" s="50" t="n"/>
      <c r="F558" s="50" t="n"/>
      <c r="G558" s="50" t="n"/>
      <c r="H558" s="50" t="n"/>
      <c r="I558" s="52" t="n"/>
      <c r="J558" s="135" t="n"/>
      <c r="K558" s="135" t="n"/>
      <c r="L558" s="50" t="n"/>
    </row>
    <row r="559">
      <c r="B559" s="135" t="n"/>
      <c r="C559" s="50" t="n"/>
      <c r="D559" s="50" t="n"/>
      <c r="E559" s="50" t="n"/>
      <c r="F559" s="50" t="n"/>
      <c r="G559" s="50" t="n"/>
      <c r="H559" s="50" t="n"/>
      <c r="I559" s="52" t="n"/>
      <c r="J559" s="135" t="n"/>
      <c r="K559" s="135" t="n"/>
      <c r="L559" s="50" t="n"/>
    </row>
    <row r="560">
      <c r="B560" s="135" t="n"/>
      <c r="C560" s="50" t="n"/>
      <c r="D560" s="50" t="n"/>
      <c r="E560" s="50" t="n"/>
      <c r="F560" s="50" t="n"/>
      <c r="G560" s="50" t="n"/>
      <c r="H560" s="50" t="n"/>
      <c r="I560" s="52" t="n"/>
      <c r="J560" s="135" t="n"/>
      <c r="K560" s="135" t="n"/>
      <c r="L560" s="50" t="n"/>
    </row>
    <row r="561">
      <c r="B561" s="135" t="n"/>
      <c r="C561" s="50" t="n"/>
      <c r="D561" s="50" t="n"/>
      <c r="E561" s="50" t="n"/>
      <c r="F561" s="50" t="n"/>
      <c r="G561" s="50" t="n"/>
      <c r="H561" s="50" t="n"/>
      <c r="I561" s="52" t="n"/>
      <c r="J561" s="135" t="n"/>
      <c r="K561" s="135" t="n"/>
      <c r="L561" s="50" t="n"/>
    </row>
    <row r="562">
      <c r="B562" s="135" t="n"/>
      <c r="C562" s="50" t="n"/>
      <c r="D562" s="50" t="n"/>
      <c r="E562" s="50" t="n"/>
      <c r="F562" s="50" t="n"/>
      <c r="G562" s="50" t="n"/>
      <c r="H562" s="50" t="n"/>
      <c r="I562" s="52" t="n"/>
      <c r="J562" s="135" t="n"/>
      <c r="K562" s="135" t="n"/>
      <c r="L562" s="50" t="n"/>
    </row>
    <row r="563">
      <c r="B563" s="135" t="n"/>
      <c r="C563" s="50" t="n"/>
      <c r="D563" s="50" t="n"/>
      <c r="E563" s="50" t="n"/>
      <c r="F563" s="50" t="n"/>
      <c r="G563" s="50" t="n"/>
      <c r="H563" s="50" t="n"/>
      <c r="I563" s="52" t="n"/>
      <c r="J563" s="135" t="n"/>
      <c r="K563" s="135" t="n"/>
      <c r="L563" s="50" t="n"/>
    </row>
    <row r="564">
      <c r="B564" s="135" t="n"/>
      <c r="C564" s="50" t="n"/>
      <c r="D564" s="50" t="n"/>
      <c r="E564" s="50" t="n"/>
      <c r="F564" s="50" t="n"/>
      <c r="G564" s="50" t="n"/>
      <c r="H564" s="50" t="n"/>
      <c r="I564" s="52" t="n"/>
      <c r="J564" s="135" t="n"/>
      <c r="K564" s="135" t="n"/>
      <c r="L564" s="50" t="n"/>
    </row>
    <row r="565">
      <c r="B565" s="135" t="n"/>
      <c r="C565" s="50" t="n"/>
      <c r="D565" s="50" t="n"/>
      <c r="E565" s="50" t="n"/>
      <c r="F565" s="50" t="n"/>
      <c r="G565" s="50" t="n"/>
      <c r="H565" s="50" t="n"/>
      <c r="I565" s="52" t="n"/>
      <c r="J565" s="135" t="n"/>
      <c r="K565" s="135" t="n"/>
      <c r="L565" s="50" t="n"/>
    </row>
    <row r="566">
      <c r="B566" s="135" t="n"/>
      <c r="C566" s="50" t="n"/>
      <c r="D566" s="50" t="n"/>
      <c r="E566" s="50" t="n"/>
      <c r="F566" s="50" t="n"/>
      <c r="G566" s="50" t="n"/>
      <c r="H566" s="50" t="n"/>
      <c r="I566" s="52" t="n"/>
      <c r="J566" s="135" t="n"/>
      <c r="K566" s="135" t="n"/>
      <c r="L566" s="50" t="n"/>
    </row>
    <row r="567">
      <c r="B567" s="135" t="n"/>
      <c r="C567" s="50" t="n"/>
      <c r="D567" s="50" t="n"/>
      <c r="E567" s="50" t="n"/>
      <c r="F567" s="50" t="n"/>
      <c r="G567" s="50" t="n"/>
      <c r="H567" s="50" t="n"/>
      <c r="I567" s="52" t="n"/>
      <c r="J567" s="135" t="n"/>
      <c r="K567" s="135" t="n"/>
      <c r="L567" s="50" t="n"/>
    </row>
    <row r="568">
      <c r="B568" s="135" t="n"/>
      <c r="C568" s="50" t="n"/>
      <c r="D568" s="50" t="n"/>
      <c r="E568" s="50" t="n"/>
      <c r="F568" s="50" t="n"/>
      <c r="G568" s="50" t="n"/>
      <c r="H568" s="50" t="n"/>
      <c r="I568" s="52" t="n"/>
      <c r="J568" s="135" t="n"/>
      <c r="K568" s="135" t="n"/>
      <c r="L568" s="50" t="n"/>
    </row>
    <row r="569">
      <c r="B569" s="135" t="n"/>
      <c r="C569" s="50" t="n"/>
      <c r="D569" s="50" t="n"/>
      <c r="E569" s="50" t="n"/>
      <c r="F569" s="50" t="n"/>
      <c r="G569" s="50" t="n"/>
      <c r="H569" s="50" t="n"/>
      <c r="I569" s="52" t="n"/>
      <c r="J569" s="135" t="n"/>
      <c r="K569" s="135" t="n"/>
      <c r="L569" s="50" t="n"/>
    </row>
    <row r="570">
      <c r="B570" s="135" t="n"/>
      <c r="C570" s="50" t="n"/>
      <c r="D570" s="50" t="n"/>
      <c r="E570" s="50" t="n"/>
      <c r="F570" s="50" t="n"/>
      <c r="G570" s="50" t="n"/>
      <c r="H570" s="50" t="n"/>
      <c r="I570" s="52" t="n"/>
      <c r="J570" s="135" t="n"/>
      <c r="K570" s="135" t="n"/>
      <c r="L570" s="50" t="n"/>
    </row>
    <row r="571">
      <c r="B571" s="135" t="n"/>
      <c r="C571" s="50" t="n"/>
      <c r="D571" s="50" t="n"/>
      <c r="E571" s="50" t="n"/>
      <c r="F571" s="50" t="n"/>
      <c r="G571" s="50" t="n"/>
      <c r="H571" s="50" t="n"/>
      <c r="I571" s="52" t="n"/>
      <c r="J571" s="135" t="n"/>
      <c r="K571" s="135" t="n"/>
      <c r="L571" s="50" t="n"/>
    </row>
    <row r="572">
      <c r="B572" s="135" t="n"/>
      <c r="C572" s="50" t="n"/>
      <c r="D572" s="50" t="n"/>
      <c r="E572" s="50" t="n"/>
      <c r="F572" s="50" t="n"/>
      <c r="G572" s="50" t="n"/>
      <c r="H572" s="50" t="n"/>
      <c r="I572" s="52" t="n"/>
      <c r="J572" s="135" t="n"/>
      <c r="K572" s="135" t="n"/>
      <c r="L572" s="50" t="n"/>
    </row>
    <row r="573">
      <c r="B573" s="135" t="n"/>
      <c r="C573" s="50" t="n"/>
      <c r="D573" s="50" t="n"/>
      <c r="E573" s="50" t="n"/>
      <c r="F573" s="50" t="n"/>
      <c r="G573" s="50" t="n"/>
      <c r="H573" s="50" t="n"/>
      <c r="I573" s="52" t="n"/>
      <c r="J573" s="135" t="n"/>
      <c r="K573" s="135" t="n"/>
      <c r="L573" s="50" t="n"/>
    </row>
    <row r="574">
      <c r="B574" s="135" t="n"/>
      <c r="C574" s="50" t="n"/>
      <c r="D574" s="50" t="n"/>
      <c r="E574" s="50" t="n"/>
      <c r="F574" s="50" t="n"/>
      <c r="G574" s="50" t="n"/>
      <c r="H574" s="50" t="n"/>
      <c r="I574" s="52" t="n"/>
      <c r="J574" s="135" t="n"/>
      <c r="K574" s="135" t="n"/>
      <c r="L574" s="50" t="n"/>
    </row>
    <row r="575">
      <c r="B575" s="135" t="n"/>
      <c r="C575" s="50" t="n"/>
      <c r="D575" s="50" t="n"/>
      <c r="E575" s="50" t="n"/>
      <c r="F575" s="50" t="n"/>
      <c r="G575" s="50" t="n"/>
      <c r="H575" s="50" t="n"/>
      <c r="I575" s="52" t="n"/>
      <c r="J575" s="135" t="n"/>
      <c r="K575" s="135" t="n"/>
      <c r="L575" s="50" t="n"/>
    </row>
    <row r="576">
      <c r="B576" s="135" t="n"/>
      <c r="C576" s="50" t="n"/>
      <c r="D576" s="50" t="n"/>
      <c r="E576" s="50" t="n"/>
      <c r="F576" s="50" t="n"/>
      <c r="G576" s="50" t="n"/>
      <c r="H576" s="50" t="n"/>
      <c r="I576" s="52" t="n"/>
      <c r="J576" s="135" t="n"/>
      <c r="K576" s="135" t="n"/>
      <c r="L576" s="50" t="n"/>
    </row>
    <row r="577">
      <c r="B577" s="135" t="n"/>
      <c r="C577" s="50" t="n"/>
      <c r="D577" s="50" t="n"/>
      <c r="E577" s="50" t="n"/>
      <c r="F577" s="50" t="n"/>
      <c r="G577" s="50" t="n"/>
      <c r="H577" s="50" t="n"/>
      <c r="I577" s="52" t="n"/>
      <c r="J577" s="135" t="n"/>
      <c r="K577" s="135" t="n"/>
      <c r="L577" s="50" t="n"/>
    </row>
    <row r="578">
      <c r="B578" s="135" t="n"/>
      <c r="C578" s="50" t="n"/>
      <c r="D578" s="50" t="n"/>
      <c r="E578" s="50" t="n"/>
      <c r="F578" s="50" t="n"/>
      <c r="G578" s="50" t="n"/>
      <c r="H578" s="50" t="n"/>
      <c r="I578" s="52" t="n"/>
      <c r="J578" s="135" t="n"/>
      <c r="K578" s="135" t="n"/>
      <c r="L578" s="50" t="n"/>
    </row>
    <row r="579">
      <c r="B579" s="135" t="n"/>
      <c r="C579" s="50" t="n"/>
      <c r="D579" s="50" t="n"/>
      <c r="E579" s="50" t="n"/>
      <c r="F579" s="50" t="n"/>
      <c r="G579" s="50" t="n"/>
      <c r="H579" s="50" t="n"/>
      <c r="I579" s="52" t="n"/>
      <c r="J579" s="135" t="n"/>
      <c r="K579" s="135" t="n"/>
      <c r="L579" s="50" t="n"/>
    </row>
    <row r="580">
      <c r="B580" s="135" t="n"/>
      <c r="C580" s="50" t="n"/>
      <c r="D580" s="50" t="n"/>
      <c r="E580" s="50" t="n"/>
      <c r="F580" s="50" t="n"/>
      <c r="G580" s="50" t="n"/>
      <c r="H580" s="50" t="n"/>
      <c r="I580" s="52" t="n"/>
      <c r="J580" s="135" t="n"/>
      <c r="K580" s="135" t="n"/>
      <c r="L580" s="50" t="n"/>
    </row>
    <row r="581">
      <c r="B581" s="135" t="n"/>
      <c r="C581" s="50" t="n"/>
      <c r="D581" s="50" t="n"/>
      <c r="E581" s="50" t="n"/>
      <c r="F581" s="50" t="n"/>
      <c r="G581" s="50" t="n"/>
      <c r="H581" s="50" t="n"/>
      <c r="I581" s="52" t="n"/>
      <c r="J581" s="135" t="n"/>
      <c r="K581" s="135" t="n"/>
      <c r="L581" s="50" t="n"/>
    </row>
    <row r="582">
      <c r="B582" s="135" t="n"/>
      <c r="C582" s="50" t="n"/>
      <c r="D582" s="50" t="n"/>
      <c r="E582" s="50" t="n"/>
      <c r="F582" s="50" t="n"/>
      <c r="G582" s="50" t="n"/>
      <c r="H582" s="50" t="n"/>
      <c r="I582" s="52" t="n"/>
      <c r="J582" s="135" t="n"/>
      <c r="K582" s="135" t="n"/>
      <c r="L582" s="50" t="n"/>
    </row>
    <row r="583">
      <c r="B583" s="135" t="n"/>
      <c r="C583" s="50" t="n"/>
      <c r="D583" s="50" t="n"/>
      <c r="E583" s="50" t="n"/>
      <c r="F583" s="50" t="n"/>
      <c r="G583" s="50" t="n"/>
      <c r="H583" s="50" t="n"/>
      <c r="I583" s="52" t="n"/>
      <c r="J583" s="135" t="n"/>
      <c r="K583" s="135" t="n"/>
      <c r="L583" s="50" t="n"/>
    </row>
    <row r="584">
      <c r="B584" s="135" t="n"/>
      <c r="C584" s="50" t="n"/>
      <c r="D584" s="50" t="n"/>
      <c r="E584" s="50" t="n"/>
      <c r="F584" s="50" t="n"/>
      <c r="G584" s="50" t="n"/>
      <c r="H584" s="50" t="n"/>
      <c r="I584" s="52" t="n"/>
      <c r="J584" s="135" t="n"/>
      <c r="K584" s="135" t="n"/>
      <c r="L584" s="50" t="n"/>
    </row>
    <row r="585">
      <c r="B585" s="135" t="n"/>
      <c r="C585" s="50" t="n"/>
      <c r="D585" s="50" t="n"/>
      <c r="E585" s="50" t="n"/>
      <c r="F585" s="50" t="n"/>
      <c r="G585" s="50" t="n"/>
      <c r="H585" s="50" t="n"/>
      <c r="I585" s="52" t="n"/>
      <c r="J585" s="135" t="n"/>
      <c r="K585" s="135" t="n"/>
      <c r="L585" s="50" t="n"/>
    </row>
    <row r="586">
      <c r="B586" s="135" t="n"/>
      <c r="C586" s="50" t="n"/>
      <c r="D586" s="50" t="n"/>
      <c r="E586" s="50" t="n"/>
      <c r="F586" s="50" t="n"/>
      <c r="G586" s="50" t="n"/>
      <c r="H586" s="50" t="n"/>
      <c r="I586" s="52" t="n"/>
      <c r="J586" s="135" t="n"/>
      <c r="K586" s="135" t="n"/>
      <c r="L586" s="50" t="n"/>
    </row>
    <row r="587">
      <c r="B587" s="135" t="n"/>
      <c r="C587" s="50" t="n"/>
      <c r="D587" s="50" t="n"/>
      <c r="E587" s="50" t="n"/>
      <c r="F587" s="50" t="n"/>
      <c r="G587" s="50" t="n"/>
      <c r="H587" s="50" t="n"/>
      <c r="I587" s="52" t="n"/>
      <c r="J587" s="135" t="n"/>
      <c r="K587" s="135" t="n"/>
      <c r="L587" s="50" t="n"/>
    </row>
    <row r="588">
      <c r="B588" s="135" t="n"/>
      <c r="C588" s="50" t="n"/>
      <c r="D588" s="50" t="n"/>
      <c r="E588" s="50" t="n"/>
      <c r="F588" s="50" t="n"/>
      <c r="G588" s="50" t="n"/>
      <c r="H588" s="50" t="n"/>
      <c r="I588" s="52" t="n"/>
      <c r="J588" s="135" t="n"/>
      <c r="K588" s="135" t="n"/>
      <c r="L588" s="50" t="n"/>
    </row>
    <row r="589">
      <c r="B589" s="135" t="n"/>
      <c r="C589" s="50" t="n"/>
      <c r="D589" s="50" t="n"/>
      <c r="E589" s="50" t="n"/>
      <c r="F589" s="50" t="n"/>
      <c r="G589" s="50" t="n"/>
      <c r="H589" s="50" t="n"/>
      <c r="I589" s="52" t="n"/>
      <c r="J589" s="135" t="n"/>
      <c r="K589" s="135" t="n"/>
      <c r="L589" s="50" t="n"/>
    </row>
    <row r="590">
      <c r="B590" s="135" t="n"/>
      <c r="C590" s="50" t="n"/>
      <c r="D590" s="50" t="n"/>
      <c r="E590" s="50" t="n"/>
      <c r="F590" s="50" t="n"/>
      <c r="G590" s="50" t="n"/>
      <c r="H590" s="50" t="n"/>
      <c r="I590" s="52" t="n"/>
      <c r="J590" s="135" t="n"/>
      <c r="K590" s="135" t="n"/>
      <c r="L590" s="50" t="n"/>
    </row>
    <row r="591">
      <c r="B591" s="135" t="n"/>
      <c r="C591" s="50" t="n"/>
      <c r="D591" s="50" t="n"/>
      <c r="E591" s="50" t="n"/>
      <c r="F591" s="50" t="n"/>
      <c r="G591" s="50" t="n"/>
      <c r="H591" s="50" t="n"/>
      <c r="I591" s="52" t="n"/>
      <c r="J591" s="135" t="n"/>
      <c r="K591" s="135" t="n"/>
      <c r="L591" s="50" t="n"/>
    </row>
    <row r="592">
      <c r="B592" s="135" t="n"/>
      <c r="C592" s="50" t="n"/>
      <c r="D592" s="50" t="n"/>
      <c r="E592" s="50" t="n"/>
      <c r="F592" s="50" t="n"/>
      <c r="G592" s="50" t="n"/>
      <c r="H592" s="50" t="n"/>
      <c r="I592" s="52" t="n"/>
      <c r="J592" s="135" t="n"/>
      <c r="K592" s="135" t="n"/>
      <c r="L592" s="50" t="n"/>
    </row>
    <row r="593">
      <c r="B593" s="135" t="n"/>
      <c r="C593" s="50" t="n"/>
      <c r="D593" s="50" t="n"/>
      <c r="E593" s="50" t="n"/>
      <c r="F593" s="50" t="n"/>
      <c r="G593" s="50" t="n"/>
      <c r="H593" s="50" t="n"/>
      <c r="I593" s="52" t="n"/>
      <c r="J593" s="135" t="n"/>
      <c r="K593" s="135" t="n"/>
      <c r="L593" s="50" t="n"/>
    </row>
    <row r="594">
      <c r="B594" s="135" t="n"/>
      <c r="C594" s="50" t="n"/>
      <c r="D594" s="50" t="n"/>
      <c r="E594" s="50" t="n"/>
      <c r="F594" s="50" t="n"/>
      <c r="G594" s="50" t="n"/>
      <c r="H594" s="50" t="n"/>
      <c r="I594" s="52" t="n"/>
      <c r="J594" s="135" t="n"/>
      <c r="K594" s="135" t="n"/>
      <c r="L594" s="50" t="n"/>
    </row>
    <row r="595">
      <c r="B595" s="135" t="n"/>
      <c r="C595" s="50" t="n"/>
      <c r="D595" s="50" t="n"/>
      <c r="E595" s="50" t="n"/>
      <c r="F595" s="50" t="n"/>
      <c r="G595" s="50" t="n"/>
      <c r="H595" s="50" t="n"/>
      <c r="I595" s="52" t="n"/>
      <c r="J595" s="135" t="n"/>
      <c r="K595" s="135" t="n"/>
      <c r="L595" s="50" t="n"/>
    </row>
    <row r="596">
      <c r="B596" s="135" t="n"/>
      <c r="C596" s="50" t="n"/>
      <c r="D596" s="50" t="n"/>
      <c r="E596" s="50" t="n"/>
      <c r="F596" s="50" t="n"/>
      <c r="G596" s="50" t="n"/>
      <c r="H596" s="50" t="n"/>
      <c r="I596" s="52" t="n"/>
      <c r="J596" s="135" t="n"/>
      <c r="K596" s="135" t="n"/>
      <c r="L596" s="50" t="n"/>
    </row>
    <row r="597">
      <c r="B597" s="135" t="n"/>
      <c r="C597" s="50" t="n"/>
      <c r="D597" s="50" t="n"/>
      <c r="E597" s="50" t="n"/>
      <c r="F597" s="50" t="n"/>
      <c r="G597" s="50" t="n"/>
      <c r="H597" s="50" t="n"/>
      <c r="I597" s="52" t="n"/>
      <c r="J597" s="135" t="n"/>
      <c r="K597" s="135" t="n"/>
      <c r="L597" s="50" t="n"/>
    </row>
    <row r="598">
      <c r="B598" s="135" t="n"/>
      <c r="C598" s="50" t="n"/>
      <c r="D598" s="50" t="n"/>
      <c r="E598" s="50" t="n"/>
      <c r="F598" s="50" t="n"/>
      <c r="G598" s="50" t="n"/>
      <c r="H598" s="50" t="n"/>
      <c r="I598" s="52" t="n"/>
      <c r="J598" s="135" t="n"/>
      <c r="K598" s="135" t="n"/>
      <c r="L598" s="50" t="n"/>
    </row>
    <row r="599">
      <c r="B599" s="135" t="n"/>
      <c r="C599" s="50" t="n"/>
      <c r="D599" s="50" t="n"/>
      <c r="E599" s="50" t="n"/>
      <c r="F599" s="50" t="n"/>
      <c r="G599" s="50" t="n"/>
      <c r="H599" s="50" t="n"/>
      <c r="I599" s="52" t="n"/>
      <c r="J599" s="135" t="n"/>
      <c r="K599" s="135" t="n"/>
      <c r="L599" s="50" t="n"/>
    </row>
    <row r="600">
      <c r="B600" s="135" t="n"/>
      <c r="C600" s="50" t="n"/>
      <c r="D600" s="50" t="n"/>
      <c r="E600" s="50" t="n"/>
      <c r="F600" s="50" t="n"/>
      <c r="G600" s="50" t="n"/>
      <c r="H600" s="50" t="n"/>
      <c r="I600" s="52" t="n"/>
      <c r="J600" s="135" t="n"/>
      <c r="K600" s="135" t="n"/>
      <c r="L600" s="50" t="n"/>
    </row>
    <row r="601">
      <c r="B601" s="135" t="n"/>
      <c r="C601" s="50" t="n"/>
      <c r="D601" s="50" t="n"/>
      <c r="E601" s="50" t="n"/>
      <c r="F601" s="50" t="n"/>
      <c r="G601" s="50" t="n"/>
      <c r="H601" s="50" t="n"/>
      <c r="I601" s="52" t="n"/>
      <c r="J601" s="135" t="n"/>
      <c r="K601" s="135" t="n"/>
      <c r="L601" s="50" t="n"/>
    </row>
    <row r="602">
      <c r="B602" s="135" t="n"/>
      <c r="C602" s="50" t="n"/>
      <c r="D602" s="50" t="n"/>
      <c r="E602" s="50" t="n"/>
      <c r="F602" s="50" t="n"/>
      <c r="G602" s="50" t="n"/>
      <c r="H602" s="50" t="n"/>
      <c r="I602" s="52" t="n"/>
      <c r="J602" s="135" t="n"/>
      <c r="K602" s="135" t="n"/>
      <c r="L602" s="50" t="n"/>
    </row>
    <row r="603">
      <c r="B603" s="135" t="n"/>
      <c r="C603" s="50" t="n"/>
      <c r="D603" s="50" t="n"/>
      <c r="E603" s="50" t="n"/>
      <c r="F603" s="50" t="n"/>
      <c r="G603" s="50" t="n"/>
      <c r="H603" s="50" t="n"/>
      <c r="I603" s="52" t="n"/>
      <c r="J603" s="135" t="n"/>
      <c r="K603" s="135" t="n"/>
      <c r="L603" s="50" t="n"/>
    </row>
    <row r="604">
      <c r="B604" s="135" t="n"/>
      <c r="C604" s="50" t="n"/>
      <c r="D604" s="50" t="n"/>
      <c r="E604" s="50" t="n"/>
      <c r="F604" s="50" t="n"/>
      <c r="G604" s="50" t="n"/>
      <c r="H604" s="50" t="n"/>
      <c r="I604" s="52" t="n"/>
      <c r="J604" s="135" t="n"/>
      <c r="K604" s="135" t="n"/>
      <c r="L604" s="50" t="n"/>
    </row>
    <row r="605">
      <c r="B605" s="135" t="n"/>
      <c r="C605" s="50" t="n"/>
      <c r="D605" s="50" t="n"/>
      <c r="E605" s="50" t="n"/>
      <c r="F605" s="50" t="n"/>
      <c r="G605" s="50" t="n"/>
      <c r="H605" s="50" t="n"/>
      <c r="I605" s="52" t="n"/>
      <c r="J605" s="135" t="n"/>
      <c r="K605" s="135" t="n"/>
      <c r="L605" s="50" t="n"/>
    </row>
    <row r="606">
      <c r="B606" s="135" t="n"/>
      <c r="C606" s="50" t="n"/>
      <c r="D606" s="50" t="n"/>
      <c r="E606" s="50" t="n"/>
      <c r="F606" s="50" t="n"/>
      <c r="G606" s="50" t="n"/>
      <c r="H606" s="50" t="n"/>
      <c r="I606" s="52" t="n"/>
      <c r="J606" s="135" t="n"/>
      <c r="K606" s="135" t="n"/>
      <c r="L606" s="50" t="n"/>
    </row>
    <row r="607">
      <c r="B607" s="135" t="n"/>
      <c r="C607" s="50" t="n"/>
      <c r="D607" s="50" t="n"/>
      <c r="E607" s="50" t="n"/>
      <c r="F607" s="50" t="n"/>
      <c r="G607" s="50" t="n"/>
      <c r="H607" s="50" t="n"/>
      <c r="I607" s="52" t="n"/>
      <c r="J607" s="135" t="n"/>
      <c r="K607" s="135" t="n"/>
      <c r="L607" s="50" t="n"/>
    </row>
    <row r="608">
      <c r="B608" s="135" t="n"/>
      <c r="C608" s="50" t="n"/>
      <c r="D608" s="50" t="n"/>
      <c r="E608" s="50" t="n"/>
      <c r="F608" s="50" t="n"/>
      <c r="G608" s="50" t="n"/>
      <c r="H608" s="50" t="n"/>
      <c r="I608" s="52" t="n"/>
      <c r="J608" s="135" t="n"/>
      <c r="K608" s="135" t="n"/>
      <c r="L608" s="50" t="n"/>
    </row>
    <row r="609">
      <c r="B609" s="135" t="n"/>
      <c r="C609" s="50" t="n"/>
      <c r="D609" s="50" t="n"/>
      <c r="E609" s="50" t="n"/>
      <c r="F609" s="50" t="n"/>
      <c r="G609" s="50" t="n"/>
      <c r="H609" s="50" t="n"/>
      <c r="I609" s="52" t="n"/>
      <c r="J609" s="135" t="n"/>
      <c r="K609" s="135" t="n"/>
      <c r="L609" s="50" t="n"/>
    </row>
    <row r="610">
      <c r="B610" s="135" t="n"/>
      <c r="C610" s="50" t="n"/>
      <c r="D610" s="50" t="n"/>
      <c r="E610" s="50" t="n"/>
      <c r="F610" s="50" t="n"/>
      <c r="G610" s="50" t="n"/>
      <c r="H610" s="50" t="n"/>
      <c r="I610" s="52" t="n"/>
      <c r="J610" s="135" t="n"/>
      <c r="K610" s="135" t="n"/>
      <c r="L610" s="50" t="n"/>
    </row>
    <row r="611">
      <c r="B611" s="135" t="n"/>
      <c r="C611" s="50" t="n"/>
      <c r="D611" s="50" t="n"/>
      <c r="E611" s="50" t="n"/>
      <c r="F611" s="50" t="n"/>
      <c r="G611" s="50" t="n"/>
      <c r="H611" s="50" t="n"/>
      <c r="I611" s="52" t="n"/>
      <c r="J611" s="135" t="n"/>
      <c r="K611" s="135" t="n"/>
      <c r="L611" s="50" t="n"/>
    </row>
    <row r="612">
      <c r="B612" s="135" t="n"/>
      <c r="C612" s="50" t="n"/>
      <c r="D612" s="50" t="n"/>
      <c r="E612" s="50" t="n"/>
      <c r="F612" s="50" t="n"/>
      <c r="G612" s="50" t="n"/>
      <c r="H612" s="50" t="n"/>
      <c r="I612" s="52" t="n"/>
      <c r="J612" s="135" t="n"/>
      <c r="K612" s="135" t="n"/>
      <c r="L612" s="50" t="n"/>
    </row>
    <row r="613">
      <c r="B613" s="135" t="n"/>
      <c r="C613" s="50" t="n"/>
      <c r="D613" s="50" t="n"/>
      <c r="E613" s="50" t="n"/>
      <c r="F613" s="50" t="n"/>
      <c r="G613" s="50" t="n"/>
      <c r="H613" s="50" t="n"/>
      <c r="I613" s="52" t="n"/>
      <c r="J613" s="135" t="n"/>
      <c r="K613" s="135" t="n"/>
      <c r="L613" s="50" t="n"/>
    </row>
    <row r="614">
      <c r="B614" s="135" t="n"/>
      <c r="C614" s="50" t="n"/>
      <c r="D614" s="50" t="n"/>
      <c r="E614" s="50" t="n"/>
      <c r="F614" s="50" t="n"/>
      <c r="G614" s="50" t="n"/>
      <c r="H614" s="50" t="n"/>
      <c r="I614" s="52" t="n"/>
      <c r="J614" s="135" t="n"/>
      <c r="K614" s="135" t="n"/>
      <c r="L614" s="50" t="n"/>
    </row>
    <row r="615">
      <c r="B615" s="135" t="n"/>
      <c r="C615" s="50" t="n"/>
      <c r="D615" s="50" t="n"/>
      <c r="E615" s="50" t="n"/>
      <c r="F615" s="50" t="n"/>
      <c r="G615" s="50" t="n"/>
      <c r="H615" s="50" t="n"/>
      <c r="I615" s="52" t="n"/>
      <c r="J615" s="135" t="n"/>
      <c r="K615" s="135" t="n"/>
      <c r="L615" s="50" t="n"/>
    </row>
    <row r="616">
      <c r="B616" s="135" t="n"/>
      <c r="C616" s="50" t="n"/>
      <c r="D616" s="50" t="n"/>
      <c r="E616" s="50" t="n"/>
      <c r="F616" s="50" t="n"/>
      <c r="G616" s="50" t="n"/>
      <c r="H616" s="50" t="n"/>
      <c r="I616" s="52" t="n"/>
      <c r="J616" s="135" t="n"/>
      <c r="K616" s="135" t="n"/>
      <c r="L616" s="50" t="n"/>
    </row>
    <row r="617">
      <c r="B617" s="135" t="n"/>
      <c r="C617" s="50" t="n"/>
      <c r="D617" s="50" t="n"/>
      <c r="E617" s="50" t="n"/>
      <c r="F617" s="50" t="n"/>
      <c r="G617" s="50" t="n"/>
      <c r="H617" s="50" t="n"/>
      <c r="I617" s="52" t="n"/>
      <c r="J617" s="135" t="n"/>
      <c r="K617" s="135" t="n"/>
      <c r="L617" s="50" t="n"/>
    </row>
    <row r="618">
      <c r="B618" s="135" t="n"/>
      <c r="C618" s="50" t="n"/>
      <c r="D618" s="50" t="n"/>
      <c r="E618" s="50" t="n"/>
      <c r="F618" s="50" t="n"/>
      <c r="G618" s="50" t="n"/>
      <c r="H618" s="50" t="n"/>
      <c r="I618" s="52" t="n"/>
      <c r="J618" s="135" t="n"/>
      <c r="K618" s="135" t="n"/>
      <c r="L618" s="50" t="n"/>
    </row>
    <row r="619">
      <c r="B619" s="135" t="n"/>
      <c r="C619" s="50" t="n"/>
      <c r="D619" s="50" t="n"/>
      <c r="E619" s="50" t="n"/>
      <c r="F619" s="50" t="n"/>
      <c r="G619" s="50" t="n"/>
      <c r="H619" s="50" t="n"/>
      <c r="I619" s="52" t="n"/>
      <c r="J619" s="135" t="n"/>
      <c r="K619" s="135" t="n"/>
      <c r="L619" s="50" t="n"/>
    </row>
    <row r="620">
      <c r="B620" s="135" t="n"/>
      <c r="C620" s="50" t="n"/>
      <c r="D620" s="50" t="n"/>
      <c r="E620" s="50" t="n"/>
      <c r="F620" s="50" t="n"/>
      <c r="G620" s="50" t="n"/>
      <c r="H620" s="50" t="n"/>
      <c r="I620" s="52" t="n"/>
      <c r="J620" s="135" t="n"/>
      <c r="K620" s="135" t="n"/>
      <c r="L620" s="50" t="n"/>
    </row>
    <row r="621">
      <c r="B621" s="135" t="n"/>
      <c r="C621" s="50" t="n"/>
      <c r="D621" s="50" t="n"/>
      <c r="E621" s="50" t="n"/>
      <c r="F621" s="50" t="n"/>
      <c r="G621" s="50" t="n"/>
      <c r="H621" s="50" t="n"/>
      <c r="I621" s="52" t="n"/>
      <c r="J621" s="135" t="n"/>
      <c r="K621" s="135" t="n"/>
      <c r="L621" s="50" t="n"/>
    </row>
    <row r="622">
      <c r="B622" s="135" t="n"/>
      <c r="C622" s="50" t="n"/>
      <c r="D622" s="50" t="n"/>
      <c r="E622" s="50" t="n"/>
      <c r="F622" s="50" t="n"/>
      <c r="G622" s="50" t="n"/>
      <c r="H622" s="50" t="n"/>
      <c r="I622" s="52" t="n"/>
      <c r="J622" s="135" t="n"/>
      <c r="K622" s="135" t="n"/>
      <c r="L622" s="50" t="n"/>
    </row>
    <row r="623">
      <c r="B623" s="135" t="n"/>
      <c r="C623" s="50" t="n"/>
      <c r="D623" s="50" t="n"/>
      <c r="E623" s="50" t="n"/>
      <c r="F623" s="50" t="n"/>
      <c r="G623" s="50" t="n"/>
      <c r="H623" s="50" t="n"/>
      <c r="I623" s="52" t="n"/>
      <c r="J623" s="135" t="n"/>
      <c r="K623" s="135" t="n"/>
      <c r="L623" s="50" t="n"/>
    </row>
    <row r="624">
      <c r="B624" s="135" t="n"/>
      <c r="C624" s="50" t="n"/>
      <c r="D624" s="50" t="n"/>
      <c r="E624" s="50" t="n"/>
      <c r="F624" s="50" t="n"/>
      <c r="G624" s="50" t="n"/>
      <c r="H624" s="50" t="n"/>
      <c r="I624" s="52" t="n"/>
      <c r="J624" s="135" t="n"/>
      <c r="K624" s="135" t="n"/>
      <c r="L624" s="50" t="n"/>
    </row>
    <row r="625">
      <c r="B625" s="135" t="n"/>
      <c r="C625" s="50" t="n"/>
      <c r="D625" s="50" t="n"/>
      <c r="E625" s="50" t="n"/>
      <c r="F625" s="50" t="n"/>
      <c r="G625" s="50" t="n"/>
      <c r="H625" s="50" t="n"/>
      <c r="I625" s="52" t="n"/>
      <c r="J625" s="135" t="n"/>
      <c r="K625" s="135" t="n"/>
      <c r="L625" s="50" t="n"/>
    </row>
    <row r="626">
      <c r="B626" s="135" t="n"/>
      <c r="C626" s="50" t="n"/>
      <c r="D626" s="50" t="n"/>
      <c r="E626" s="50" t="n"/>
      <c r="F626" s="50" t="n"/>
      <c r="G626" s="50" t="n"/>
      <c r="H626" s="50" t="n"/>
      <c r="I626" s="52" t="n"/>
      <c r="J626" s="135" t="n"/>
      <c r="K626" s="135" t="n"/>
      <c r="L626" s="50" t="n"/>
    </row>
    <row r="627">
      <c r="B627" s="135" t="n"/>
      <c r="C627" s="50" t="n"/>
      <c r="D627" s="50" t="n"/>
      <c r="E627" s="50" t="n"/>
      <c r="F627" s="50" t="n"/>
      <c r="G627" s="50" t="n"/>
      <c r="H627" s="50" t="n"/>
      <c r="I627" s="52" t="n"/>
      <c r="J627" s="135" t="n"/>
      <c r="K627" s="135" t="n"/>
      <c r="L627" s="50" t="n"/>
    </row>
    <row r="628">
      <c r="B628" s="135" t="n"/>
      <c r="C628" s="50" t="n"/>
      <c r="D628" s="50" t="n"/>
      <c r="E628" s="50" t="n"/>
      <c r="F628" s="50" t="n"/>
      <c r="G628" s="50" t="n"/>
      <c r="H628" s="50" t="n"/>
      <c r="I628" s="52" t="n"/>
      <c r="J628" s="135" t="n"/>
      <c r="K628" s="135" t="n"/>
      <c r="L628" s="50" t="n"/>
    </row>
    <row r="629">
      <c r="B629" s="135" t="n"/>
      <c r="C629" s="50" t="n"/>
      <c r="D629" s="50" t="n"/>
      <c r="E629" s="50" t="n"/>
      <c r="F629" s="50" t="n"/>
      <c r="G629" s="50" t="n"/>
      <c r="H629" s="50" t="n"/>
      <c r="I629" s="52" t="n"/>
      <c r="J629" s="135" t="n"/>
      <c r="K629" s="135" t="n"/>
      <c r="L629" s="50" t="n"/>
    </row>
    <row r="630">
      <c r="B630" s="135" t="n"/>
      <c r="C630" s="50" t="n"/>
      <c r="D630" s="50" t="n"/>
      <c r="E630" s="50" t="n"/>
      <c r="F630" s="50" t="n"/>
      <c r="G630" s="50" t="n"/>
      <c r="H630" s="50" t="n"/>
      <c r="I630" s="52" t="n"/>
      <c r="J630" s="135" t="n"/>
      <c r="K630" s="135" t="n"/>
      <c r="L630" s="50" t="n"/>
    </row>
    <row r="631">
      <c r="B631" s="135" t="n"/>
      <c r="C631" s="50" t="n"/>
      <c r="D631" s="50" t="n"/>
      <c r="E631" s="50" t="n"/>
      <c r="F631" s="50" t="n"/>
      <c r="G631" s="50" t="n"/>
      <c r="H631" s="50" t="n"/>
      <c r="I631" s="52" t="n"/>
      <c r="J631" s="135" t="n"/>
      <c r="K631" s="135" t="n"/>
      <c r="L631" s="50" t="n"/>
    </row>
    <row r="632">
      <c r="B632" s="135" t="n"/>
      <c r="C632" s="50" t="n"/>
      <c r="D632" s="50" t="n"/>
      <c r="E632" s="50" t="n"/>
      <c r="F632" s="50" t="n"/>
      <c r="G632" s="50" t="n"/>
      <c r="H632" s="50" t="n"/>
      <c r="I632" s="52" t="n"/>
      <c r="J632" s="135" t="n"/>
      <c r="K632" s="135" t="n"/>
      <c r="L632" s="50" t="n"/>
    </row>
    <row r="633">
      <c r="B633" s="135" t="n"/>
      <c r="C633" s="50" t="n"/>
      <c r="D633" s="50" t="n"/>
      <c r="E633" s="50" t="n"/>
      <c r="F633" s="50" t="n"/>
      <c r="G633" s="50" t="n"/>
      <c r="H633" s="50" t="n"/>
      <c r="I633" s="52" t="n"/>
      <c r="J633" s="135" t="n"/>
      <c r="K633" s="135" t="n"/>
      <c r="L633" s="50" t="n"/>
    </row>
    <row r="634">
      <c r="B634" s="135" t="n"/>
      <c r="C634" s="50" t="n"/>
      <c r="D634" s="50" t="n"/>
      <c r="E634" s="50" t="n"/>
      <c r="F634" s="50" t="n"/>
      <c r="G634" s="50" t="n"/>
      <c r="H634" s="50" t="n"/>
      <c r="I634" s="52" t="n"/>
      <c r="J634" s="135" t="n"/>
      <c r="K634" s="135" t="n"/>
      <c r="L634" s="50" t="n"/>
    </row>
    <row r="635">
      <c r="B635" s="135" t="n"/>
      <c r="C635" s="50" t="n"/>
      <c r="D635" s="50" t="n"/>
      <c r="E635" s="50" t="n"/>
      <c r="F635" s="50" t="n"/>
      <c r="G635" s="50" t="n"/>
      <c r="H635" s="50" t="n"/>
      <c r="I635" s="52" t="n"/>
      <c r="J635" s="135" t="n"/>
      <c r="K635" s="135" t="n"/>
      <c r="L635" s="50" t="n"/>
    </row>
    <row r="636">
      <c r="B636" s="135" t="n"/>
      <c r="C636" s="50" t="n"/>
      <c r="D636" s="50" t="n"/>
      <c r="E636" s="50" t="n"/>
      <c r="F636" s="50" t="n"/>
      <c r="G636" s="50" t="n"/>
      <c r="H636" s="50" t="n"/>
      <c r="I636" s="52" t="n"/>
      <c r="J636" s="135" t="n"/>
      <c r="K636" s="135" t="n"/>
      <c r="L636" s="50" t="n"/>
    </row>
    <row r="637">
      <c r="B637" s="135" t="n"/>
      <c r="C637" s="50" t="n"/>
      <c r="D637" s="50" t="n"/>
      <c r="E637" s="50" t="n"/>
      <c r="F637" s="50" t="n"/>
      <c r="G637" s="50" t="n"/>
      <c r="H637" s="50" t="n"/>
      <c r="I637" s="52" t="n"/>
      <c r="J637" s="135" t="n"/>
      <c r="K637" s="135" t="n"/>
      <c r="L637" s="50" t="n"/>
    </row>
    <row r="638">
      <c r="B638" s="135" t="n"/>
      <c r="C638" s="50" t="n"/>
      <c r="D638" s="50" t="n"/>
      <c r="E638" s="50" t="n"/>
      <c r="F638" s="50" t="n"/>
      <c r="G638" s="50" t="n"/>
      <c r="H638" s="50" t="n"/>
      <c r="I638" s="52" t="n"/>
      <c r="J638" s="135" t="n"/>
      <c r="K638" s="135" t="n"/>
      <c r="L638" s="50" t="n"/>
    </row>
    <row r="639">
      <c r="B639" s="135" t="n"/>
      <c r="C639" s="50" t="n"/>
      <c r="D639" s="50" t="n"/>
      <c r="E639" s="50" t="n"/>
      <c r="F639" s="50" t="n"/>
      <c r="G639" s="50" t="n"/>
      <c r="H639" s="50" t="n"/>
      <c r="I639" s="52" t="n"/>
      <c r="J639" s="135" t="n"/>
      <c r="K639" s="135" t="n"/>
      <c r="L639" s="50" t="n"/>
    </row>
    <row r="640">
      <c r="B640" s="135" t="n"/>
      <c r="C640" s="50" t="n"/>
      <c r="D640" s="50" t="n"/>
      <c r="E640" s="50" t="n"/>
      <c r="F640" s="50" t="n"/>
      <c r="G640" s="50" t="n"/>
      <c r="H640" s="50" t="n"/>
      <c r="I640" s="52" t="n"/>
      <c r="J640" s="135" t="n"/>
      <c r="K640" s="135" t="n"/>
      <c r="L640" s="50" t="n"/>
    </row>
    <row r="641">
      <c r="B641" s="135" t="n"/>
      <c r="C641" s="50" t="n"/>
      <c r="D641" s="50" t="n"/>
      <c r="E641" s="50" t="n"/>
      <c r="F641" s="50" t="n"/>
      <c r="G641" s="50" t="n"/>
      <c r="H641" s="50" t="n"/>
      <c r="I641" s="52" t="n"/>
      <c r="J641" s="135" t="n"/>
      <c r="K641" s="135" t="n"/>
      <c r="L641" s="50" t="n"/>
    </row>
    <row r="642">
      <c r="B642" s="135" t="n"/>
      <c r="C642" s="50" t="n"/>
      <c r="D642" s="50" t="n"/>
      <c r="E642" s="50" t="n"/>
      <c r="F642" s="50" t="n"/>
      <c r="G642" s="50" t="n"/>
      <c r="H642" s="50" t="n"/>
      <c r="I642" s="52" t="n"/>
      <c r="J642" s="135" t="n"/>
      <c r="K642" s="135" t="n"/>
      <c r="L642" s="50" t="n"/>
    </row>
    <row r="643">
      <c r="B643" s="135" t="n"/>
      <c r="C643" s="50" t="n"/>
      <c r="D643" s="50" t="n"/>
      <c r="E643" s="50" t="n"/>
      <c r="F643" s="50" t="n"/>
      <c r="G643" s="50" t="n"/>
      <c r="H643" s="50" t="n"/>
      <c r="I643" s="52" t="n"/>
      <c r="J643" s="135" t="n"/>
      <c r="K643" s="135" t="n"/>
      <c r="L643" s="50" t="n"/>
    </row>
    <row r="644">
      <c r="B644" s="135" t="n"/>
      <c r="C644" s="50" t="n"/>
      <c r="D644" s="50" t="n"/>
      <c r="E644" s="50" t="n"/>
      <c r="F644" s="50" t="n"/>
      <c r="G644" s="50" t="n"/>
      <c r="H644" s="50" t="n"/>
      <c r="I644" s="52" t="n"/>
      <c r="J644" s="135" t="n"/>
      <c r="K644" s="135" t="n"/>
      <c r="L644" s="50" t="n"/>
    </row>
    <row r="645">
      <c r="B645" s="135" t="n"/>
      <c r="C645" s="50" t="n"/>
      <c r="D645" s="50" t="n"/>
      <c r="E645" s="50" t="n"/>
      <c r="F645" s="50" t="n"/>
      <c r="G645" s="50" t="n"/>
      <c r="H645" s="50" t="n"/>
      <c r="I645" s="52" t="n"/>
      <c r="J645" s="135" t="n"/>
      <c r="K645" s="135" t="n"/>
      <c r="L645" s="50" t="n"/>
    </row>
    <row r="646">
      <c r="B646" s="135" t="n"/>
      <c r="C646" s="50" t="n"/>
      <c r="D646" s="50" t="n"/>
      <c r="E646" s="50" t="n"/>
      <c r="F646" s="50" t="n"/>
      <c r="G646" s="50" t="n"/>
      <c r="H646" s="50" t="n"/>
      <c r="I646" s="52" t="n"/>
      <c r="J646" s="135" t="n"/>
      <c r="K646" s="135" t="n"/>
      <c r="L646" s="50" t="n"/>
    </row>
    <row r="647">
      <c r="B647" s="135" t="n"/>
      <c r="C647" s="50" t="n"/>
      <c r="D647" s="50" t="n"/>
      <c r="E647" s="50" t="n"/>
      <c r="F647" s="50" t="n"/>
      <c r="G647" s="50" t="n"/>
      <c r="H647" s="50" t="n"/>
      <c r="I647" s="52" t="n"/>
      <c r="J647" s="135" t="n"/>
      <c r="K647" s="135" t="n"/>
      <c r="L647" s="50" t="n"/>
    </row>
    <row r="648">
      <c r="B648" s="135" t="n"/>
      <c r="C648" s="50" t="n"/>
      <c r="D648" s="50" t="n"/>
      <c r="E648" s="50" t="n"/>
      <c r="F648" s="50" t="n"/>
      <c r="G648" s="50" t="n"/>
      <c r="H648" s="50" t="n"/>
      <c r="I648" s="52" t="n"/>
      <c r="J648" s="135" t="n"/>
      <c r="K648" s="135" t="n"/>
      <c r="L648" s="50" t="n"/>
    </row>
    <row r="649">
      <c r="B649" s="135" t="n"/>
      <c r="C649" s="50" t="n"/>
      <c r="D649" s="50" t="n"/>
      <c r="E649" s="50" t="n"/>
      <c r="F649" s="50" t="n"/>
      <c r="G649" s="50" t="n"/>
      <c r="H649" s="50" t="n"/>
      <c r="I649" s="52" t="n"/>
      <c r="J649" s="135" t="n"/>
      <c r="K649" s="135" t="n"/>
      <c r="L649" s="50" t="n"/>
    </row>
    <row r="650">
      <c r="B650" s="135" t="n"/>
      <c r="C650" s="50" t="n"/>
      <c r="D650" s="50" t="n"/>
      <c r="E650" s="50" t="n"/>
      <c r="F650" s="50" t="n"/>
      <c r="G650" s="50" t="n"/>
      <c r="H650" s="50" t="n"/>
      <c r="I650" s="52" t="n"/>
      <c r="J650" s="135" t="n"/>
      <c r="K650" s="135" t="n"/>
      <c r="L650" s="50" t="n"/>
    </row>
    <row r="651">
      <c r="B651" s="135" t="n"/>
      <c r="C651" s="50" t="n"/>
      <c r="D651" s="50" t="n"/>
      <c r="E651" s="50" t="n"/>
      <c r="F651" s="50" t="n"/>
      <c r="G651" s="50" t="n"/>
      <c r="H651" s="50" t="n"/>
      <c r="I651" s="52" t="n"/>
      <c r="J651" s="135" t="n"/>
      <c r="K651" s="135" t="n"/>
      <c r="L651" s="50" t="n"/>
    </row>
    <row r="652">
      <c r="B652" s="135" t="n"/>
      <c r="C652" s="50" t="n"/>
      <c r="D652" s="50" t="n"/>
      <c r="E652" s="50" t="n"/>
      <c r="F652" s="50" t="n"/>
      <c r="G652" s="50" t="n"/>
      <c r="H652" s="50" t="n"/>
      <c r="I652" s="52" t="n"/>
      <c r="J652" s="135" t="n"/>
      <c r="K652" s="135" t="n"/>
      <c r="L652" s="50" t="n"/>
    </row>
    <row r="653">
      <c r="B653" s="135" t="n"/>
      <c r="C653" s="50" t="n"/>
      <c r="D653" s="50" t="n"/>
      <c r="E653" s="50" t="n"/>
      <c r="F653" s="50" t="n"/>
      <c r="G653" s="50" t="n"/>
      <c r="H653" s="50" t="n"/>
      <c r="I653" s="52" t="n"/>
      <c r="J653" s="135" t="n"/>
      <c r="K653" s="135" t="n"/>
      <c r="L653" s="50" t="n"/>
    </row>
    <row r="654">
      <c r="B654" s="135" t="n"/>
      <c r="C654" s="50" t="n"/>
      <c r="D654" s="50" t="n"/>
      <c r="E654" s="50" t="n"/>
      <c r="F654" s="50" t="n"/>
      <c r="G654" s="50" t="n"/>
      <c r="H654" s="50" t="n"/>
      <c r="I654" s="52" t="n"/>
      <c r="J654" s="135" t="n"/>
      <c r="K654" s="135" t="n"/>
      <c r="L654" s="50" t="n"/>
    </row>
    <row r="655">
      <c r="B655" s="135" t="n"/>
      <c r="C655" s="50" t="n"/>
      <c r="D655" s="50" t="n"/>
      <c r="E655" s="50" t="n"/>
      <c r="F655" s="50" t="n"/>
      <c r="G655" s="50" t="n"/>
      <c r="H655" s="50" t="n"/>
      <c r="I655" s="52" t="n"/>
      <c r="J655" s="135" t="n"/>
      <c r="K655" s="135" t="n"/>
      <c r="L655" s="50" t="n"/>
    </row>
    <row r="656">
      <c r="B656" s="135" t="n"/>
      <c r="C656" s="50" t="n"/>
      <c r="D656" s="50" t="n"/>
      <c r="E656" s="50" t="n"/>
      <c r="F656" s="50" t="n"/>
      <c r="G656" s="50" t="n"/>
      <c r="H656" s="50" t="n"/>
      <c r="I656" s="52" t="n"/>
      <c r="J656" s="135" t="n"/>
      <c r="K656" s="135" t="n"/>
      <c r="L656" s="50" t="n"/>
    </row>
    <row r="657">
      <c r="B657" s="135" t="n"/>
      <c r="C657" s="50" t="n"/>
      <c r="D657" s="50" t="n"/>
      <c r="E657" s="50" t="n"/>
      <c r="F657" s="50" t="n"/>
      <c r="G657" s="50" t="n"/>
      <c r="H657" s="50" t="n"/>
      <c r="I657" s="52" t="n"/>
      <c r="J657" s="135" t="n"/>
      <c r="K657" s="135" t="n"/>
      <c r="L657" s="50" t="n"/>
    </row>
    <row r="658">
      <c r="B658" s="135" t="n"/>
      <c r="C658" s="50" t="n"/>
      <c r="D658" s="50" t="n"/>
      <c r="E658" s="50" t="n"/>
      <c r="F658" s="50" t="n"/>
      <c r="G658" s="50" t="n"/>
      <c r="H658" s="50" t="n"/>
      <c r="I658" s="52" t="n"/>
      <c r="J658" s="135" t="n"/>
      <c r="K658" s="135" t="n"/>
      <c r="L658" s="50" t="n"/>
    </row>
    <row r="659">
      <c r="B659" s="135" t="n"/>
      <c r="C659" s="50" t="n"/>
      <c r="D659" s="50" t="n"/>
      <c r="E659" s="50" t="n"/>
      <c r="F659" s="50" t="n"/>
      <c r="G659" s="50" t="n"/>
      <c r="H659" s="50" t="n"/>
      <c r="I659" s="52" t="n"/>
      <c r="J659" s="135" t="n"/>
      <c r="K659" s="135" t="n"/>
      <c r="L659" s="50" t="n"/>
    </row>
    <row r="660">
      <c r="B660" s="135" t="n"/>
      <c r="C660" s="50" t="n"/>
      <c r="D660" s="50" t="n"/>
      <c r="E660" s="50" t="n"/>
      <c r="F660" s="50" t="n"/>
      <c r="G660" s="50" t="n"/>
      <c r="H660" s="50" t="n"/>
      <c r="I660" s="52" t="n"/>
      <c r="J660" s="135" t="n"/>
      <c r="K660" s="135" t="n"/>
      <c r="L660" s="50" t="n"/>
    </row>
    <row r="661">
      <c r="B661" s="135" t="n"/>
      <c r="C661" s="50" t="n"/>
      <c r="D661" s="50" t="n"/>
      <c r="E661" s="50" t="n"/>
      <c r="F661" s="50" t="n"/>
      <c r="G661" s="50" t="n"/>
      <c r="H661" s="50" t="n"/>
      <c r="I661" s="52" t="n"/>
      <c r="J661" s="135" t="n"/>
      <c r="K661" s="135" t="n"/>
      <c r="L661" s="50" t="n"/>
    </row>
    <row r="662">
      <c r="B662" s="135" t="n"/>
      <c r="C662" s="50" t="n"/>
      <c r="D662" s="50" t="n"/>
      <c r="E662" s="50" t="n"/>
      <c r="F662" s="50" t="n"/>
      <c r="G662" s="50" t="n"/>
      <c r="H662" s="50" t="n"/>
      <c r="I662" s="52" t="n"/>
      <c r="J662" s="135" t="n"/>
      <c r="K662" s="135" t="n"/>
      <c r="L662" s="50" t="n"/>
    </row>
    <row r="663">
      <c r="B663" s="135" t="n"/>
      <c r="C663" s="50" t="n"/>
      <c r="D663" s="50" t="n"/>
      <c r="E663" s="50" t="n"/>
      <c r="F663" s="50" t="n"/>
      <c r="G663" s="50" t="n"/>
      <c r="H663" s="50" t="n"/>
      <c r="I663" s="52" t="n"/>
      <c r="J663" s="135" t="n"/>
      <c r="K663" s="135" t="n"/>
      <c r="L663" s="50" t="n"/>
    </row>
    <row r="664">
      <c r="B664" s="135" t="n"/>
      <c r="C664" s="50" t="n"/>
      <c r="D664" s="50" t="n"/>
      <c r="E664" s="50" t="n"/>
      <c r="F664" s="50" t="n"/>
      <c r="G664" s="50" t="n"/>
      <c r="H664" s="50" t="n"/>
      <c r="I664" s="52" t="n"/>
      <c r="J664" s="135" t="n"/>
      <c r="K664" s="135" t="n"/>
      <c r="L664" s="50" t="n"/>
    </row>
    <row r="665">
      <c r="B665" s="135" t="n"/>
      <c r="C665" s="50" t="n"/>
      <c r="D665" s="50" t="n"/>
      <c r="E665" s="50" t="n"/>
      <c r="F665" s="50" t="n"/>
      <c r="G665" s="50" t="n"/>
      <c r="H665" s="50" t="n"/>
      <c r="I665" s="52" t="n"/>
      <c r="J665" s="135" t="n"/>
      <c r="K665" s="135" t="n"/>
      <c r="L665" s="50" t="n"/>
    </row>
    <row r="666">
      <c r="B666" s="135" t="n"/>
      <c r="C666" s="50" t="n"/>
      <c r="D666" s="50" t="n"/>
      <c r="E666" s="50" t="n"/>
      <c r="F666" s="50" t="n"/>
      <c r="G666" s="50" t="n"/>
      <c r="H666" s="50" t="n"/>
      <c r="I666" s="52" t="n"/>
      <c r="J666" s="135" t="n"/>
      <c r="K666" s="135" t="n"/>
      <c r="L666" s="50" t="n"/>
    </row>
    <row r="667">
      <c r="B667" s="135" t="n"/>
      <c r="C667" s="50" t="n"/>
      <c r="D667" s="50" t="n"/>
      <c r="E667" s="50" t="n"/>
      <c r="F667" s="50" t="n"/>
      <c r="G667" s="50" t="n"/>
      <c r="H667" s="50" t="n"/>
      <c r="I667" s="52" t="n"/>
      <c r="J667" s="135" t="n"/>
      <c r="K667" s="135" t="n"/>
      <c r="L667" s="50" t="n"/>
    </row>
    <row r="668">
      <c r="B668" s="135" t="n"/>
      <c r="C668" s="50" t="n"/>
      <c r="D668" s="50" t="n"/>
      <c r="E668" s="50" t="n"/>
      <c r="F668" s="50" t="n"/>
      <c r="G668" s="50" t="n"/>
      <c r="H668" s="50" t="n"/>
      <c r="I668" s="52" t="n"/>
      <c r="J668" s="135" t="n"/>
      <c r="K668" s="135" t="n"/>
      <c r="L668" s="50" t="n"/>
    </row>
    <row r="669">
      <c r="B669" s="135" t="n"/>
      <c r="C669" s="50" t="n"/>
      <c r="D669" s="50" t="n"/>
      <c r="E669" s="50" t="n"/>
      <c r="F669" s="50" t="n"/>
      <c r="G669" s="50" t="n"/>
      <c r="H669" s="50" t="n"/>
      <c r="I669" s="52" t="n"/>
      <c r="J669" s="135" t="n"/>
      <c r="K669" s="135" t="n"/>
      <c r="L669" s="50" t="n"/>
    </row>
    <row r="670">
      <c r="B670" s="135" t="n"/>
      <c r="C670" s="50" t="n"/>
      <c r="D670" s="50" t="n"/>
      <c r="E670" s="50" t="n"/>
      <c r="F670" s="50" t="n"/>
      <c r="G670" s="50" t="n"/>
      <c r="H670" s="50" t="n"/>
      <c r="I670" s="52" t="n"/>
      <c r="J670" s="135" t="n"/>
      <c r="K670" s="135" t="n"/>
      <c r="L670" s="50" t="n"/>
    </row>
    <row r="671">
      <c r="B671" s="135" t="n"/>
      <c r="C671" s="50" t="n"/>
      <c r="D671" s="50" t="n"/>
      <c r="E671" s="50" t="n"/>
      <c r="F671" s="50" t="n"/>
      <c r="G671" s="50" t="n"/>
      <c r="H671" s="50" t="n"/>
      <c r="I671" s="52" t="n"/>
      <c r="J671" s="135" t="n"/>
      <c r="K671" s="135" t="n"/>
      <c r="L671" s="50" t="n"/>
    </row>
    <row r="672">
      <c r="B672" s="135" t="n"/>
      <c r="C672" s="50" t="n"/>
      <c r="D672" s="50" t="n"/>
      <c r="E672" s="50" t="n"/>
      <c r="F672" s="50" t="n"/>
      <c r="G672" s="50" t="n"/>
      <c r="H672" s="50" t="n"/>
      <c r="I672" s="52" t="n"/>
      <c r="J672" s="135" t="n"/>
      <c r="K672" s="135" t="n"/>
      <c r="L672" s="50" t="n"/>
    </row>
    <row r="673">
      <c r="B673" s="135" t="n"/>
      <c r="C673" s="50" t="n"/>
      <c r="D673" s="50" t="n"/>
      <c r="E673" s="50" t="n"/>
      <c r="F673" s="50" t="n"/>
      <c r="G673" s="50" t="n"/>
      <c r="H673" s="50" t="n"/>
      <c r="I673" s="52" t="n"/>
      <c r="J673" s="135" t="n"/>
      <c r="K673" s="135" t="n"/>
      <c r="L673" s="50" t="n"/>
    </row>
    <row r="674">
      <c r="B674" s="135" t="n"/>
      <c r="C674" s="50" t="n"/>
      <c r="D674" s="50" t="n"/>
      <c r="E674" s="50" t="n"/>
      <c r="F674" s="50" t="n"/>
      <c r="G674" s="50" t="n"/>
      <c r="H674" s="50" t="n"/>
      <c r="I674" s="52" t="n"/>
      <c r="J674" s="135" t="n"/>
      <c r="K674" s="135" t="n"/>
      <c r="L674" s="50" t="n"/>
    </row>
    <row r="675">
      <c r="B675" s="135" t="n"/>
      <c r="C675" s="50" t="n"/>
      <c r="D675" s="50" t="n"/>
      <c r="E675" s="50" t="n"/>
      <c r="F675" s="50" t="n"/>
      <c r="G675" s="50" t="n"/>
      <c r="H675" s="50" t="n"/>
      <c r="I675" s="52" t="n"/>
      <c r="J675" s="135" t="n"/>
      <c r="K675" s="135" t="n"/>
      <c r="L675" s="50" t="n"/>
    </row>
    <row r="676">
      <c r="B676" s="135" t="n"/>
      <c r="C676" s="50" t="n"/>
      <c r="D676" s="50" t="n"/>
      <c r="E676" s="50" t="n"/>
      <c r="F676" s="50" t="n"/>
      <c r="G676" s="50" t="n"/>
      <c r="H676" s="50" t="n"/>
      <c r="I676" s="52" t="n"/>
      <c r="J676" s="135" t="n"/>
      <c r="K676" s="135" t="n"/>
      <c r="L676" s="50" t="n"/>
    </row>
    <row r="677">
      <c r="B677" s="135" t="n"/>
      <c r="C677" s="50" t="n"/>
      <c r="D677" s="50" t="n"/>
      <c r="E677" s="50" t="n"/>
      <c r="F677" s="50" t="n"/>
      <c r="G677" s="50" t="n"/>
      <c r="H677" s="50" t="n"/>
      <c r="I677" s="52" t="n"/>
      <c r="J677" s="135" t="n"/>
      <c r="K677" s="135" t="n"/>
      <c r="L677" s="50" t="n"/>
    </row>
    <row r="678">
      <c r="B678" s="135" t="n"/>
      <c r="C678" s="50" t="n"/>
      <c r="D678" s="50" t="n"/>
      <c r="E678" s="50" t="n"/>
      <c r="F678" s="50" t="n"/>
      <c r="G678" s="50" t="n"/>
      <c r="H678" s="50" t="n"/>
      <c r="I678" s="52" t="n"/>
      <c r="J678" s="135" t="n"/>
      <c r="K678" s="135" t="n"/>
      <c r="L678" s="50" t="n"/>
    </row>
    <row r="679">
      <c r="B679" s="135" t="n"/>
      <c r="C679" s="50" t="n"/>
      <c r="D679" s="50" t="n"/>
      <c r="E679" s="50" t="n"/>
      <c r="F679" s="50" t="n"/>
      <c r="G679" s="50" t="n"/>
      <c r="H679" s="50" t="n"/>
      <c r="I679" s="52" t="n"/>
      <c r="J679" s="135" t="n"/>
      <c r="K679" s="135" t="n"/>
      <c r="L679" s="50" t="n"/>
    </row>
    <row r="680">
      <c r="B680" s="135" t="n"/>
      <c r="C680" s="50" t="n"/>
      <c r="D680" s="50" t="n"/>
      <c r="E680" s="50" t="n"/>
      <c r="F680" s="50" t="n"/>
      <c r="G680" s="50" t="n"/>
      <c r="H680" s="50" t="n"/>
      <c r="I680" s="52" t="n"/>
      <c r="J680" s="135" t="n"/>
      <c r="K680" s="135" t="n"/>
      <c r="L680" s="50" t="n"/>
    </row>
    <row r="681">
      <c r="B681" s="135" t="n"/>
      <c r="C681" s="50" t="n"/>
      <c r="D681" s="50" t="n"/>
      <c r="E681" s="50" t="n"/>
      <c r="F681" s="50" t="n"/>
      <c r="G681" s="50" t="n"/>
      <c r="H681" s="50" t="n"/>
      <c r="I681" s="52" t="n"/>
      <c r="J681" s="135" t="n"/>
      <c r="K681" s="135" t="n"/>
      <c r="L681" s="50" t="n"/>
    </row>
    <row r="682">
      <c r="B682" s="135" t="n"/>
      <c r="C682" s="50" t="n"/>
      <c r="D682" s="50" t="n"/>
      <c r="E682" s="50" t="n"/>
      <c r="F682" s="50" t="n"/>
      <c r="G682" s="50" t="n"/>
      <c r="H682" s="50" t="n"/>
      <c r="I682" s="52" t="n"/>
      <c r="J682" s="135" t="n"/>
      <c r="K682" s="135" t="n"/>
      <c r="L682" s="50" t="n"/>
    </row>
    <row r="683">
      <c r="B683" s="135" t="n"/>
      <c r="C683" s="50" t="n"/>
      <c r="D683" s="50" t="n"/>
      <c r="E683" s="50" t="n"/>
      <c r="F683" s="50" t="n"/>
      <c r="G683" s="50" t="n"/>
      <c r="H683" s="50" t="n"/>
      <c r="I683" s="52" t="n"/>
      <c r="J683" s="135" t="n"/>
      <c r="K683" s="135" t="n"/>
      <c r="L683" s="50" t="n"/>
    </row>
    <row r="684">
      <c r="B684" s="135" t="n"/>
      <c r="C684" s="50" t="n"/>
      <c r="D684" s="50" t="n"/>
      <c r="E684" s="50" t="n"/>
      <c r="F684" s="50" t="n"/>
      <c r="G684" s="50" t="n"/>
      <c r="H684" s="50" t="n"/>
      <c r="I684" s="52" t="n"/>
      <c r="J684" s="135" t="n"/>
      <c r="K684" s="135" t="n"/>
      <c r="L684" s="50" t="n"/>
    </row>
    <row r="685">
      <c r="B685" s="135" t="n"/>
      <c r="C685" s="50" t="n"/>
      <c r="D685" s="50" t="n"/>
      <c r="E685" s="50" t="n"/>
      <c r="F685" s="50" t="n"/>
      <c r="G685" s="50" t="n"/>
      <c r="H685" s="50" t="n"/>
      <c r="I685" s="52" t="n"/>
      <c r="J685" s="135" t="n"/>
      <c r="K685" s="135" t="n"/>
      <c r="L685" s="50" t="n"/>
    </row>
    <row r="686">
      <c r="B686" s="135" t="n"/>
      <c r="C686" s="50" t="n"/>
      <c r="D686" s="50" t="n"/>
      <c r="E686" s="50" t="n"/>
      <c r="F686" s="50" t="n"/>
      <c r="G686" s="50" t="n"/>
      <c r="H686" s="50" t="n"/>
      <c r="I686" s="52" t="n"/>
      <c r="J686" s="135" t="n"/>
      <c r="K686" s="135" t="n"/>
      <c r="L686" s="50" t="n"/>
    </row>
    <row r="687">
      <c r="B687" s="135" t="n"/>
      <c r="C687" s="50" t="n"/>
      <c r="D687" s="50" t="n"/>
      <c r="E687" s="50" t="n"/>
      <c r="F687" s="50" t="n"/>
      <c r="G687" s="50" t="n"/>
      <c r="H687" s="50" t="n"/>
      <c r="I687" s="52" t="n"/>
      <c r="J687" s="135" t="n"/>
      <c r="K687" s="135" t="n"/>
      <c r="L687" s="50" t="n"/>
    </row>
    <row r="688">
      <c r="B688" s="135" t="n"/>
      <c r="C688" s="50" t="n"/>
      <c r="D688" s="50" t="n"/>
      <c r="E688" s="50" t="n"/>
      <c r="F688" s="50" t="n"/>
      <c r="G688" s="50" t="n"/>
      <c r="H688" s="50" t="n"/>
      <c r="I688" s="52" t="n"/>
      <c r="J688" s="135" t="n"/>
      <c r="K688" s="135" t="n"/>
      <c r="L688" s="50" t="n"/>
    </row>
    <row r="689">
      <c r="B689" s="135" t="n"/>
      <c r="C689" s="50" t="n"/>
      <c r="D689" s="50" t="n"/>
      <c r="E689" s="50" t="n"/>
      <c r="F689" s="50" t="n"/>
      <c r="G689" s="50" t="n"/>
      <c r="H689" s="50" t="n"/>
      <c r="I689" s="52" t="n"/>
      <c r="J689" s="135" t="n"/>
      <c r="K689" s="135" t="n"/>
      <c r="L689" s="50" t="n"/>
    </row>
    <row r="690">
      <c r="B690" s="135" t="n"/>
      <c r="C690" s="50" t="n"/>
      <c r="D690" s="50" t="n"/>
      <c r="E690" s="50" t="n"/>
      <c r="F690" s="50" t="n"/>
      <c r="G690" s="50" t="n"/>
      <c r="H690" s="50" t="n"/>
      <c r="I690" s="52" t="n"/>
      <c r="J690" s="135" t="n"/>
      <c r="K690" s="135" t="n"/>
      <c r="L690" s="50" t="n"/>
    </row>
    <row r="691">
      <c r="B691" s="135" t="n"/>
      <c r="C691" s="50" t="n"/>
      <c r="D691" s="50" t="n"/>
      <c r="E691" s="50" t="n"/>
      <c r="F691" s="50" t="n"/>
      <c r="G691" s="50" t="n"/>
      <c r="H691" s="50" t="n"/>
      <c r="I691" s="52" t="n"/>
      <c r="J691" s="135" t="n"/>
      <c r="K691" s="135" t="n"/>
      <c r="L691" s="50" t="n"/>
    </row>
    <row r="692">
      <c r="B692" s="135" t="n"/>
      <c r="C692" s="50" t="n"/>
      <c r="D692" s="50" t="n"/>
      <c r="E692" s="50" t="n"/>
      <c r="F692" s="50" t="n"/>
      <c r="G692" s="50" t="n"/>
      <c r="H692" s="50" t="n"/>
      <c r="I692" s="52" t="n"/>
      <c r="J692" s="135" t="n"/>
      <c r="K692" s="135" t="n"/>
      <c r="L692" s="50" t="n"/>
    </row>
    <row r="693">
      <c r="B693" s="135" t="n"/>
      <c r="C693" s="50" t="n"/>
      <c r="D693" s="50" t="n"/>
      <c r="E693" s="50" t="n"/>
      <c r="F693" s="50" t="n"/>
      <c r="G693" s="50" t="n"/>
      <c r="H693" s="50" t="n"/>
      <c r="I693" s="52" t="n"/>
      <c r="J693" s="135" t="n"/>
      <c r="K693" s="135" t="n"/>
      <c r="L693" s="50" t="n"/>
    </row>
    <row r="694">
      <c r="B694" s="135" t="n"/>
      <c r="C694" s="50" t="n"/>
      <c r="D694" s="50" t="n"/>
      <c r="E694" s="50" t="n"/>
      <c r="F694" s="50" t="n"/>
      <c r="G694" s="50" t="n"/>
      <c r="H694" s="50" t="n"/>
      <c r="I694" s="52" t="n"/>
      <c r="J694" s="135" t="n"/>
      <c r="K694" s="135" t="n"/>
      <c r="L694" s="50" t="n"/>
    </row>
    <row r="695">
      <c r="B695" s="135" t="n"/>
      <c r="C695" s="50" t="n"/>
      <c r="D695" s="50" t="n"/>
      <c r="E695" s="50" t="n"/>
      <c r="F695" s="50" t="n"/>
      <c r="G695" s="50" t="n"/>
      <c r="H695" s="50" t="n"/>
      <c r="I695" s="52" t="n"/>
      <c r="J695" s="135" t="n"/>
      <c r="K695" s="135" t="n"/>
      <c r="L695" s="50" t="n"/>
    </row>
    <row r="696">
      <c r="B696" s="135" t="n"/>
      <c r="C696" s="50" t="n"/>
      <c r="D696" s="50" t="n"/>
      <c r="E696" s="50" t="n"/>
      <c r="F696" s="50" t="n"/>
      <c r="G696" s="50" t="n"/>
      <c r="H696" s="50" t="n"/>
      <c r="I696" s="52" t="n"/>
      <c r="J696" s="135" t="n"/>
      <c r="K696" s="135" t="n"/>
      <c r="L696" s="50" t="n"/>
    </row>
    <row r="697">
      <c r="B697" s="135" t="n"/>
      <c r="C697" s="50" t="n"/>
      <c r="D697" s="50" t="n"/>
      <c r="E697" s="50" t="n"/>
      <c r="F697" s="50" t="n"/>
      <c r="G697" s="50" t="n"/>
      <c r="H697" s="50" t="n"/>
      <c r="I697" s="52" t="n"/>
      <c r="J697" s="135" t="n"/>
      <c r="K697" s="135" t="n"/>
      <c r="L697" s="50" t="n"/>
    </row>
    <row r="698">
      <c r="B698" s="135" t="n"/>
      <c r="C698" s="50" t="n"/>
      <c r="D698" s="50" t="n"/>
      <c r="E698" s="50" t="n"/>
      <c r="F698" s="50" t="n"/>
      <c r="G698" s="50" t="n"/>
      <c r="H698" s="50" t="n"/>
      <c r="I698" s="52" t="n"/>
      <c r="J698" s="135" t="n"/>
      <c r="K698" s="135" t="n"/>
      <c r="L698" s="50" t="n"/>
    </row>
    <row r="699">
      <c r="B699" s="135" t="n"/>
      <c r="C699" s="50" t="n"/>
      <c r="D699" s="50" t="n"/>
      <c r="E699" s="50" t="n"/>
      <c r="F699" s="50" t="n"/>
      <c r="G699" s="50" t="n"/>
      <c r="H699" s="50" t="n"/>
      <c r="I699" s="52" t="n"/>
      <c r="J699" s="135" t="n"/>
      <c r="K699" s="135" t="n"/>
      <c r="L699" s="50" t="n"/>
    </row>
    <row r="700">
      <c r="B700" s="135" t="n"/>
      <c r="C700" s="50" t="n"/>
      <c r="D700" s="50" t="n"/>
      <c r="E700" s="50" t="n"/>
      <c r="F700" s="50" t="n"/>
      <c r="G700" s="50" t="n"/>
      <c r="H700" s="50" t="n"/>
      <c r="I700" s="52" t="n"/>
      <c r="J700" s="135" t="n"/>
      <c r="K700" s="135" t="n"/>
      <c r="L700" s="50" t="n"/>
    </row>
    <row r="701">
      <c r="B701" s="135" t="n"/>
      <c r="C701" s="50" t="n"/>
      <c r="D701" s="50" t="n"/>
      <c r="E701" s="50" t="n"/>
      <c r="F701" s="50" t="n"/>
      <c r="G701" s="50" t="n"/>
      <c r="H701" s="50" t="n"/>
      <c r="I701" s="52" t="n"/>
      <c r="J701" s="135" t="n"/>
      <c r="K701" s="135" t="n"/>
      <c r="L701" s="50" t="n"/>
    </row>
    <row r="702">
      <c r="B702" s="135" t="n"/>
      <c r="C702" s="50" t="n"/>
      <c r="D702" s="50" t="n"/>
      <c r="E702" s="50" t="n"/>
      <c r="F702" s="50" t="n"/>
      <c r="G702" s="50" t="n"/>
      <c r="H702" s="50" t="n"/>
      <c r="I702" s="52" t="n"/>
      <c r="J702" s="135" t="n"/>
      <c r="K702" s="135" t="n"/>
      <c r="L702" s="50" t="n"/>
    </row>
    <row r="703">
      <c r="B703" s="135" t="n"/>
      <c r="C703" s="50" t="n"/>
      <c r="D703" s="50" t="n"/>
      <c r="E703" s="50" t="n"/>
      <c r="F703" s="50" t="n"/>
      <c r="G703" s="50" t="n"/>
      <c r="H703" s="50" t="n"/>
      <c r="I703" s="52" t="n"/>
      <c r="J703" s="135" t="n"/>
      <c r="K703" s="135" t="n"/>
      <c r="L703" s="50" t="n"/>
    </row>
    <row r="704">
      <c r="B704" s="135" t="n"/>
      <c r="C704" s="50" t="n"/>
      <c r="D704" s="50" t="n"/>
      <c r="E704" s="50" t="n"/>
      <c r="F704" s="50" t="n"/>
      <c r="G704" s="50" t="n"/>
      <c r="H704" s="50" t="n"/>
      <c r="I704" s="52" t="n"/>
      <c r="J704" s="135" t="n"/>
      <c r="K704" s="135" t="n"/>
      <c r="L704" s="50" t="n"/>
    </row>
    <row r="705">
      <c r="B705" s="135" t="n"/>
      <c r="C705" s="50" t="n"/>
      <c r="D705" s="50" t="n"/>
      <c r="E705" s="50" t="n"/>
      <c r="F705" s="50" t="n"/>
      <c r="G705" s="50" t="n"/>
      <c r="H705" s="50" t="n"/>
      <c r="I705" s="52" t="n"/>
      <c r="J705" s="135" t="n"/>
      <c r="K705" s="135" t="n"/>
      <c r="L705" s="50" t="n"/>
    </row>
    <row r="706">
      <c r="B706" s="135" t="n"/>
      <c r="C706" s="50" t="n"/>
      <c r="D706" s="50" t="n"/>
      <c r="E706" s="50" t="n"/>
      <c r="F706" s="50" t="n"/>
      <c r="G706" s="50" t="n"/>
      <c r="H706" s="50" t="n"/>
      <c r="I706" s="52" t="n"/>
      <c r="J706" s="135" t="n"/>
      <c r="K706" s="135" t="n"/>
      <c r="L706" s="50" t="n"/>
    </row>
    <row r="707">
      <c r="B707" s="135" t="n"/>
      <c r="C707" s="50" t="n"/>
      <c r="D707" s="50" t="n"/>
      <c r="E707" s="50" t="n"/>
      <c r="F707" s="50" t="n"/>
      <c r="G707" s="50" t="n"/>
      <c r="H707" s="50" t="n"/>
      <c r="I707" s="52" t="n"/>
      <c r="J707" s="135" t="n"/>
      <c r="K707" s="135" t="n"/>
      <c r="L707" s="50" t="n"/>
    </row>
    <row r="708">
      <c r="B708" s="135" t="n"/>
      <c r="C708" s="50" t="n"/>
      <c r="D708" s="50" t="n"/>
      <c r="E708" s="50" t="n"/>
      <c r="F708" s="50" t="n"/>
      <c r="G708" s="50" t="n"/>
      <c r="H708" s="50" t="n"/>
      <c r="I708" s="52" t="n"/>
      <c r="J708" s="135" t="n"/>
      <c r="K708" s="135" t="n"/>
      <c r="L708" s="50" t="n"/>
    </row>
    <row r="709">
      <c r="B709" s="135" t="n"/>
      <c r="C709" s="50" t="n"/>
      <c r="D709" s="50" t="n"/>
      <c r="E709" s="50" t="n"/>
      <c r="F709" s="50" t="n"/>
      <c r="G709" s="50" t="n"/>
      <c r="H709" s="50" t="n"/>
      <c r="I709" s="52" t="n"/>
      <c r="J709" s="135" t="n"/>
      <c r="K709" s="135" t="n"/>
      <c r="L709" s="50" t="n"/>
    </row>
    <row r="710">
      <c r="B710" s="135" t="n"/>
      <c r="C710" s="50" t="n"/>
      <c r="D710" s="50" t="n"/>
      <c r="E710" s="50" t="n"/>
      <c r="F710" s="50" t="n"/>
      <c r="G710" s="50" t="n"/>
      <c r="H710" s="50" t="n"/>
      <c r="I710" s="52" t="n"/>
      <c r="J710" s="135" t="n"/>
      <c r="K710" s="135" t="n"/>
      <c r="L710" s="50" t="n"/>
    </row>
    <row r="711">
      <c r="B711" s="135" t="n"/>
      <c r="C711" s="50" t="n"/>
      <c r="D711" s="50" t="n"/>
      <c r="E711" s="50" t="n"/>
      <c r="F711" s="50" t="n"/>
      <c r="G711" s="50" t="n"/>
      <c r="H711" s="50" t="n"/>
      <c r="I711" s="52" t="n"/>
      <c r="J711" s="135" t="n"/>
      <c r="K711" s="135" t="n"/>
      <c r="L711" s="50" t="n"/>
    </row>
    <row r="712">
      <c r="B712" s="135" t="n"/>
      <c r="C712" s="50" t="n"/>
      <c r="D712" s="50" t="n"/>
      <c r="E712" s="50" t="n"/>
      <c r="F712" s="50" t="n"/>
      <c r="G712" s="50" t="n"/>
      <c r="H712" s="50" t="n"/>
      <c r="I712" s="52" t="n"/>
      <c r="J712" s="135" t="n"/>
      <c r="K712" s="135" t="n"/>
      <c r="L712" s="50" t="n"/>
    </row>
    <row r="713">
      <c r="B713" s="135" t="n"/>
      <c r="C713" s="50" t="n"/>
      <c r="D713" s="50" t="n"/>
      <c r="E713" s="50" t="n"/>
      <c r="F713" s="50" t="n"/>
      <c r="G713" s="50" t="n"/>
      <c r="H713" s="50" t="n"/>
      <c r="I713" s="52" t="n"/>
      <c r="J713" s="135" t="n"/>
      <c r="K713" s="135" t="n"/>
      <c r="L713" s="50" t="n"/>
    </row>
    <row r="714">
      <c r="B714" s="135" t="n"/>
      <c r="C714" s="50" t="n"/>
      <c r="D714" s="50" t="n"/>
      <c r="E714" s="50" t="n"/>
      <c r="F714" s="50" t="n"/>
      <c r="G714" s="50" t="n"/>
      <c r="H714" s="50" t="n"/>
      <c r="I714" s="52" t="n"/>
      <c r="J714" s="135" t="n"/>
      <c r="K714" s="135" t="n"/>
      <c r="L714" s="50" t="n"/>
    </row>
    <row r="715">
      <c r="B715" s="135" t="n"/>
      <c r="C715" s="50" t="n"/>
      <c r="D715" s="50" t="n"/>
      <c r="E715" s="50" t="n"/>
      <c r="F715" s="50" t="n"/>
      <c r="G715" s="50" t="n"/>
      <c r="H715" s="50" t="n"/>
      <c r="I715" s="52" t="n"/>
      <c r="J715" s="135" t="n"/>
      <c r="K715" s="135" t="n"/>
      <c r="L715" s="50" t="n"/>
    </row>
    <row r="716">
      <c r="B716" s="135" t="n"/>
      <c r="C716" s="50" t="n"/>
      <c r="D716" s="50" t="n"/>
      <c r="E716" s="50" t="n"/>
      <c r="F716" s="50" t="n"/>
      <c r="G716" s="50" t="n"/>
      <c r="H716" s="50" t="n"/>
      <c r="I716" s="52" t="n"/>
      <c r="J716" s="135" t="n"/>
      <c r="K716" s="135" t="n"/>
      <c r="L716" s="50" t="n"/>
    </row>
    <row r="717">
      <c r="B717" s="135" t="n"/>
      <c r="C717" s="50" t="n"/>
      <c r="D717" s="50" t="n"/>
      <c r="E717" s="50" t="n"/>
      <c r="F717" s="50" t="n"/>
      <c r="G717" s="50" t="n"/>
      <c r="H717" s="50" t="n"/>
      <c r="I717" s="52" t="n"/>
      <c r="J717" s="135" t="n"/>
      <c r="K717" s="135" t="n"/>
      <c r="L717" s="50" t="n"/>
    </row>
    <row r="718">
      <c r="B718" s="135" t="n"/>
      <c r="C718" s="50" t="n"/>
      <c r="D718" s="50" t="n"/>
      <c r="E718" s="50" t="n"/>
      <c r="F718" s="50" t="n"/>
      <c r="G718" s="50" t="n"/>
      <c r="H718" s="50" t="n"/>
      <c r="I718" s="52" t="n"/>
      <c r="J718" s="135" t="n"/>
      <c r="K718" s="135" t="n"/>
      <c r="L718" s="50" t="n"/>
    </row>
    <row r="719">
      <c r="B719" s="135" t="n"/>
      <c r="C719" s="50" t="n"/>
      <c r="D719" s="50" t="n"/>
      <c r="E719" s="50" t="n"/>
      <c r="F719" s="50" t="n"/>
      <c r="G719" s="50" t="n"/>
      <c r="H719" s="50" t="n"/>
      <c r="I719" s="52" t="n"/>
      <c r="J719" s="135" t="n"/>
      <c r="K719" s="135" t="n"/>
      <c r="L719" s="50" t="n"/>
    </row>
    <row r="720">
      <c r="B720" s="135" t="n"/>
      <c r="C720" s="50" t="n"/>
      <c r="D720" s="50" t="n"/>
      <c r="E720" s="50" t="n"/>
      <c r="F720" s="50" t="n"/>
      <c r="G720" s="50" t="n"/>
      <c r="H720" s="50" t="n"/>
      <c r="I720" s="52" t="n"/>
      <c r="J720" s="135" t="n"/>
      <c r="K720" s="135" t="n"/>
      <c r="L720" s="50" t="n"/>
    </row>
    <row r="721">
      <c r="B721" s="135" t="n"/>
      <c r="C721" s="50" t="n"/>
      <c r="D721" s="50" t="n"/>
      <c r="E721" s="50" t="n"/>
      <c r="F721" s="50" t="n"/>
      <c r="G721" s="50" t="n"/>
      <c r="H721" s="50" t="n"/>
      <c r="I721" s="52" t="n"/>
      <c r="J721" s="135" t="n"/>
      <c r="K721" s="135" t="n"/>
      <c r="L721" s="50" t="n"/>
    </row>
    <row r="722">
      <c r="B722" s="135" t="n"/>
      <c r="C722" s="50" t="n"/>
      <c r="D722" s="50" t="n"/>
      <c r="E722" s="50" t="n"/>
      <c r="F722" s="50" t="n"/>
      <c r="G722" s="50" t="n"/>
      <c r="H722" s="50" t="n"/>
      <c r="I722" s="52" t="n"/>
      <c r="J722" s="135" t="n"/>
      <c r="K722" s="135" t="n"/>
      <c r="L722" s="50" t="n"/>
    </row>
    <row r="723">
      <c r="B723" s="135" t="n"/>
      <c r="C723" s="50" t="n"/>
      <c r="D723" s="50" t="n"/>
      <c r="E723" s="50" t="n"/>
      <c r="F723" s="50" t="n"/>
      <c r="G723" s="50" t="n"/>
      <c r="H723" s="50" t="n"/>
      <c r="I723" s="52" t="n"/>
      <c r="J723" s="135" t="n"/>
      <c r="K723" s="135" t="n"/>
      <c r="L723" s="50" t="n"/>
    </row>
    <row r="724">
      <c r="B724" s="135" t="n"/>
      <c r="C724" s="50" t="n"/>
      <c r="D724" s="50" t="n"/>
      <c r="E724" s="50" t="n"/>
      <c r="F724" s="50" t="n"/>
      <c r="G724" s="50" t="n"/>
      <c r="H724" s="50" t="n"/>
      <c r="I724" s="52" t="n"/>
      <c r="J724" s="135" t="n"/>
      <c r="K724" s="135" t="n"/>
      <c r="L724" s="50" t="n"/>
    </row>
    <row r="725">
      <c r="B725" s="135" t="n"/>
      <c r="C725" s="50" t="n"/>
      <c r="D725" s="50" t="n"/>
      <c r="E725" s="50" t="n"/>
      <c r="F725" s="50" t="n"/>
      <c r="G725" s="50" t="n"/>
      <c r="H725" s="50" t="n"/>
      <c r="I725" s="52" t="n"/>
      <c r="J725" s="135" t="n"/>
      <c r="K725" s="135" t="n"/>
      <c r="L725" s="50" t="n"/>
    </row>
    <row r="726">
      <c r="B726" s="135" t="n"/>
      <c r="C726" s="50" t="n"/>
      <c r="D726" s="50" t="n"/>
      <c r="E726" s="50" t="n"/>
      <c r="F726" s="50" t="n"/>
      <c r="G726" s="50" t="n"/>
      <c r="H726" s="50" t="n"/>
      <c r="I726" s="52" t="n"/>
      <c r="J726" s="135" t="n"/>
      <c r="K726" s="135" t="n"/>
      <c r="L726" s="50" t="n"/>
    </row>
    <row r="727">
      <c r="B727" s="135" t="n"/>
      <c r="C727" s="50" t="n"/>
      <c r="D727" s="50" t="n"/>
      <c r="E727" s="50" t="n"/>
      <c r="F727" s="50" t="n"/>
      <c r="G727" s="50" t="n"/>
      <c r="H727" s="50" t="n"/>
      <c r="I727" s="52" t="n"/>
      <c r="J727" s="135" t="n"/>
      <c r="K727" s="135" t="n"/>
      <c r="L727" s="50" t="n"/>
    </row>
    <row r="728">
      <c r="B728" s="135" t="n"/>
      <c r="C728" s="50" t="n"/>
      <c r="D728" s="50" t="n"/>
      <c r="E728" s="50" t="n"/>
      <c r="F728" s="50" t="n"/>
      <c r="G728" s="50" t="n"/>
      <c r="H728" s="50" t="n"/>
      <c r="I728" s="52" t="n"/>
      <c r="J728" s="135" t="n"/>
      <c r="K728" s="135" t="n"/>
      <c r="L728" s="50" t="n"/>
    </row>
    <row r="729">
      <c r="B729" s="135" t="n"/>
      <c r="C729" s="50" t="n"/>
      <c r="D729" s="50" t="n"/>
      <c r="E729" s="50" t="n"/>
      <c r="F729" s="50" t="n"/>
      <c r="G729" s="50" t="n"/>
      <c r="H729" s="50" t="n"/>
      <c r="I729" s="52" t="n"/>
      <c r="J729" s="135" t="n"/>
      <c r="K729" s="135" t="n"/>
      <c r="L729" s="50" t="n"/>
    </row>
    <row r="730">
      <c r="B730" s="135" t="n"/>
      <c r="C730" s="50" t="n"/>
      <c r="D730" s="50" t="n"/>
      <c r="E730" s="50" t="n"/>
      <c r="F730" s="50" t="n"/>
      <c r="G730" s="50" t="n"/>
      <c r="H730" s="50" t="n"/>
      <c r="I730" s="52" t="n"/>
      <c r="J730" s="135" t="n"/>
      <c r="K730" s="135" t="n"/>
      <c r="L730" s="50" t="n"/>
    </row>
    <row r="731">
      <c r="B731" s="135" t="n"/>
      <c r="C731" s="50" t="n"/>
      <c r="D731" s="50" t="n"/>
      <c r="E731" s="50" t="n"/>
      <c r="F731" s="50" t="n"/>
      <c r="G731" s="50" t="n"/>
      <c r="H731" s="50" t="n"/>
      <c r="I731" s="52" t="n"/>
      <c r="J731" s="135" t="n"/>
      <c r="K731" s="135" t="n"/>
      <c r="L731" s="50" t="n"/>
    </row>
    <row r="732">
      <c r="B732" s="135" t="n"/>
      <c r="C732" s="50" t="n"/>
      <c r="D732" s="50" t="n"/>
      <c r="E732" s="50" t="n"/>
      <c r="F732" s="50" t="n"/>
      <c r="G732" s="50" t="n"/>
      <c r="H732" s="50" t="n"/>
      <c r="I732" s="52" t="n"/>
      <c r="J732" s="135" t="n"/>
      <c r="K732" s="135" t="n"/>
      <c r="L732" s="50" t="n"/>
    </row>
    <row r="733">
      <c r="B733" s="135" t="n"/>
      <c r="C733" s="50" t="n"/>
      <c r="D733" s="50" t="n"/>
      <c r="E733" s="50" t="n"/>
      <c r="F733" s="50" t="n"/>
      <c r="G733" s="50" t="n"/>
      <c r="H733" s="50" t="n"/>
      <c r="I733" s="52" t="n"/>
      <c r="J733" s="135" t="n"/>
      <c r="K733" s="135" t="n"/>
      <c r="L733" s="50" t="n"/>
    </row>
    <row r="734">
      <c r="B734" s="135" t="n"/>
      <c r="C734" s="50" t="n"/>
      <c r="D734" s="50" t="n"/>
      <c r="E734" s="50" t="n"/>
      <c r="F734" s="50" t="n"/>
      <c r="G734" s="50" t="n"/>
      <c r="H734" s="50" t="n"/>
      <c r="I734" s="52" t="n"/>
      <c r="J734" s="135" t="n"/>
      <c r="K734" s="135" t="n"/>
      <c r="L734" s="50" t="n"/>
    </row>
    <row r="735">
      <c r="B735" s="135" t="n"/>
      <c r="C735" s="50" t="n"/>
      <c r="D735" s="50" t="n"/>
      <c r="E735" s="50" t="n"/>
      <c r="F735" s="50" t="n"/>
      <c r="G735" s="50" t="n"/>
      <c r="H735" s="50" t="n"/>
      <c r="I735" s="52" t="n"/>
      <c r="J735" s="135" t="n"/>
      <c r="K735" s="135" t="n"/>
      <c r="L735" s="50" t="n"/>
    </row>
    <row r="736">
      <c r="B736" s="135" t="n"/>
      <c r="C736" s="50" t="n"/>
      <c r="D736" s="50" t="n"/>
      <c r="E736" s="50" t="n"/>
      <c r="F736" s="50" t="n"/>
      <c r="G736" s="50" t="n"/>
      <c r="H736" s="50" t="n"/>
      <c r="I736" s="52" t="n"/>
      <c r="J736" s="135" t="n"/>
      <c r="K736" s="135" t="n"/>
      <c r="L736" s="50" t="n"/>
    </row>
    <row r="737">
      <c r="B737" s="135" t="n"/>
      <c r="C737" s="50" t="n"/>
      <c r="D737" s="50" t="n"/>
      <c r="E737" s="50" t="n"/>
      <c r="F737" s="50" t="n"/>
      <c r="G737" s="50" t="n"/>
      <c r="H737" s="50" t="n"/>
      <c r="I737" s="52" t="n"/>
      <c r="J737" s="135" t="n"/>
      <c r="K737" s="135" t="n"/>
      <c r="L737" s="50" t="n"/>
    </row>
    <row r="738">
      <c r="B738" s="135" t="n"/>
      <c r="C738" s="50" t="n"/>
      <c r="D738" s="50" t="n"/>
      <c r="E738" s="50" t="n"/>
      <c r="F738" s="50" t="n"/>
      <c r="G738" s="50" t="n"/>
      <c r="H738" s="50" t="n"/>
      <c r="I738" s="52" t="n"/>
      <c r="J738" s="135" t="n"/>
      <c r="K738" s="135" t="n"/>
      <c r="L738" s="50" t="n"/>
    </row>
    <row r="739">
      <c r="B739" s="135" t="n"/>
      <c r="C739" s="50" t="n"/>
      <c r="D739" s="50" t="n"/>
      <c r="E739" s="50" t="n"/>
      <c r="F739" s="50" t="n"/>
      <c r="G739" s="50" t="n"/>
      <c r="H739" s="50" t="n"/>
      <c r="I739" s="52" t="n"/>
      <c r="J739" s="135" t="n"/>
      <c r="K739" s="135" t="n"/>
      <c r="L739" s="50" t="n"/>
    </row>
    <row r="740">
      <c r="B740" s="135" t="n"/>
      <c r="C740" s="50" t="n"/>
      <c r="D740" s="50" t="n"/>
      <c r="E740" s="50" t="n"/>
      <c r="F740" s="50" t="n"/>
      <c r="G740" s="50" t="n"/>
      <c r="H740" s="50" t="n"/>
      <c r="I740" s="52" t="n"/>
      <c r="J740" s="135" t="n"/>
      <c r="K740" s="135" t="n"/>
      <c r="L740" s="50" t="n"/>
    </row>
    <row r="741">
      <c r="B741" s="135" t="n"/>
      <c r="C741" s="50" t="n"/>
      <c r="D741" s="50" t="n"/>
      <c r="E741" s="50" t="n"/>
      <c r="F741" s="50" t="n"/>
      <c r="G741" s="50" t="n"/>
      <c r="H741" s="50" t="n"/>
      <c r="I741" s="52" t="n"/>
      <c r="J741" s="135" t="n"/>
      <c r="K741" s="135" t="n"/>
      <c r="L741" s="50" t="n"/>
    </row>
    <row r="742">
      <c r="B742" s="135" t="n"/>
      <c r="C742" s="50" t="n"/>
      <c r="D742" s="50" t="n"/>
      <c r="E742" s="50" t="n"/>
      <c r="F742" s="50" t="n"/>
      <c r="G742" s="50" t="n"/>
      <c r="H742" s="50" t="n"/>
      <c r="I742" s="52" t="n"/>
      <c r="J742" s="135" t="n"/>
      <c r="K742" s="135" t="n"/>
      <c r="L742" s="50" t="n"/>
    </row>
    <row r="743">
      <c r="B743" s="135" t="n"/>
      <c r="C743" s="50" t="n"/>
      <c r="D743" s="50" t="n"/>
      <c r="E743" s="50" t="n"/>
      <c r="F743" s="50" t="n"/>
      <c r="G743" s="50" t="n"/>
      <c r="H743" s="50" t="n"/>
      <c r="I743" s="52" t="n"/>
      <c r="J743" s="135" t="n"/>
      <c r="K743" s="135" t="n"/>
      <c r="L743" s="50" t="n"/>
    </row>
    <row r="744">
      <c r="B744" s="135" t="n"/>
      <c r="C744" s="50" t="n"/>
      <c r="D744" s="50" t="n"/>
      <c r="E744" s="50" t="n"/>
      <c r="F744" s="50" t="n"/>
      <c r="G744" s="50" t="n"/>
      <c r="H744" s="50" t="n"/>
      <c r="I744" s="52" t="n"/>
      <c r="J744" s="135" t="n"/>
      <c r="K744" s="135" t="n"/>
      <c r="L744" s="50" t="n"/>
    </row>
    <row r="745">
      <c r="B745" s="135" t="n"/>
      <c r="C745" s="50" t="n"/>
      <c r="D745" s="50" t="n"/>
      <c r="E745" s="50" t="n"/>
      <c r="F745" s="50" t="n"/>
      <c r="G745" s="50" t="n"/>
      <c r="H745" s="50" t="n"/>
      <c r="I745" s="52" t="n"/>
      <c r="J745" s="135" t="n"/>
      <c r="K745" s="135" t="n"/>
      <c r="L745" s="50" t="n"/>
    </row>
    <row r="746">
      <c r="B746" s="135" t="n"/>
      <c r="C746" s="50" t="n"/>
      <c r="D746" s="50" t="n"/>
      <c r="E746" s="50" t="n"/>
      <c r="F746" s="50" t="n"/>
      <c r="G746" s="50" t="n"/>
      <c r="H746" s="50" t="n"/>
      <c r="I746" s="52" t="n"/>
      <c r="J746" s="135" t="n"/>
      <c r="K746" s="135" t="n"/>
      <c r="L746" s="50" t="n"/>
    </row>
    <row r="747">
      <c r="B747" s="135" t="n"/>
      <c r="C747" s="50" t="n"/>
      <c r="D747" s="50" t="n"/>
      <c r="E747" s="50" t="n"/>
      <c r="F747" s="50" t="n"/>
      <c r="G747" s="50" t="n"/>
      <c r="H747" s="50" t="n"/>
      <c r="I747" s="52" t="n"/>
      <c r="J747" s="135" t="n"/>
      <c r="K747" s="135" t="n"/>
      <c r="L747" s="50" t="n"/>
    </row>
    <row r="748">
      <c r="B748" s="135" t="n"/>
      <c r="C748" s="50" t="n"/>
      <c r="D748" s="50" t="n"/>
      <c r="E748" s="50" t="n"/>
      <c r="F748" s="50" t="n"/>
      <c r="G748" s="50" t="n"/>
      <c r="H748" s="50" t="n"/>
      <c r="I748" s="52" t="n"/>
      <c r="J748" s="135" t="n"/>
      <c r="K748" s="135" t="n"/>
      <c r="L748" s="50" t="n"/>
    </row>
    <row r="749">
      <c r="B749" s="135" t="n"/>
      <c r="C749" s="50" t="n"/>
      <c r="D749" s="50" t="n"/>
      <c r="E749" s="50" t="n"/>
      <c r="F749" s="50" t="n"/>
      <c r="G749" s="50" t="n"/>
      <c r="H749" s="50" t="n"/>
      <c r="I749" s="52" t="n"/>
      <c r="J749" s="135" t="n"/>
      <c r="K749" s="135" t="n"/>
      <c r="L749" s="50" t="n"/>
    </row>
    <row r="750">
      <c r="B750" s="135" t="n"/>
      <c r="C750" s="50" t="n"/>
      <c r="D750" s="50" t="n"/>
      <c r="E750" s="50" t="n"/>
      <c r="F750" s="50" t="n"/>
      <c r="G750" s="50" t="n"/>
      <c r="H750" s="50" t="n"/>
      <c r="I750" s="52" t="n"/>
      <c r="J750" s="135" t="n"/>
      <c r="K750" s="135" t="n"/>
      <c r="L750" s="50" t="n"/>
    </row>
    <row r="751">
      <c r="B751" s="135" t="n"/>
      <c r="C751" s="50" t="n"/>
      <c r="D751" s="50" t="n"/>
      <c r="E751" s="50" t="n"/>
      <c r="F751" s="50" t="n"/>
      <c r="G751" s="50" t="n"/>
      <c r="H751" s="50" t="n"/>
      <c r="I751" s="52" t="n"/>
      <c r="J751" s="135" t="n"/>
      <c r="K751" s="135" t="n"/>
      <c r="L751" s="50" t="n"/>
    </row>
    <row r="752">
      <c r="B752" s="135" t="n"/>
      <c r="C752" s="50" t="n"/>
      <c r="D752" s="50" t="n"/>
      <c r="E752" s="50" t="n"/>
      <c r="F752" s="50" t="n"/>
      <c r="G752" s="50" t="n"/>
      <c r="H752" s="50" t="n"/>
      <c r="I752" s="52" t="n"/>
      <c r="J752" s="135" t="n"/>
      <c r="K752" s="135" t="n"/>
      <c r="L752" s="50" t="n"/>
    </row>
    <row r="753">
      <c r="B753" s="135" t="n"/>
      <c r="C753" s="50" t="n"/>
      <c r="D753" s="50" t="n"/>
      <c r="E753" s="50" t="n"/>
      <c r="F753" s="50" t="n"/>
      <c r="G753" s="50" t="n"/>
      <c r="H753" s="50" t="n"/>
      <c r="I753" s="52" t="n"/>
      <c r="J753" s="135" t="n"/>
      <c r="K753" s="135" t="n"/>
      <c r="L753" s="50" t="n"/>
    </row>
    <row r="754">
      <c r="B754" s="135" t="n"/>
      <c r="C754" s="50" t="n"/>
      <c r="D754" s="50" t="n"/>
      <c r="E754" s="50" t="n"/>
      <c r="F754" s="50" t="n"/>
      <c r="G754" s="50" t="n"/>
      <c r="H754" s="50" t="n"/>
      <c r="I754" s="52" t="n"/>
      <c r="J754" s="135" t="n"/>
      <c r="K754" s="135" t="n"/>
      <c r="L754" s="50" t="n"/>
    </row>
    <row r="755">
      <c r="B755" s="135" t="n"/>
      <c r="C755" s="50" t="n"/>
      <c r="D755" s="50" t="n"/>
      <c r="E755" s="50" t="n"/>
      <c r="F755" s="50" t="n"/>
      <c r="G755" s="50" t="n"/>
      <c r="H755" s="50" t="n"/>
      <c r="I755" s="52" t="n"/>
      <c r="J755" s="135" t="n"/>
      <c r="K755" s="135" t="n"/>
      <c r="L755" s="50" t="n"/>
    </row>
    <row r="756">
      <c r="B756" s="135" t="n"/>
      <c r="C756" s="50" t="n"/>
      <c r="D756" s="50" t="n"/>
      <c r="E756" s="50" t="n"/>
      <c r="F756" s="50" t="n"/>
      <c r="G756" s="50" t="n"/>
      <c r="H756" s="50" t="n"/>
      <c r="I756" s="52" t="n"/>
      <c r="J756" s="135" t="n"/>
      <c r="K756" s="135" t="n"/>
      <c r="L756" s="50" t="n"/>
    </row>
    <row r="757">
      <c r="B757" s="135" t="n"/>
      <c r="C757" s="50" t="n"/>
      <c r="D757" s="50" t="n"/>
      <c r="E757" s="50" t="n"/>
      <c r="F757" s="50" t="n"/>
      <c r="G757" s="50" t="n"/>
      <c r="H757" s="50" t="n"/>
      <c r="I757" s="52" t="n"/>
      <c r="J757" s="135" t="n"/>
      <c r="K757" s="135" t="n"/>
      <c r="L757" s="50" t="n"/>
    </row>
    <row r="758">
      <c r="B758" s="135" t="n"/>
      <c r="C758" s="50" t="n"/>
      <c r="D758" s="50" t="n"/>
      <c r="E758" s="50" t="n"/>
      <c r="F758" s="50" t="n"/>
      <c r="G758" s="50" t="n"/>
      <c r="H758" s="50" t="n"/>
      <c r="I758" s="52" t="n"/>
      <c r="J758" s="135" t="n"/>
      <c r="K758" s="135" t="n"/>
      <c r="L758" s="50" t="n"/>
    </row>
    <row r="759">
      <c r="B759" s="135" t="n"/>
      <c r="C759" s="50" t="n"/>
      <c r="D759" s="50" t="n"/>
      <c r="E759" s="50" t="n"/>
      <c r="F759" s="50" t="n"/>
      <c r="G759" s="50" t="n"/>
      <c r="H759" s="50" t="n"/>
      <c r="I759" s="52" t="n"/>
      <c r="J759" s="135" t="n"/>
      <c r="K759" s="135" t="n"/>
      <c r="L759" s="50" t="n"/>
    </row>
    <row r="760">
      <c r="B760" s="135" t="n"/>
      <c r="C760" s="50" t="n"/>
      <c r="D760" s="50" t="n"/>
      <c r="E760" s="50" t="n"/>
      <c r="F760" s="50" t="n"/>
      <c r="G760" s="50" t="n"/>
      <c r="H760" s="50" t="n"/>
      <c r="I760" s="52" t="n"/>
      <c r="J760" s="135" t="n"/>
      <c r="K760" s="135" t="n"/>
      <c r="L760" s="50" t="n"/>
    </row>
    <row r="761">
      <c r="B761" s="135" t="n"/>
      <c r="C761" s="50" t="n"/>
      <c r="D761" s="50" t="n"/>
      <c r="E761" s="50" t="n"/>
      <c r="F761" s="50" t="n"/>
      <c r="G761" s="50" t="n"/>
      <c r="H761" s="50" t="n"/>
      <c r="I761" s="52" t="n"/>
      <c r="J761" s="135" t="n"/>
      <c r="K761" s="135" t="n"/>
      <c r="L761" s="50" t="n"/>
    </row>
    <row r="762">
      <c r="B762" s="135" t="n"/>
      <c r="C762" s="50" t="n"/>
      <c r="D762" s="50" t="n"/>
      <c r="E762" s="50" t="n"/>
      <c r="F762" s="50" t="n"/>
      <c r="G762" s="50" t="n"/>
      <c r="H762" s="50" t="n"/>
      <c r="I762" s="52" t="n"/>
      <c r="J762" s="135" t="n"/>
      <c r="K762" s="135" t="n"/>
      <c r="L762" s="50" t="n"/>
    </row>
    <row r="763">
      <c r="B763" s="135" t="n"/>
      <c r="C763" s="50" t="n"/>
      <c r="D763" s="50" t="n"/>
      <c r="E763" s="50" t="n"/>
      <c r="F763" s="50" t="n"/>
      <c r="G763" s="50" t="n"/>
      <c r="H763" s="50" t="n"/>
      <c r="I763" s="52" t="n"/>
      <c r="J763" s="135" t="n"/>
      <c r="K763" s="135" t="n"/>
      <c r="L763" s="50" t="n"/>
    </row>
    <row r="764">
      <c r="B764" s="135" t="n"/>
      <c r="C764" s="50" t="n"/>
      <c r="D764" s="50" t="n"/>
      <c r="E764" s="50" t="n"/>
      <c r="F764" s="50" t="n"/>
      <c r="G764" s="50" t="n"/>
      <c r="H764" s="50" t="n"/>
      <c r="I764" s="52" t="n"/>
      <c r="J764" s="135" t="n"/>
      <c r="K764" s="135" t="n"/>
      <c r="L764" s="50" t="n"/>
    </row>
    <row r="765">
      <c r="B765" s="135" t="n"/>
      <c r="C765" s="50" t="n"/>
      <c r="D765" s="50" t="n"/>
      <c r="E765" s="50" t="n"/>
      <c r="F765" s="50" t="n"/>
      <c r="G765" s="50" t="n"/>
      <c r="H765" s="50" t="n"/>
      <c r="I765" s="52" t="n"/>
      <c r="J765" s="135" t="n"/>
      <c r="K765" s="135" t="n"/>
      <c r="L765" s="50" t="n"/>
    </row>
    <row r="766">
      <c r="B766" s="135" t="n"/>
      <c r="C766" s="50" t="n"/>
      <c r="D766" s="50" t="n"/>
      <c r="E766" s="50" t="n"/>
      <c r="F766" s="50" t="n"/>
      <c r="G766" s="50" t="n"/>
      <c r="H766" s="50" t="n"/>
      <c r="I766" s="52" t="n"/>
      <c r="J766" s="135" t="n"/>
      <c r="K766" s="135" t="n"/>
      <c r="L766" s="50" t="n"/>
    </row>
    <row r="767">
      <c r="B767" s="135" t="n"/>
      <c r="C767" s="50" t="n"/>
      <c r="D767" s="50" t="n"/>
      <c r="E767" s="50" t="n"/>
      <c r="F767" s="50" t="n"/>
      <c r="G767" s="50" t="n"/>
      <c r="H767" s="50" t="n"/>
      <c r="I767" s="52" t="n"/>
      <c r="J767" s="135" t="n"/>
      <c r="K767" s="135" t="n"/>
      <c r="L767" s="50" t="n"/>
    </row>
    <row r="768">
      <c r="B768" s="135" t="n"/>
      <c r="C768" s="50" t="n"/>
      <c r="D768" s="50" t="n"/>
      <c r="E768" s="50" t="n"/>
      <c r="F768" s="50" t="n"/>
      <c r="G768" s="50" t="n"/>
      <c r="H768" s="50" t="n"/>
      <c r="I768" s="52" t="n"/>
      <c r="J768" s="135" t="n"/>
      <c r="K768" s="135" t="n"/>
      <c r="L768" s="50" t="n"/>
    </row>
    <row r="769">
      <c r="B769" s="135" t="n"/>
      <c r="C769" s="50" t="n"/>
      <c r="D769" s="50" t="n"/>
      <c r="E769" s="50" t="n"/>
      <c r="F769" s="50" t="n"/>
      <c r="G769" s="50" t="n"/>
      <c r="H769" s="50" t="n"/>
      <c r="I769" s="52" t="n"/>
      <c r="J769" s="135" t="n"/>
      <c r="K769" s="135" t="n"/>
      <c r="L769" s="50" t="n"/>
    </row>
    <row r="770">
      <c r="B770" s="135" t="n"/>
      <c r="C770" s="50" t="n"/>
      <c r="D770" s="50" t="n"/>
      <c r="E770" s="50" t="n"/>
      <c r="F770" s="50" t="n"/>
      <c r="G770" s="50" t="n"/>
      <c r="H770" s="50" t="n"/>
      <c r="I770" s="52" t="n"/>
      <c r="J770" s="135" t="n"/>
      <c r="K770" s="135" t="n"/>
      <c r="L770" s="50" t="n"/>
    </row>
    <row r="771">
      <c r="B771" s="135" t="n"/>
      <c r="C771" s="50" t="n"/>
      <c r="D771" s="50" t="n"/>
      <c r="E771" s="50" t="n"/>
      <c r="F771" s="50" t="n"/>
      <c r="G771" s="50" t="n"/>
      <c r="H771" s="50" t="n"/>
      <c r="I771" s="52" t="n"/>
      <c r="J771" s="135" t="n"/>
      <c r="K771" s="135" t="n"/>
      <c r="L771" s="50" t="n"/>
    </row>
    <row r="772">
      <c r="B772" s="135" t="n"/>
      <c r="C772" s="50" t="n"/>
      <c r="D772" s="50" t="n"/>
      <c r="E772" s="50" t="n"/>
      <c r="F772" s="50" t="n"/>
      <c r="G772" s="50" t="n"/>
      <c r="H772" s="50" t="n"/>
      <c r="I772" s="52" t="n"/>
      <c r="J772" s="135" t="n"/>
      <c r="K772" s="135" t="n"/>
      <c r="L772" s="50" t="n"/>
    </row>
    <row r="773">
      <c r="B773" s="135" t="n"/>
      <c r="C773" s="50" t="n"/>
      <c r="D773" s="50" t="n"/>
      <c r="E773" s="50" t="n"/>
      <c r="F773" s="50" t="n"/>
      <c r="G773" s="50" t="n"/>
      <c r="H773" s="50" t="n"/>
      <c r="I773" s="52" t="n"/>
      <c r="J773" s="135" t="n"/>
      <c r="K773" s="135" t="n"/>
      <c r="L773" s="50" t="n"/>
    </row>
    <row r="774">
      <c r="B774" s="135" t="n"/>
      <c r="C774" s="50" t="n"/>
      <c r="D774" s="50" t="n"/>
      <c r="E774" s="50" t="n"/>
      <c r="F774" s="50" t="n"/>
      <c r="G774" s="50" t="n"/>
      <c r="H774" s="50" t="n"/>
      <c r="I774" s="52" t="n"/>
      <c r="J774" s="135" t="n"/>
      <c r="K774" s="135" t="n"/>
      <c r="L774" s="50" t="n"/>
    </row>
    <row r="775">
      <c r="B775" s="135" t="n"/>
      <c r="C775" s="50" t="n"/>
      <c r="D775" s="50" t="n"/>
      <c r="E775" s="50" t="n"/>
      <c r="F775" s="50" t="n"/>
      <c r="G775" s="50" t="n"/>
      <c r="H775" s="50" t="n"/>
      <c r="I775" s="52" t="n"/>
      <c r="J775" s="135" t="n"/>
      <c r="K775" s="135" t="n"/>
      <c r="L775" s="50" t="n"/>
    </row>
    <row r="776">
      <c r="B776" s="135" t="n"/>
      <c r="C776" s="50" t="n"/>
      <c r="D776" s="50" t="n"/>
      <c r="E776" s="50" t="n"/>
      <c r="F776" s="50" t="n"/>
      <c r="G776" s="50" t="n"/>
      <c r="H776" s="50" t="n"/>
      <c r="I776" s="52" t="n"/>
      <c r="J776" s="135" t="n"/>
      <c r="K776" s="135" t="n"/>
      <c r="L776" s="50" t="n"/>
    </row>
    <row r="777">
      <c r="B777" s="135" t="n"/>
      <c r="C777" s="50" t="n"/>
      <c r="D777" s="50" t="n"/>
      <c r="E777" s="50" t="n"/>
      <c r="F777" s="50" t="n"/>
      <c r="G777" s="50" t="n"/>
      <c r="H777" s="50" t="n"/>
      <c r="I777" s="52" t="n"/>
      <c r="J777" s="135" t="n"/>
      <c r="K777" s="135" t="n"/>
      <c r="L777" s="50" t="n"/>
    </row>
    <row r="778">
      <c r="B778" s="135" t="n"/>
      <c r="C778" s="50" t="n"/>
      <c r="D778" s="50" t="n"/>
      <c r="E778" s="50" t="n"/>
      <c r="F778" s="50" t="n"/>
      <c r="G778" s="50" t="n"/>
      <c r="H778" s="50" t="n"/>
      <c r="I778" s="52" t="n"/>
      <c r="J778" s="135" t="n"/>
      <c r="K778" s="135" t="n"/>
      <c r="L778" s="50" t="n"/>
    </row>
    <row r="779">
      <c r="B779" s="135" t="n"/>
      <c r="C779" s="50" t="n"/>
      <c r="D779" s="50" t="n"/>
      <c r="E779" s="50" t="n"/>
      <c r="F779" s="50" t="n"/>
      <c r="G779" s="50" t="n"/>
      <c r="H779" s="50" t="n"/>
      <c r="I779" s="52" t="n"/>
      <c r="J779" s="135" t="n"/>
      <c r="K779" s="135" t="n"/>
      <c r="L779" s="50" t="n"/>
    </row>
    <row r="780">
      <c r="B780" s="135" t="n"/>
      <c r="C780" s="50" t="n"/>
      <c r="D780" s="50" t="n"/>
      <c r="E780" s="50" t="n"/>
      <c r="F780" s="50" t="n"/>
      <c r="G780" s="50" t="n"/>
      <c r="H780" s="50" t="n"/>
      <c r="I780" s="52" t="n"/>
      <c r="J780" s="135" t="n"/>
      <c r="K780" s="135" t="n"/>
      <c r="L780" s="50" t="n"/>
    </row>
    <row r="781">
      <c r="B781" s="135" t="n"/>
      <c r="C781" s="50" t="n"/>
      <c r="D781" s="50" t="n"/>
      <c r="E781" s="50" t="n"/>
      <c r="F781" s="50" t="n"/>
      <c r="G781" s="50" t="n"/>
      <c r="H781" s="50" t="n"/>
      <c r="I781" s="52" t="n"/>
      <c r="J781" s="135" t="n"/>
      <c r="K781" s="135" t="n"/>
      <c r="L781" s="50" t="n"/>
    </row>
    <row r="782">
      <c r="B782" s="135" t="n"/>
      <c r="C782" s="50" t="n"/>
      <c r="D782" s="50" t="n"/>
      <c r="E782" s="50" t="n"/>
      <c r="F782" s="50" t="n"/>
      <c r="G782" s="50" t="n"/>
      <c r="H782" s="50" t="n"/>
      <c r="I782" s="52" t="n"/>
      <c r="J782" s="135" t="n"/>
      <c r="K782" s="135" t="n"/>
      <c r="L782" s="50" t="n"/>
    </row>
    <row r="783">
      <c r="B783" s="135" t="n"/>
      <c r="C783" s="50" t="n"/>
      <c r="D783" s="50" t="n"/>
      <c r="E783" s="50" t="n"/>
      <c r="F783" s="50" t="n"/>
      <c r="G783" s="50" t="n"/>
      <c r="H783" s="50" t="n"/>
      <c r="I783" s="52" t="n"/>
      <c r="J783" s="135" t="n"/>
      <c r="K783" s="135" t="n"/>
      <c r="L783" s="50" t="n"/>
    </row>
    <row r="784">
      <c r="B784" s="135" t="n"/>
      <c r="C784" s="50" t="n"/>
      <c r="D784" s="50" t="n"/>
      <c r="E784" s="50" t="n"/>
      <c r="F784" s="50" t="n"/>
      <c r="G784" s="50" t="n"/>
      <c r="H784" s="50" t="n"/>
      <c r="I784" s="52" t="n"/>
      <c r="J784" s="135" t="n"/>
      <c r="K784" s="135" t="n"/>
      <c r="L784" s="50" t="n"/>
    </row>
    <row r="785">
      <c r="B785" s="135" t="n"/>
      <c r="C785" s="50" t="n"/>
      <c r="D785" s="50" t="n"/>
      <c r="E785" s="50" t="n"/>
      <c r="F785" s="50" t="n"/>
      <c r="G785" s="50" t="n"/>
      <c r="H785" s="50" t="n"/>
      <c r="I785" s="52" t="n"/>
      <c r="J785" s="135" t="n"/>
      <c r="K785" s="135" t="n"/>
      <c r="L785" s="50" t="n"/>
    </row>
    <row r="786">
      <c r="B786" s="135" t="n"/>
      <c r="C786" s="50" t="n"/>
      <c r="D786" s="50" t="n"/>
      <c r="E786" s="50" t="n"/>
      <c r="F786" s="50" t="n"/>
      <c r="G786" s="50" t="n"/>
      <c r="H786" s="50" t="n"/>
      <c r="I786" s="52" t="n"/>
      <c r="J786" s="135" t="n"/>
      <c r="K786" s="135" t="n"/>
      <c r="L786" s="50" t="n"/>
    </row>
    <row r="787">
      <c r="B787" s="135" t="n"/>
      <c r="C787" s="50" t="n"/>
      <c r="D787" s="50" t="n"/>
      <c r="E787" s="50" t="n"/>
      <c r="F787" s="50" t="n"/>
      <c r="G787" s="50" t="n"/>
      <c r="H787" s="50" t="n"/>
      <c r="I787" s="52" t="n"/>
      <c r="J787" s="135" t="n"/>
      <c r="K787" s="135" t="n"/>
      <c r="L787" s="50" t="n"/>
    </row>
    <row r="788">
      <c r="B788" s="135" t="n"/>
      <c r="C788" s="50" t="n"/>
      <c r="D788" s="50" t="n"/>
      <c r="E788" s="50" t="n"/>
      <c r="F788" s="50" t="n"/>
      <c r="G788" s="50" t="n"/>
      <c r="H788" s="50" t="n"/>
      <c r="I788" s="52" t="n"/>
      <c r="J788" s="135" t="n"/>
      <c r="K788" s="135" t="n"/>
      <c r="L788" s="50" t="n"/>
    </row>
    <row r="789">
      <c r="B789" s="135" t="n"/>
      <c r="C789" s="50" t="n"/>
      <c r="D789" s="50" t="n"/>
      <c r="E789" s="50" t="n"/>
      <c r="F789" s="50" t="n"/>
      <c r="G789" s="50" t="n"/>
      <c r="H789" s="50" t="n"/>
      <c r="I789" s="52" t="n"/>
      <c r="J789" s="135" t="n"/>
      <c r="K789" s="135" t="n"/>
      <c r="L789" s="50" t="n"/>
    </row>
    <row r="790">
      <c r="B790" s="135" t="n"/>
      <c r="C790" s="50" t="n"/>
      <c r="D790" s="50" t="n"/>
      <c r="E790" s="50" t="n"/>
      <c r="F790" s="50" t="n"/>
      <c r="G790" s="50" t="n"/>
      <c r="H790" s="50" t="n"/>
      <c r="I790" s="52" t="n"/>
      <c r="J790" s="135" t="n"/>
      <c r="K790" s="135" t="n"/>
      <c r="L790" s="50" t="n"/>
    </row>
    <row r="791">
      <c r="B791" s="135" t="n"/>
      <c r="C791" s="50" t="n"/>
      <c r="D791" s="50" t="n"/>
      <c r="E791" s="50" t="n"/>
      <c r="F791" s="50" t="n"/>
      <c r="G791" s="50" t="n"/>
      <c r="H791" s="50" t="n"/>
      <c r="I791" s="52" t="n"/>
      <c r="J791" s="135" t="n"/>
      <c r="K791" s="135" t="n"/>
      <c r="L791" s="50" t="n"/>
    </row>
    <row r="792">
      <c r="B792" s="135" t="n"/>
      <c r="C792" s="50" t="n"/>
      <c r="D792" s="50" t="n"/>
      <c r="E792" s="50" t="n"/>
      <c r="F792" s="50" t="n"/>
      <c r="G792" s="50" t="n"/>
      <c r="H792" s="50" t="n"/>
      <c r="I792" s="52" t="n"/>
      <c r="J792" s="135" t="n"/>
      <c r="K792" s="135" t="n"/>
      <c r="L792" s="50" t="n"/>
    </row>
    <row r="793">
      <c r="B793" s="135" t="n"/>
      <c r="C793" s="50" t="n"/>
      <c r="D793" s="50" t="n"/>
      <c r="E793" s="50" t="n"/>
      <c r="F793" s="50" t="n"/>
      <c r="G793" s="50" t="n"/>
      <c r="H793" s="50" t="n"/>
      <c r="I793" s="52" t="n"/>
      <c r="J793" s="135" t="n"/>
      <c r="K793" s="135" t="n"/>
      <c r="L793" s="50" t="n"/>
    </row>
    <row r="794">
      <c r="B794" s="135" t="n"/>
      <c r="C794" s="50" t="n"/>
      <c r="D794" s="50" t="n"/>
      <c r="E794" s="50" t="n"/>
      <c r="F794" s="50" t="n"/>
      <c r="G794" s="50" t="n"/>
      <c r="H794" s="50" t="n"/>
      <c r="I794" s="52" t="n"/>
      <c r="J794" s="135" t="n"/>
      <c r="K794" s="135" t="n"/>
      <c r="L794" s="50" t="n"/>
    </row>
    <row r="795">
      <c r="B795" s="135" t="n"/>
      <c r="C795" s="50" t="n"/>
      <c r="D795" s="50" t="n"/>
      <c r="E795" s="50" t="n"/>
      <c r="F795" s="50" t="n"/>
      <c r="G795" s="50" t="n"/>
      <c r="H795" s="50" t="n"/>
      <c r="I795" s="52" t="n"/>
      <c r="J795" s="135" t="n"/>
      <c r="K795" s="135" t="n"/>
      <c r="L795" s="50" t="n"/>
    </row>
    <row r="796">
      <c r="B796" s="135" t="n"/>
      <c r="C796" s="50" t="n"/>
      <c r="D796" s="50" t="n"/>
      <c r="E796" s="50" t="n"/>
      <c r="F796" s="50" t="n"/>
      <c r="G796" s="50" t="n"/>
      <c r="H796" s="50" t="n"/>
      <c r="I796" s="52" t="n"/>
      <c r="J796" s="135" t="n"/>
      <c r="K796" s="135" t="n"/>
      <c r="L796" s="50" t="n"/>
    </row>
    <row r="797">
      <c r="B797" s="135" t="n"/>
      <c r="C797" s="50" t="n"/>
      <c r="D797" s="50" t="n"/>
      <c r="E797" s="50" t="n"/>
      <c r="F797" s="50" t="n"/>
      <c r="G797" s="50" t="n"/>
      <c r="H797" s="50" t="n"/>
      <c r="I797" s="52" t="n"/>
      <c r="J797" s="135" t="n"/>
      <c r="K797" s="135" t="n"/>
      <c r="L797" s="50" t="n"/>
    </row>
    <row r="798">
      <c r="B798" s="135" t="n"/>
      <c r="C798" s="50" t="n"/>
      <c r="D798" s="50" t="n"/>
      <c r="E798" s="50" t="n"/>
      <c r="F798" s="50" t="n"/>
      <c r="G798" s="50" t="n"/>
      <c r="H798" s="50" t="n"/>
      <c r="I798" s="52" t="n"/>
      <c r="J798" s="135" t="n"/>
      <c r="K798" s="135" t="n"/>
      <c r="L798" s="50" t="n"/>
    </row>
    <row r="799">
      <c r="B799" s="135" t="n"/>
      <c r="C799" s="50" t="n"/>
      <c r="D799" s="50" t="n"/>
      <c r="E799" s="50" t="n"/>
      <c r="F799" s="50" t="n"/>
      <c r="G799" s="50" t="n"/>
      <c r="H799" s="50" t="n"/>
      <c r="I799" s="52" t="n"/>
      <c r="J799" s="135" t="n"/>
      <c r="K799" s="135" t="n"/>
      <c r="L799" s="50" t="n"/>
    </row>
    <row r="800">
      <c r="B800" s="135" t="n"/>
      <c r="C800" s="50" t="n"/>
      <c r="D800" s="50" t="n"/>
      <c r="E800" s="50" t="n"/>
      <c r="F800" s="50" t="n"/>
      <c r="G800" s="50" t="n"/>
      <c r="H800" s="50" t="n"/>
      <c r="I800" s="52" t="n"/>
      <c r="J800" s="135" t="n"/>
      <c r="K800" s="135" t="n"/>
      <c r="L800" s="50" t="n"/>
    </row>
    <row r="801">
      <c r="B801" s="135" t="n"/>
      <c r="C801" s="50" t="n"/>
      <c r="D801" s="50" t="n"/>
      <c r="E801" s="50" t="n"/>
      <c r="F801" s="50" t="n"/>
      <c r="G801" s="50" t="n"/>
      <c r="H801" s="50" t="n"/>
      <c r="I801" s="52" t="n"/>
      <c r="J801" s="135" t="n"/>
      <c r="K801" s="135" t="n"/>
      <c r="L801" s="50" t="n"/>
    </row>
    <row r="802">
      <c r="B802" s="135" t="n"/>
      <c r="C802" s="50" t="n"/>
      <c r="D802" s="50" t="n"/>
      <c r="E802" s="50" t="n"/>
      <c r="F802" s="50" t="n"/>
      <c r="G802" s="50" t="n"/>
      <c r="H802" s="50" t="n"/>
      <c r="I802" s="52" t="n"/>
      <c r="J802" s="135" t="n"/>
      <c r="K802" s="135" t="n"/>
      <c r="L802" s="50" t="n"/>
    </row>
    <row r="803">
      <c r="B803" s="135" t="n"/>
      <c r="C803" s="50" t="n"/>
      <c r="D803" s="50" t="n"/>
      <c r="E803" s="50" t="n"/>
      <c r="F803" s="50" t="n"/>
      <c r="G803" s="50" t="n"/>
      <c r="H803" s="50" t="n"/>
      <c r="I803" s="52" t="n"/>
      <c r="J803" s="135" t="n"/>
      <c r="K803" s="135" t="n"/>
      <c r="L803" s="50" t="n"/>
    </row>
    <row r="804">
      <c r="B804" s="135" t="n"/>
      <c r="C804" s="50" t="n"/>
      <c r="D804" s="50" t="n"/>
      <c r="E804" s="50" t="n"/>
      <c r="F804" s="50" t="n"/>
      <c r="G804" s="50" t="n"/>
      <c r="H804" s="50" t="n"/>
      <c r="I804" s="52" t="n"/>
      <c r="J804" s="135" t="n"/>
      <c r="K804" s="135" t="n"/>
      <c r="L804" s="50" t="n"/>
    </row>
    <row r="805">
      <c r="B805" s="135" t="n"/>
      <c r="C805" s="50" t="n"/>
      <c r="D805" s="50" t="n"/>
      <c r="E805" s="50" t="n"/>
      <c r="F805" s="50" t="n"/>
      <c r="G805" s="50" t="n"/>
      <c r="H805" s="50" t="n"/>
      <c r="I805" s="52" t="n"/>
      <c r="J805" s="135" t="n"/>
      <c r="K805" s="135" t="n"/>
      <c r="L805" s="50" t="n"/>
    </row>
    <row r="806">
      <c r="B806" s="135" t="n"/>
      <c r="C806" s="50" t="n"/>
      <c r="D806" s="50" t="n"/>
      <c r="E806" s="50" t="n"/>
      <c r="F806" s="50" t="n"/>
      <c r="G806" s="50" t="n"/>
      <c r="H806" s="50" t="n"/>
      <c r="I806" s="52" t="n"/>
      <c r="J806" s="135" t="n"/>
      <c r="K806" s="135" t="n"/>
      <c r="L806" s="50" t="n"/>
    </row>
    <row r="807">
      <c r="B807" s="135" t="n"/>
      <c r="C807" s="50" t="n"/>
      <c r="D807" s="50" t="n"/>
      <c r="E807" s="50" t="n"/>
      <c r="F807" s="50" t="n"/>
      <c r="G807" s="50" t="n"/>
      <c r="H807" s="50" t="n"/>
      <c r="I807" s="52" t="n"/>
      <c r="J807" s="135" t="n"/>
      <c r="K807" s="135" t="n"/>
      <c r="L807" s="50" t="n"/>
    </row>
    <row r="808">
      <c r="B808" s="135" t="n"/>
      <c r="C808" s="50" t="n"/>
      <c r="D808" s="50" t="n"/>
      <c r="E808" s="50" t="n"/>
      <c r="F808" s="50" t="n"/>
      <c r="G808" s="50" t="n"/>
      <c r="H808" s="50" t="n"/>
      <c r="I808" s="52" t="n"/>
      <c r="J808" s="135" t="n"/>
      <c r="K808" s="135" t="n"/>
      <c r="L808" s="50" t="n"/>
    </row>
    <row r="809">
      <c r="B809" s="135" t="n"/>
      <c r="C809" s="50" t="n"/>
      <c r="D809" s="50" t="n"/>
      <c r="E809" s="50" t="n"/>
      <c r="F809" s="50" t="n"/>
      <c r="G809" s="50" t="n"/>
      <c r="H809" s="50" t="n"/>
      <c r="I809" s="52" t="n"/>
      <c r="J809" s="135" t="n"/>
      <c r="K809" s="135" t="n"/>
      <c r="L809" s="50" t="n"/>
    </row>
    <row r="810">
      <c r="B810" s="135" t="n"/>
      <c r="C810" s="50" t="n"/>
      <c r="D810" s="50" t="n"/>
      <c r="E810" s="50" t="n"/>
      <c r="F810" s="50" t="n"/>
      <c r="G810" s="50" t="n"/>
      <c r="H810" s="50" t="n"/>
      <c r="I810" s="52" t="n"/>
      <c r="J810" s="135" t="n"/>
      <c r="K810" s="135" t="n"/>
      <c r="L810" s="50" t="n"/>
    </row>
    <row r="811">
      <c r="B811" s="135" t="n"/>
      <c r="C811" s="50" t="n"/>
      <c r="D811" s="50" t="n"/>
      <c r="E811" s="50" t="n"/>
      <c r="F811" s="50" t="n"/>
      <c r="G811" s="50" t="n"/>
      <c r="H811" s="50" t="n"/>
      <c r="I811" s="52" t="n"/>
      <c r="J811" s="135" t="n"/>
      <c r="K811" s="135" t="n"/>
      <c r="L811" s="50" t="n"/>
    </row>
    <row r="812">
      <c r="B812" s="135" t="n"/>
      <c r="C812" s="50" t="n"/>
      <c r="D812" s="50" t="n"/>
      <c r="E812" s="50" t="n"/>
      <c r="F812" s="50" t="n"/>
      <c r="G812" s="50" t="n"/>
      <c r="H812" s="50" t="n"/>
      <c r="I812" s="52" t="n"/>
      <c r="J812" s="135" t="n"/>
      <c r="K812" s="135" t="n"/>
      <c r="L812" s="50" t="n"/>
    </row>
    <row r="813">
      <c r="B813" s="135" t="n"/>
      <c r="C813" s="50" t="n"/>
      <c r="D813" s="50" t="n"/>
      <c r="E813" s="50" t="n"/>
      <c r="F813" s="50" t="n"/>
      <c r="G813" s="50" t="n"/>
      <c r="H813" s="50" t="n"/>
      <c r="I813" s="52" t="n"/>
      <c r="J813" s="135" t="n"/>
      <c r="K813" s="135" t="n"/>
      <c r="L813" s="50" t="n"/>
    </row>
    <row r="814">
      <c r="B814" s="135" t="n"/>
      <c r="C814" s="50" t="n"/>
      <c r="D814" s="50" t="n"/>
      <c r="E814" s="50" t="n"/>
      <c r="F814" s="50" t="n"/>
      <c r="G814" s="50" t="n"/>
      <c r="H814" s="50" t="n"/>
      <c r="I814" s="52" t="n"/>
      <c r="J814" s="135" t="n"/>
      <c r="K814" s="135" t="n"/>
      <c r="L814" s="50" t="n"/>
    </row>
    <row r="815">
      <c r="B815" s="135" t="n"/>
      <c r="C815" s="50" t="n"/>
      <c r="D815" s="50" t="n"/>
      <c r="E815" s="50" t="n"/>
      <c r="F815" s="50" t="n"/>
      <c r="G815" s="50" t="n"/>
      <c r="H815" s="50" t="n"/>
      <c r="I815" s="52" t="n"/>
      <c r="J815" s="135" t="n"/>
      <c r="K815" s="135" t="n"/>
      <c r="L815" s="50" t="n"/>
    </row>
    <row r="816">
      <c r="B816" s="135" t="n"/>
      <c r="C816" s="50" t="n"/>
      <c r="D816" s="50" t="n"/>
      <c r="E816" s="50" t="n"/>
      <c r="F816" s="50" t="n"/>
      <c r="G816" s="50" t="n"/>
      <c r="H816" s="50" t="n"/>
      <c r="I816" s="52" t="n"/>
      <c r="J816" s="135" t="n"/>
      <c r="K816" s="135" t="n"/>
      <c r="L816" s="50" t="n"/>
    </row>
    <row r="817">
      <c r="B817" s="135" t="n"/>
      <c r="C817" s="50" t="n"/>
      <c r="D817" s="50" t="n"/>
      <c r="E817" s="50" t="n"/>
      <c r="F817" s="50" t="n"/>
      <c r="G817" s="50" t="n"/>
      <c r="H817" s="50" t="n"/>
      <c r="I817" s="52" t="n"/>
      <c r="J817" s="135" t="n"/>
      <c r="K817" s="135" t="n"/>
      <c r="L817" s="50" t="n"/>
    </row>
    <row r="818">
      <c r="B818" s="135" t="n"/>
      <c r="C818" s="50" t="n"/>
      <c r="D818" s="50" t="n"/>
      <c r="E818" s="50" t="n"/>
      <c r="F818" s="50" t="n"/>
      <c r="G818" s="50" t="n"/>
      <c r="H818" s="50" t="n"/>
      <c r="I818" s="52" t="n"/>
      <c r="J818" s="135" t="n"/>
      <c r="K818" s="135" t="n"/>
      <c r="L818" s="50" t="n"/>
    </row>
    <row r="819">
      <c r="B819" s="135" t="n"/>
      <c r="C819" s="50" t="n"/>
      <c r="D819" s="50" t="n"/>
      <c r="E819" s="50" t="n"/>
      <c r="F819" s="50" t="n"/>
      <c r="G819" s="50" t="n"/>
      <c r="H819" s="50" t="n"/>
      <c r="I819" s="52" t="n"/>
      <c r="J819" s="135" t="n"/>
      <c r="K819" s="135" t="n"/>
      <c r="L819" s="50" t="n"/>
    </row>
    <row r="820">
      <c r="B820" s="135" t="n"/>
      <c r="C820" s="50" t="n"/>
      <c r="D820" s="50" t="n"/>
      <c r="E820" s="50" t="n"/>
      <c r="F820" s="50" t="n"/>
      <c r="G820" s="50" t="n"/>
      <c r="H820" s="50" t="n"/>
      <c r="I820" s="52" t="n"/>
      <c r="J820" s="135" t="n"/>
      <c r="K820" s="135" t="n"/>
      <c r="L820" s="50" t="n"/>
    </row>
    <row r="821">
      <c r="B821" s="135" t="n"/>
      <c r="C821" s="50" t="n"/>
      <c r="D821" s="50" t="n"/>
      <c r="E821" s="50" t="n"/>
      <c r="F821" s="50" t="n"/>
      <c r="G821" s="50" t="n"/>
      <c r="H821" s="50" t="n"/>
      <c r="I821" s="52" t="n"/>
      <c r="J821" s="135" t="n"/>
      <c r="K821" s="135" t="n"/>
      <c r="L821" s="50" t="n"/>
    </row>
    <row r="822">
      <c r="B822" s="135" t="n"/>
      <c r="C822" s="50" t="n"/>
      <c r="D822" s="50" t="n"/>
      <c r="E822" s="50" t="n"/>
      <c r="F822" s="50" t="n"/>
      <c r="G822" s="50" t="n"/>
      <c r="H822" s="50" t="n"/>
      <c r="I822" s="52" t="n"/>
      <c r="J822" s="135" t="n"/>
      <c r="K822" s="135" t="n"/>
      <c r="L822" s="50" t="n"/>
    </row>
    <row r="823">
      <c r="B823" s="135" t="n"/>
      <c r="C823" s="50" t="n"/>
      <c r="D823" s="50" t="n"/>
      <c r="E823" s="50" t="n"/>
      <c r="F823" s="50" t="n"/>
      <c r="G823" s="50" t="n"/>
      <c r="H823" s="50" t="n"/>
      <c r="I823" s="52" t="n"/>
      <c r="J823" s="135" t="n"/>
      <c r="K823" s="135" t="n"/>
      <c r="L823" s="50" t="n"/>
    </row>
    <row r="824">
      <c r="B824" s="135" t="n"/>
      <c r="C824" s="50" t="n"/>
      <c r="D824" s="50" t="n"/>
      <c r="E824" s="50" t="n"/>
      <c r="F824" s="50" t="n"/>
      <c r="G824" s="50" t="n"/>
      <c r="H824" s="50" t="n"/>
      <c r="I824" s="52" t="n"/>
      <c r="J824" s="135" t="n"/>
      <c r="K824" s="135" t="n"/>
      <c r="L824" s="50" t="n"/>
    </row>
    <row r="825">
      <c r="B825" s="135" t="n"/>
      <c r="C825" s="50" t="n"/>
      <c r="D825" s="50" t="n"/>
      <c r="E825" s="50" t="n"/>
      <c r="F825" s="50" t="n"/>
      <c r="G825" s="50" t="n"/>
      <c r="H825" s="50" t="n"/>
      <c r="I825" s="52" t="n"/>
      <c r="J825" s="135" t="n"/>
      <c r="K825" s="135" t="n"/>
      <c r="L825" s="50" t="n"/>
    </row>
    <row r="826">
      <c r="B826" s="135" t="n"/>
      <c r="C826" s="50" t="n"/>
      <c r="D826" s="50" t="n"/>
      <c r="E826" s="50" t="n"/>
      <c r="F826" s="50" t="n"/>
      <c r="G826" s="50" t="n"/>
      <c r="H826" s="50" t="n"/>
      <c r="I826" s="52" t="n"/>
      <c r="J826" s="135" t="n"/>
      <c r="K826" s="135" t="n"/>
      <c r="L826" s="50" t="n"/>
    </row>
    <row r="827">
      <c r="B827" s="135" t="n"/>
      <c r="C827" s="50" t="n"/>
      <c r="D827" s="50" t="n"/>
      <c r="E827" s="50" t="n"/>
      <c r="F827" s="50" t="n"/>
      <c r="G827" s="50" t="n"/>
      <c r="H827" s="50" t="n"/>
      <c r="I827" s="52" t="n"/>
      <c r="J827" s="135" t="n"/>
      <c r="K827" s="135" t="n"/>
      <c r="L827" s="50" t="n"/>
    </row>
    <row r="828">
      <c r="B828" s="135" t="n"/>
      <c r="C828" s="50" t="n"/>
      <c r="D828" s="50" t="n"/>
      <c r="E828" s="50" t="n"/>
      <c r="F828" s="50" t="n"/>
      <c r="G828" s="50" t="n"/>
      <c r="H828" s="50" t="n"/>
      <c r="I828" s="52" t="n"/>
      <c r="J828" s="135" t="n"/>
      <c r="K828" s="135" t="n"/>
      <c r="L828" s="50" t="n"/>
    </row>
    <row r="829">
      <c r="B829" s="135" t="n"/>
      <c r="C829" s="50" t="n"/>
      <c r="D829" s="50" t="n"/>
      <c r="E829" s="50" t="n"/>
      <c r="F829" s="50" t="n"/>
      <c r="G829" s="50" t="n"/>
      <c r="H829" s="50" t="n"/>
      <c r="I829" s="52" t="n"/>
      <c r="J829" s="135" t="n"/>
      <c r="K829" s="135" t="n"/>
      <c r="L829" s="50" t="n"/>
    </row>
    <row r="830">
      <c r="B830" s="135" t="n"/>
      <c r="C830" s="50" t="n"/>
      <c r="D830" s="50" t="n"/>
      <c r="E830" s="50" t="n"/>
      <c r="F830" s="50" t="n"/>
      <c r="G830" s="50" t="n"/>
      <c r="H830" s="50" t="n"/>
      <c r="I830" s="52" t="n"/>
      <c r="J830" s="135" t="n"/>
      <c r="K830" s="135" t="n"/>
      <c r="L830" s="50" t="n"/>
    </row>
    <row r="831">
      <c r="B831" s="135" t="n"/>
      <c r="C831" s="50" t="n"/>
      <c r="D831" s="50" t="n"/>
      <c r="E831" s="50" t="n"/>
      <c r="F831" s="50" t="n"/>
      <c r="G831" s="50" t="n"/>
      <c r="H831" s="50" t="n"/>
      <c r="I831" s="52" t="n"/>
      <c r="J831" s="135" t="n"/>
      <c r="K831" s="135" t="n"/>
      <c r="L831" s="50" t="n"/>
    </row>
    <row r="832">
      <c r="B832" s="135" t="n"/>
      <c r="C832" s="50" t="n"/>
      <c r="D832" s="50" t="n"/>
      <c r="E832" s="50" t="n"/>
      <c r="F832" s="50" t="n"/>
      <c r="G832" s="50" t="n"/>
      <c r="H832" s="50" t="n"/>
      <c r="I832" s="52" t="n"/>
      <c r="J832" s="135" t="n"/>
      <c r="K832" s="135" t="n"/>
      <c r="L832" s="50" t="n"/>
    </row>
    <row r="833">
      <c r="B833" s="135" t="n"/>
      <c r="C833" s="50" t="n"/>
      <c r="D833" s="50" t="n"/>
      <c r="E833" s="50" t="n"/>
      <c r="F833" s="50" t="n"/>
      <c r="G833" s="50" t="n"/>
      <c r="H833" s="50" t="n"/>
      <c r="I833" s="52" t="n"/>
      <c r="J833" s="135" t="n"/>
      <c r="K833" s="135" t="n"/>
      <c r="L833" s="50" t="n"/>
    </row>
    <row r="834">
      <c r="B834" s="135" t="n"/>
      <c r="C834" s="50" t="n"/>
      <c r="D834" s="50" t="n"/>
      <c r="E834" s="50" t="n"/>
      <c r="F834" s="50" t="n"/>
      <c r="G834" s="50" t="n"/>
      <c r="H834" s="50" t="n"/>
      <c r="I834" s="52" t="n"/>
      <c r="J834" s="135" t="n"/>
      <c r="K834" s="135" t="n"/>
      <c r="L834" s="50" t="n"/>
    </row>
    <row r="835">
      <c r="B835" s="135" t="n"/>
      <c r="C835" s="50" t="n"/>
      <c r="D835" s="50" t="n"/>
      <c r="E835" s="50" t="n"/>
      <c r="F835" s="50" t="n"/>
      <c r="G835" s="50" t="n"/>
      <c r="H835" s="50" t="n"/>
      <c r="I835" s="52" t="n"/>
      <c r="J835" s="135" t="n"/>
      <c r="K835" s="135" t="n"/>
      <c r="L835" s="50" t="n"/>
    </row>
    <row r="836">
      <c r="B836" s="135" t="n"/>
      <c r="C836" s="50" t="n"/>
      <c r="D836" s="50" t="n"/>
      <c r="E836" s="50" t="n"/>
      <c r="F836" s="50" t="n"/>
      <c r="G836" s="50" t="n"/>
      <c r="H836" s="50" t="n"/>
      <c r="I836" s="52" t="n"/>
      <c r="J836" s="135" t="n"/>
      <c r="K836" s="135" t="n"/>
      <c r="L836" s="50" t="n"/>
    </row>
    <row r="837">
      <c r="B837" s="135" t="n"/>
      <c r="C837" s="50" t="n"/>
      <c r="D837" s="50" t="n"/>
      <c r="E837" s="50" t="n"/>
      <c r="F837" s="50" t="n"/>
      <c r="G837" s="50" t="n"/>
      <c r="H837" s="50" t="n"/>
      <c r="I837" s="52" t="n"/>
      <c r="J837" s="135" t="n"/>
      <c r="K837" s="135" t="n"/>
      <c r="L837" s="50" t="n"/>
    </row>
    <row r="838">
      <c r="B838" s="135" t="n"/>
      <c r="C838" s="50" t="n"/>
      <c r="D838" s="50" t="n"/>
      <c r="E838" s="50" t="n"/>
      <c r="F838" s="50" t="n"/>
      <c r="G838" s="50" t="n"/>
      <c r="H838" s="50" t="n"/>
      <c r="I838" s="52" t="n"/>
      <c r="J838" s="135" t="n"/>
      <c r="K838" s="135" t="n"/>
      <c r="L838" s="50" t="n"/>
    </row>
    <row r="839">
      <c r="B839" s="135" t="n"/>
      <c r="C839" s="50" t="n"/>
      <c r="D839" s="50" t="n"/>
      <c r="E839" s="50" t="n"/>
      <c r="F839" s="50" t="n"/>
      <c r="G839" s="50" t="n"/>
      <c r="H839" s="50" t="n"/>
      <c r="I839" s="52" t="n"/>
      <c r="J839" s="135" t="n"/>
      <c r="K839" s="135" t="n"/>
      <c r="L839" s="50" t="n"/>
    </row>
    <row r="840">
      <c r="B840" s="135" t="n"/>
      <c r="C840" s="50" t="n"/>
      <c r="D840" s="50" t="n"/>
      <c r="E840" s="50" t="n"/>
      <c r="F840" s="50" t="n"/>
      <c r="G840" s="50" t="n"/>
      <c r="H840" s="50" t="n"/>
      <c r="I840" s="52" t="n"/>
      <c r="J840" s="135" t="n"/>
      <c r="K840" s="135" t="n"/>
      <c r="L840" s="50" t="n"/>
    </row>
    <row r="841">
      <c r="B841" s="135" t="n"/>
      <c r="C841" s="50" t="n"/>
      <c r="D841" s="50" t="n"/>
      <c r="E841" s="50" t="n"/>
      <c r="F841" s="50" t="n"/>
      <c r="G841" s="50" t="n"/>
      <c r="H841" s="50" t="n"/>
      <c r="I841" s="52" t="n"/>
      <c r="J841" s="135" t="n"/>
      <c r="K841" s="135" t="n"/>
      <c r="L841" s="50" t="n"/>
    </row>
    <row r="842">
      <c r="B842" s="135" t="n"/>
      <c r="C842" s="50" t="n"/>
      <c r="D842" s="50" t="n"/>
      <c r="E842" s="50" t="n"/>
      <c r="F842" s="50" t="n"/>
      <c r="G842" s="50" t="n"/>
      <c r="H842" s="50" t="n"/>
      <c r="I842" s="52" t="n"/>
      <c r="J842" s="135" t="n"/>
      <c r="K842" s="135" t="n"/>
      <c r="L842" s="50" t="n"/>
    </row>
    <row r="843">
      <c r="B843" s="135" t="n"/>
      <c r="C843" s="50" t="n"/>
      <c r="D843" s="50" t="n"/>
      <c r="E843" s="50" t="n"/>
      <c r="F843" s="50" t="n"/>
      <c r="G843" s="50" t="n"/>
      <c r="H843" s="50" t="n"/>
      <c r="I843" s="52" t="n"/>
      <c r="J843" s="135" t="n"/>
      <c r="K843" s="135" t="n"/>
      <c r="L843" s="50" t="n"/>
    </row>
    <row r="844">
      <c r="B844" s="135" t="n"/>
      <c r="C844" s="50" t="n"/>
      <c r="D844" s="50" t="n"/>
      <c r="E844" s="50" t="n"/>
      <c r="F844" s="50" t="n"/>
      <c r="G844" s="50" t="n"/>
      <c r="H844" s="50" t="n"/>
      <c r="I844" s="52" t="n"/>
      <c r="J844" s="135" t="n"/>
      <c r="K844" s="135" t="n"/>
      <c r="L844" s="50" t="n"/>
    </row>
    <row r="845">
      <c r="B845" s="135" t="n"/>
      <c r="C845" s="50" t="n"/>
      <c r="D845" s="50" t="n"/>
      <c r="E845" s="50" t="n"/>
      <c r="F845" s="50" t="n"/>
      <c r="G845" s="50" t="n"/>
      <c r="H845" s="50" t="n"/>
      <c r="I845" s="52" t="n"/>
      <c r="J845" s="135" t="n"/>
      <c r="K845" s="135" t="n"/>
      <c r="L845" s="50" t="n"/>
    </row>
    <row r="846">
      <c r="B846" s="135" t="n"/>
      <c r="C846" s="50" t="n"/>
      <c r="D846" s="50" t="n"/>
      <c r="E846" s="50" t="n"/>
      <c r="F846" s="50" t="n"/>
      <c r="G846" s="50" t="n"/>
      <c r="H846" s="50" t="n"/>
      <c r="I846" s="52" t="n"/>
      <c r="J846" s="135" t="n"/>
      <c r="K846" s="135" t="n"/>
      <c r="L846" s="50" t="n"/>
    </row>
    <row r="847">
      <c r="B847" s="135" t="n"/>
      <c r="C847" s="50" t="n"/>
      <c r="D847" s="50" t="n"/>
      <c r="E847" s="50" t="n"/>
      <c r="F847" s="50" t="n"/>
      <c r="G847" s="50" t="n"/>
      <c r="H847" s="50" t="n"/>
      <c r="I847" s="52" t="n"/>
      <c r="J847" s="135" t="n"/>
      <c r="K847" s="135" t="n"/>
      <c r="L847" s="50" t="n"/>
    </row>
    <row r="848">
      <c r="B848" s="135" t="n"/>
      <c r="C848" s="50" t="n"/>
      <c r="D848" s="50" t="n"/>
      <c r="E848" s="50" t="n"/>
      <c r="F848" s="50" t="n"/>
      <c r="G848" s="50" t="n"/>
      <c r="H848" s="50" t="n"/>
      <c r="I848" s="52" t="n"/>
      <c r="J848" s="135" t="n"/>
      <c r="K848" s="135" t="n"/>
      <c r="L848" s="50" t="n"/>
    </row>
    <row r="849">
      <c r="B849" s="135" t="n"/>
      <c r="C849" s="50" t="n"/>
      <c r="D849" s="50" t="n"/>
      <c r="E849" s="50" t="n"/>
      <c r="F849" s="50" t="n"/>
      <c r="G849" s="50" t="n"/>
      <c r="H849" s="50" t="n"/>
      <c r="I849" s="52" t="n"/>
      <c r="J849" s="135" t="n"/>
      <c r="K849" s="135" t="n"/>
      <c r="L849" s="50" t="n"/>
    </row>
    <row r="850">
      <c r="B850" s="135" t="n"/>
      <c r="C850" s="50" t="n"/>
      <c r="D850" s="50" t="n"/>
      <c r="E850" s="50" t="n"/>
      <c r="F850" s="50" t="n"/>
      <c r="G850" s="50" t="n"/>
      <c r="H850" s="50" t="n"/>
      <c r="I850" s="52" t="n"/>
      <c r="J850" s="135" t="n"/>
      <c r="K850" s="135" t="n"/>
      <c r="L850" s="50" t="n"/>
    </row>
    <row r="851">
      <c r="B851" s="135" t="n"/>
      <c r="C851" s="50" t="n"/>
      <c r="D851" s="50" t="n"/>
      <c r="E851" s="50" t="n"/>
      <c r="F851" s="50" t="n"/>
      <c r="G851" s="50" t="n"/>
      <c r="H851" s="50" t="n"/>
      <c r="I851" s="52" t="n"/>
      <c r="J851" s="135" t="n"/>
      <c r="K851" s="135" t="n"/>
      <c r="L851" s="50" t="n"/>
    </row>
    <row r="852">
      <c r="B852" s="135" t="n"/>
      <c r="C852" s="50" t="n"/>
      <c r="D852" s="50" t="n"/>
      <c r="E852" s="50" t="n"/>
      <c r="F852" s="50" t="n"/>
      <c r="G852" s="50" t="n"/>
      <c r="H852" s="50" t="n"/>
      <c r="I852" s="52" t="n"/>
      <c r="J852" s="135" t="n"/>
      <c r="K852" s="135" t="n"/>
      <c r="L852" s="50" t="n"/>
    </row>
    <row r="853">
      <c r="B853" s="135" t="n"/>
      <c r="C853" s="50" t="n"/>
      <c r="D853" s="50" t="n"/>
      <c r="E853" s="50" t="n"/>
      <c r="F853" s="50" t="n"/>
      <c r="G853" s="50" t="n"/>
      <c r="H853" s="50" t="n"/>
      <c r="I853" s="52" t="n"/>
      <c r="J853" s="135" t="n"/>
      <c r="K853" s="135" t="n"/>
      <c r="L853" s="50" t="n"/>
    </row>
    <row r="854">
      <c r="B854" s="135" t="n"/>
      <c r="C854" s="50" t="n"/>
      <c r="D854" s="50" t="n"/>
      <c r="E854" s="50" t="n"/>
      <c r="F854" s="50" t="n"/>
      <c r="G854" s="50" t="n"/>
      <c r="H854" s="50" t="n"/>
      <c r="I854" s="52" t="n"/>
      <c r="J854" s="135" t="n"/>
      <c r="K854" s="135" t="n"/>
      <c r="L854" s="50" t="n"/>
    </row>
    <row r="855">
      <c r="B855" s="135" t="n"/>
      <c r="C855" s="50" t="n"/>
      <c r="D855" s="50" t="n"/>
      <c r="E855" s="50" t="n"/>
      <c r="F855" s="50" t="n"/>
      <c r="G855" s="50" t="n"/>
      <c r="H855" s="50" t="n"/>
      <c r="I855" s="52" t="n"/>
      <c r="J855" s="135" t="n"/>
      <c r="K855" s="135" t="n"/>
      <c r="L855" s="50" t="n"/>
    </row>
    <row r="856">
      <c r="B856" s="135" t="n"/>
      <c r="C856" s="50" t="n"/>
      <c r="D856" s="50" t="n"/>
      <c r="E856" s="50" t="n"/>
      <c r="F856" s="50" t="n"/>
      <c r="G856" s="50" t="n"/>
      <c r="H856" s="50" t="n"/>
      <c r="I856" s="52" t="n"/>
      <c r="J856" s="135" t="n"/>
      <c r="K856" s="135" t="n"/>
      <c r="L856" s="50" t="n"/>
    </row>
    <row r="857">
      <c r="B857" s="135" t="n"/>
      <c r="C857" s="50" t="n"/>
      <c r="D857" s="50" t="n"/>
      <c r="E857" s="50" t="n"/>
      <c r="F857" s="50" t="n"/>
      <c r="G857" s="50" t="n"/>
      <c r="H857" s="50" t="n"/>
      <c r="I857" s="52" t="n"/>
      <c r="J857" s="135" t="n"/>
      <c r="K857" s="135" t="n"/>
      <c r="L857" s="50" t="n"/>
    </row>
    <row r="858">
      <c r="B858" s="135" t="n"/>
      <c r="C858" s="50" t="n"/>
      <c r="D858" s="50" t="n"/>
      <c r="E858" s="50" t="n"/>
      <c r="F858" s="50" t="n"/>
      <c r="G858" s="50" t="n"/>
      <c r="H858" s="50" t="n"/>
      <c r="I858" s="52" t="n"/>
      <c r="J858" s="135" t="n"/>
      <c r="K858" s="135" t="n"/>
      <c r="L858" s="50" t="n"/>
    </row>
    <row r="859">
      <c r="B859" s="135" t="n"/>
      <c r="C859" s="50" t="n"/>
      <c r="D859" s="50" t="n"/>
      <c r="E859" s="50" t="n"/>
      <c r="F859" s="50" t="n"/>
      <c r="G859" s="50" t="n"/>
      <c r="H859" s="50" t="n"/>
      <c r="I859" s="52" t="n"/>
      <c r="J859" s="135" t="n"/>
      <c r="K859" s="135" t="n"/>
      <c r="L859" s="50" t="n"/>
    </row>
    <row r="860">
      <c r="B860" s="135" t="n"/>
      <c r="C860" s="50" t="n"/>
      <c r="D860" s="50" t="n"/>
      <c r="E860" s="50" t="n"/>
      <c r="F860" s="50" t="n"/>
      <c r="G860" s="50" t="n"/>
      <c r="H860" s="50" t="n"/>
      <c r="I860" s="52" t="n"/>
      <c r="J860" s="135" t="n"/>
      <c r="K860" s="135" t="n"/>
      <c r="L860" s="50" t="n"/>
    </row>
    <row r="861">
      <c r="B861" s="135" t="n"/>
      <c r="C861" s="50" t="n"/>
      <c r="D861" s="50" t="n"/>
      <c r="E861" s="50" t="n"/>
      <c r="F861" s="50" t="n"/>
      <c r="G861" s="50" t="n"/>
      <c r="H861" s="50" t="n"/>
      <c r="I861" s="52" t="n"/>
      <c r="J861" s="135" t="n"/>
      <c r="K861" s="135" t="n"/>
      <c r="L861" s="50" t="n"/>
    </row>
    <row r="862">
      <c r="B862" s="135" t="n"/>
      <c r="C862" s="50" t="n"/>
      <c r="D862" s="50" t="n"/>
      <c r="E862" s="50" t="n"/>
      <c r="F862" s="50" t="n"/>
      <c r="G862" s="50" t="n"/>
      <c r="H862" s="50" t="n"/>
      <c r="I862" s="52" t="n"/>
      <c r="J862" s="135" t="n"/>
      <c r="K862" s="135" t="n"/>
      <c r="L862" s="50" t="n"/>
    </row>
    <row r="863">
      <c r="B863" s="135" t="n"/>
      <c r="C863" s="50" t="n"/>
      <c r="D863" s="50" t="n"/>
      <c r="E863" s="50" t="n"/>
      <c r="F863" s="50" t="n"/>
      <c r="G863" s="50" t="n"/>
      <c r="H863" s="50" t="n"/>
      <c r="I863" s="52" t="n"/>
      <c r="J863" s="135" t="n"/>
      <c r="K863" s="135" t="n"/>
      <c r="L863" s="50" t="n"/>
    </row>
    <row r="864">
      <c r="B864" s="135" t="n"/>
      <c r="C864" s="50" t="n"/>
      <c r="D864" s="50" t="n"/>
      <c r="E864" s="50" t="n"/>
      <c r="F864" s="50" t="n"/>
      <c r="G864" s="50" t="n"/>
      <c r="H864" s="50" t="n"/>
      <c r="I864" s="52" t="n"/>
      <c r="J864" s="135" t="n"/>
      <c r="K864" s="135" t="n"/>
      <c r="L864" s="50" t="n"/>
    </row>
    <row r="865">
      <c r="B865" s="135" t="n"/>
      <c r="C865" s="50" t="n"/>
      <c r="D865" s="50" t="n"/>
      <c r="E865" s="50" t="n"/>
      <c r="F865" s="50" t="n"/>
      <c r="G865" s="50" t="n"/>
      <c r="H865" s="50" t="n"/>
      <c r="I865" s="52" t="n"/>
      <c r="J865" s="135" t="n"/>
      <c r="K865" s="135" t="n"/>
      <c r="L865" s="50" t="n"/>
    </row>
    <row r="866">
      <c r="B866" s="135" t="n"/>
      <c r="C866" s="50" t="n"/>
      <c r="D866" s="50" t="n"/>
      <c r="E866" s="50" t="n"/>
      <c r="F866" s="50" t="n"/>
      <c r="G866" s="50" t="n"/>
      <c r="H866" s="50" t="n"/>
      <c r="I866" s="52" t="n"/>
      <c r="J866" s="135" t="n"/>
      <c r="K866" s="135" t="n"/>
      <c r="L866" s="50" t="n"/>
    </row>
    <row r="867">
      <c r="B867" s="135" t="n"/>
      <c r="C867" s="50" t="n"/>
      <c r="D867" s="50" t="n"/>
      <c r="E867" s="50" t="n"/>
      <c r="F867" s="50" t="n"/>
      <c r="G867" s="50" t="n"/>
      <c r="H867" s="50" t="n"/>
      <c r="I867" s="52" t="n"/>
      <c r="J867" s="135" t="n"/>
      <c r="K867" s="135" t="n"/>
      <c r="L867" s="50" t="n"/>
    </row>
    <row r="868">
      <c r="B868" s="135" t="n"/>
      <c r="C868" s="50" t="n"/>
      <c r="D868" s="50" t="n"/>
      <c r="E868" s="50" t="n"/>
      <c r="F868" s="50" t="n"/>
      <c r="G868" s="50" t="n"/>
      <c r="H868" s="50" t="n"/>
      <c r="I868" s="52" t="n"/>
      <c r="J868" s="135" t="n"/>
      <c r="K868" s="135" t="n"/>
      <c r="L868" s="50" t="n"/>
    </row>
    <row r="869">
      <c r="B869" s="135" t="n"/>
      <c r="C869" s="50" t="n"/>
      <c r="D869" s="50" t="n"/>
      <c r="E869" s="50" t="n"/>
      <c r="F869" s="50" t="n"/>
      <c r="G869" s="50" t="n"/>
      <c r="H869" s="50" t="n"/>
      <c r="I869" s="52" t="n"/>
      <c r="J869" s="135" t="n"/>
      <c r="K869" s="135" t="n"/>
      <c r="L869" s="50" t="n"/>
    </row>
    <row r="870">
      <c r="B870" s="135" t="n"/>
      <c r="C870" s="50" t="n"/>
      <c r="D870" s="50" t="n"/>
      <c r="E870" s="50" t="n"/>
      <c r="F870" s="50" t="n"/>
      <c r="G870" s="50" t="n"/>
      <c r="H870" s="50" t="n"/>
      <c r="I870" s="52" t="n"/>
      <c r="J870" s="135" t="n"/>
      <c r="K870" s="135" t="n"/>
      <c r="L870" s="50" t="n"/>
    </row>
    <row r="871">
      <c r="B871" s="135" t="n"/>
      <c r="C871" s="50" t="n"/>
      <c r="D871" s="50" t="n"/>
      <c r="E871" s="50" t="n"/>
      <c r="F871" s="50" t="n"/>
      <c r="G871" s="50" t="n"/>
      <c r="H871" s="50" t="n"/>
      <c r="I871" s="52" t="n"/>
      <c r="J871" s="135" t="n"/>
      <c r="K871" s="135" t="n"/>
      <c r="L871" s="50" t="n"/>
    </row>
    <row r="872">
      <c r="B872" s="135" t="n"/>
      <c r="C872" s="50" t="n"/>
      <c r="D872" s="50" t="n"/>
      <c r="E872" s="50" t="n"/>
      <c r="F872" s="50" t="n"/>
      <c r="G872" s="50" t="n"/>
      <c r="H872" s="50" t="n"/>
      <c r="I872" s="52" t="n"/>
      <c r="J872" s="135" t="n"/>
      <c r="K872" s="135" t="n"/>
      <c r="L872" s="50" t="n"/>
    </row>
    <row r="873">
      <c r="B873" s="135" t="n"/>
      <c r="C873" s="50" t="n"/>
      <c r="D873" s="50" t="n"/>
      <c r="E873" s="50" t="n"/>
      <c r="F873" s="50" t="n"/>
      <c r="G873" s="50" t="n"/>
      <c r="H873" s="50" t="n"/>
      <c r="I873" s="52" t="n"/>
      <c r="J873" s="135" t="n"/>
      <c r="K873" s="135" t="n"/>
      <c r="L873" s="50" t="n"/>
    </row>
    <row r="874">
      <c r="B874" s="135" t="n"/>
      <c r="C874" s="50" t="n"/>
      <c r="D874" s="50" t="n"/>
      <c r="E874" s="50" t="n"/>
      <c r="F874" s="50" t="n"/>
      <c r="G874" s="50" t="n"/>
      <c r="H874" s="50" t="n"/>
      <c r="I874" s="52" t="n"/>
      <c r="J874" s="135" t="n"/>
      <c r="K874" s="135" t="n"/>
      <c r="L874" s="50" t="n"/>
    </row>
    <row r="875">
      <c r="B875" s="135" t="n"/>
      <c r="C875" s="50" t="n"/>
      <c r="D875" s="50" t="n"/>
      <c r="E875" s="50" t="n"/>
      <c r="F875" s="50" t="n"/>
      <c r="G875" s="50" t="n"/>
      <c r="H875" s="50" t="n"/>
      <c r="I875" s="52" t="n"/>
      <c r="J875" s="135" t="n"/>
      <c r="K875" s="135" t="n"/>
      <c r="L875" s="50" t="n"/>
    </row>
    <row r="876">
      <c r="B876" s="135" t="n"/>
      <c r="C876" s="50" t="n"/>
      <c r="D876" s="50" t="n"/>
      <c r="E876" s="50" t="n"/>
      <c r="F876" s="50" t="n"/>
      <c r="G876" s="50" t="n"/>
      <c r="H876" s="50" t="n"/>
      <c r="I876" s="52" t="n"/>
      <c r="J876" s="135" t="n"/>
      <c r="K876" s="135" t="n"/>
      <c r="L876" s="50" t="n"/>
    </row>
    <row r="877">
      <c r="B877" s="135" t="n"/>
      <c r="C877" s="50" t="n"/>
      <c r="D877" s="50" t="n"/>
      <c r="E877" s="50" t="n"/>
      <c r="F877" s="50" t="n"/>
      <c r="G877" s="50" t="n"/>
      <c r="H877" s="50" t="n"/>
      <c r="I877" s="52" t="n"/>
      <c r="J877" s="135" t="n"/>
      <c r="K877" s="135" t="n"/>
      <c r="L877" s="50" t="n"/>
    </row>
    <row r="878">
      <c r="B878" s="135" t="n"/>
      <c r="C878" s="50" t="n"/>
      <c r="D878" s="50" t="n"/>
      <c r="E878" s="50" t="n"/>
      <c r="F878" s="50" t="n"/>
      <c r="G878" s="50" t="n"/>
      <c r="H878" s="50" t="n"/>
      <c r="I878" s="52" t="n"/>
      <c r="J878" s="135" t="n"/>
      <c r="K878" s="135" t="n"/>
      <c r="L878" s="50" t="n"/>
    </row>
    <row r="879">
      <c r="B879" s="135" t="n"/>
      <c r="C879" s="50" t="n"/>
      <c r="D879" s="50" t="n"/>
      <c r="E879" s="50" t="n"/>
      <c r="F879" s="50" t="n"/>
      <c r="G879" s="50" t="n"/>
      <c r="H879" s="50" t="n"/>
      <c r="I879" s="52" t="n"/>
      <c r="J879" s="135" t="n"/>
      <c r="K879" s="135" t="n"/>
      <c r="L879" s="50" t="n"/>
    </row>
    <row r="880">
      <c r="B880" s="135" t="n"/>
      <c r="C880" s="50" t="n"/>
      <c r="D880" s="50" t="n"/>
      <c r="E880" s="50" t="n"/>
      <c r="F880" s="50" t="n"/>
      <c r="G880" s="50" t="n"/>
      <c r="H880" s="50" t="n"/>
      <c r="I880" s="52" t="n"/>
      <c r="J880" s="135" t="n"/>
      <c r="K880" s="135" t="n"/>
      <c r="L880" s="50" t="n"/>
    </row>
    <row r="881">
      <c r="B881" s="135" t="n"/>
      <c r="C881" s="50" t="n"/>
      <c r="D881" s="50" t="n"/>
      <c r="E881" s="50" t="n"/>
      <c r="F881" s="50" t="n"/>
      <c r="G881" s="50" t="n"/>
      <c r="H881" s="50" t="n"/>
      <c r="I881" s="52" t="n"/>
      <c r="J881" s="135" t="n"/>
      <c r="K881" s="135" t="n"/>
      <c r="L881" s="50" t="n"/>
    </row>
    <row r="882">
      <c r="B882" s="135" t="n"/>
      <c r="C882" s="50" t="n"/>
      <c r="D882" s="50" t="n"/>
      <c r="E882" s="50" t="n"/>
      <c r="F882" s="50" t="n"/>
      <c r="G882" s="50" t="n"/>
      <c r="H882" s="50" t="n"/>
      <c r="I882" s="52" t="n"/>
      <c r="J882" s="135" t="n"/>
      <c r="K882" s="135" t="n"/>
      <c r="L882" s="50" t="n"/>
    </row>
    <row r="883">
      <c r="B883" s="135" t="n"/>
      <c r="C883" s="50" t="n"/>
      <c r="D883" s="50" t="n"/>
      <c r="E883" s="50" t="n"/>
      <c r="F883" s="50" t="n"/>
      <c r="G883" s="50" t="n"/>
      <c r="H883" s="50" t="n"/>
      <c r="I883" s="52" t="n"/>
      <c r="J883" s="135" t="n"/>
      <c r="K883" s="135" t="n"/>
      <c r="L883" s="50" t="n"/>
    </row>
    <row r="884">
      <c r="B884" s="135" t="n"/>
      <c r="C884" s="50" t="n"/>
      <c r="D884" s="50" t="n"/>
      <c r="E884" s="50" t="n"/>
      <c r="F884" s="50" t="n"/>
      <c r="G884" s="50" t="n"/>
      <c r="H884" s="50" t="n"/>
      <c r="I884" s="52" t="n"/>
      <c r="J884" s="135" t="n"/>
      <c r="K884" s="135" t="n"/>
      <c r="L884" s="50" t="n"/>
    </row>
    <row r="885">
      <c r="B885" s="135" t="n"/>
      <c r="C885" s="50" t="n"/>
      <c r="D885" s="50" t="n"/>
      <c r="E885" s="50" t="n"/>
      <c r="F885" s="50" t="n"/>
      <c r="G885" s="50" t="n"/>
      <c r="H885" s="50" t="n"/>
      <c r="I885" s="52" t="n"/>
      <c r="J885" s="135" t="n"/>
      <c r="K885" s="135" t="n"/>
      <c r="L885" s="50" t="n"/>
    </row>
    <row r="886">
      <c r="B886" s="135" t="n"/>
      <c r="C886" s="50" t="n"/>
      <c r="D886" s="50" t="n"/>
      <c r="E886" s="50" t="n"/>
      <c r="F886" s="50" t="n"/>
      <c r="G886" s="50" t="n"/>
      <c r="H886" s="50" t="n"/>
      <c r="I886" s="52" t="n"/>
      <c r="J886" s="135" t="n"/>
      <c r="K886" s="135" t="n"/>
      <c r="L886" s="50" t="n"/>
    </row>
    <row r="887">
      <c r="B887" s="135" t="n"/>
      <c r="C887" s="50" t="n"/>
      <c r="D887" s="50" t="n"/>
      <c r="E887" s="50" t="n"/>
      <c r="F887" s="50" t="n"/>
      <c r="G887" s="50" t="n"/>
      <c r="H887" s="50" t="n"/>
      <c r="I887" s="52" t="n"/>
      <c r="J887" s="135" t="n"/>
      <c r="K887" s="135" t="n"/>
      <c r="L887" s="50" t="n"/>
    </row>
    <row r="888">
      <c r="B888" s="135" t="n"/>
      <c r="C888" s="50" t="n"/>
      <c r="D888" s="50" t="n"/>
      <c r="E888" s="50" t="n"/>
      <c r="F888" s="50" t="n"/>
      <c r="G888" s="50" t="n"/>
      <c r="H888" s="50" t="n"/>
      <c r="I888" s="52" t="n"/>
      <c r="J888" s="135" t="n"/>
      <c r="K888" s="135" t="n"/>
      <c r="L888" s="50" t="n"/>
    </row>
    <row r="889">
      <c r="B889" s="135" t="n"/>
      <c r="C889" s="50" t="n"/>
      <c r="D889" s="50" t="n"/>
      <c r="E889" s="50" t="n"/>
      <c r="F889" s="50" t="n"/>
      <c r="G889" s="50" t="n"/>
      <c r="H889" s="50" t="n"/>
      <c r="I889" s="52" t="n"/>
      <c r="J889" s="135" t="n"/>
      <c r="K889" s="135" t="n"/>
      <c r="L889" s="50" t="n"/>
    </row>
    <row r="890">
      <c r="B890" s="135" t="n"/>
      <c r="C890" s="50" t="n"/>
      <c r="D890" s="50" t="n"/>
      <c r="E890" s="50" t="n"/>
      <c r="F890" s="50" t="n"/>
      <c r="G890" s="50" t="n"/>
      <c r="H890" s="50" t="n"/>
      <c r="I890" s="52" t="n"/>
      <c r="J890" s="135" t="n"/>
      <c r="K890" s="135" t="n"/>
      <c r="L890" s="50" t="n"/>
    </row>
    <row r="891">
      <c r="B891" s="135" t="n"/>
      <c r="C891" s="50" t="n"/>
      <c r="D891" s="50" t="n"/>
      <c r="E891" s="50" t="n"/>
      <c r="F891" s="50" t="n"/>
      <c r="G891" s="50" t="n"/>
      <c r="H891" s="50" t="n"/>
      <c r="I891" s="52" t="n"/>
      <c r="J891" s="135" t="n"/>
      <c r="K891" s="135" t="n"/>
      <c r="L891" s="50" t="n"/>
    </row>
    <row r="892">
      <c r="B892" s="135" t="n"/>
      <c r="C892" s="50" t="n"/>
      <c r="D892" s="50" t="n"/>
      <c r="E892" s="50" t="n"/>
      <c r="F892" s="50" t="n"/>
      <c r="G892" s="50" t="n"/>
      <c r="H892" s="50" t="n"/>
      <c r="I892" s="52" t="n"/>
      <c r="J892" s="135" t="n"/>
      <c r="K892" s="135" t="n"/>
      <c r="L892" s="50" t="n"/>
    </row>
    <row r="893">
      <c r="B893" s="135" t="n"/>
      <c r="C893" s="50" t="n"/>
      <c r="D893" s="50" t="n"/>
      <c r="E893" s="50" t="n"/>
      <c r="F893" s="50" t="n"/>
      <c r="G893" s="50" t="n"/>
      <c r="H893" s="50" t="n"/>
      <c r="I893" s="52" t="n"/>
      <c r="J893" s="135" t="n"/>
      <c r="K893" s="135" t="n"/>
      <c r="L893" s="50" t="n"/>
    </row>
    <row r="894">
      <c r="B894" s="135" t="n"/>
      <c r="C894" s="50" t="n"/>
      <c r="D894" s="50" t="n"/>
      <c r="E894" s="50" t="n"/>
      <c r="F894" s="50" t="n"/>
      <c r="G894" s="50" t="n"/>
      <c r="H894" s="50" t="n"/>
      <c r="I894" s="52" t="n"/>
      <c r="J894" s="135" t="n"/>
      <c r="K894" s="135" t="n"/>
      <c r="L894" s="50" t="n"/>
    </row>
    <row r="895">
      <c r="B895" s="135" t="n"/>
      <c r="C895" s="50" t="n"/>
      <c r="D895" s="50" t="n"/>
      <c r="E895" s="50" t="n"/>
      <c r="F895" s="50" t="n"/>
      <c r="G895" s="50" t="n"/>
      <c r="H895" s="50" t="n"/>
      <c r="I895" s="52" t="n"/>
      <c r="J895" s="135" t="n"/>
      <c r="K895" s="135" t="n"/>
      <c r="L895" s="50" t="n"/>
    </row>
    <row r="896">
      <c r="B896" s="135" t="n"/>
      <c r="C896" s="50" t="n"/>
      <c r="D896" s="50" t="n"/>
      <c r="E896" s="50" t="n"/>
      <c r="F896" s="50" t="n"/>
      <c r="G896" s="50" t="n"/>
      <c r="H896" s="50" t="n"/>
      <c r="I896" s="52" t="n"/>
      <c r="J896" s="135" t="n"/>
      <c r="K896" s="135" t="n"/>
      <c r="L896" s="50" t="n"/>
    </row>
    <row r="897">
      <c r="B897" s="135" t="n"/>
      <c r="C897" s="50" t="n"/>
      <c r="D897" s="50" t="n"/>
      <c r="E897" s="50" t="n"/>
      <c r="F897" s="50" t="n"/>
      <c r="G897" s="50" t="n"/>
      <c r="H897" s="50" t="n"/>
      <c r="I897" s="52" t="n"/>
      <c r="J897" s="135" t="n"/>
      <c r="K897" s="135" t="n"/>
      <c r="L897" s="50" t="n"/>
    </row>
    <row r="898">
      <c r="B898" s="135" t="n"/>
      <c r="C898" s="50" t="n"/>
      <c r="D898" s="50" t="n"/>
      <c r="E898" s="50" t="n"/>
      <c r="F898" s="50" t="n"/>
      <c r="G898" s="50" t="n"/>
      <c r="H898" s="50" t="n"/>
      <c r="I898" s="52" t="n"/>
      <c r="J898" s="135" t="n"/>
      <c r="K898" s="135" t="n"/>
      <c r="L898" s="50" t="n"/>
    </row>
    <row r="899">
      <c r="B899" s="135" t="n"/>
      <c r="C899" s="50" t="n"/>
      <c r="D899" s="50" t="n"/>
      <c r="E899" s="50" t="n"/>
      <c r="F899" s="50" t="n"/>
      <c r="G899" s="50" t="n"/>
      <c r="H899" s="50" t="n"/>
      <c r="I899" s="52" t="n"/>
      <c r="J899" s="135" t="n"/>
      <c r="K899" s="135" t="n"/>
      <c r="L899" s="50" t="n"/>
    </row>
    <row r="900">
      <c r="B900" s="135" t="n"/>
      <c r="C900" s="50" t="n"/>
      <c r="D900" s="50" t="n"/>
      <c r="E900" s="50" t="n"/>
      <c r="F900" s="50" t="n"/>
      <c r="G900" s="50" t="n"/>
      <c r="H900" s="50" t="n"/>
      <c r="I900" s="52" t="n"/>
      <c r="J900" s="135" t="n"/>
      <c r="K900" s="135" t="n"/>
      <c r="L900" s="50" t="n"/>
    </row>
    <row r="901">
      <c r="B901" s="135" t="n"/>
      <c r="C901" s="50" t="n"/>
      <c r="D901" s="50" t="n"/>
      <c r="E901" s="50" t="n"/>
      <c r="F901" s="50" t="n"/>
      <c r="G901" s="50" t="n"/>
      <c r="H901" s="50" t="n"/>
      <c r="I901" s="52" t="n"/>
      <c r="J901" s="135" t="n"/>
      <c r="K901" s="135" t="n"/>
      <c r="L901" s="50" t="n"/>
    </row>
    <row r="902">
      <c r="B902" s="135" t="n"/>
      <c r="C902" s="50" t="n"/>
      <c r="D902" s="50" t="n"/>
      <c r="E902" s="50" t="n"/>
      <c r="F902" s="50" t="n"/>
      <c r="G902" s="50" t="n"/>
      <c r="H902" s="50" t="n"/>
      <c r="I902" s="52" t="n"/>
      <c r="J902" s="135" t="n"/>
      <c r="K902" s="135" t="n"/>
      <c r="L902" s="50" t="n"/>
    </row>
    <row r="903">
      <c r="B903" s="135" t="n"/>
      <c r="C903" s="50" t="n"/>
      <c r="D903" s="50" t="n"/>
      <c r="E903" s="50" t="n"/>
      <c r="F903" s="50" t="n"/>
      <c r="G903" s="50" t="n"/>
      <c r="H903" s="50" t="n"/>
      <c r="I903" s="52" t="n"/>
      <c r="J903" s="135" t="n"/>
      <c r="K903" s="135" t="n"/>
      <c r="L903" s="50" t="n"/>
    </row>
    <row r="904">
      <c r="B904" s="135" t="n"/>
      <c r="C904" s="50" t="n"/>
      <c r="D904" s="50" t="n"/>
      <c r="E904" s="50" t="n"/>
      <c r="F904" s="50" t="n"/>
      <c r="G904" s="50" t="n"/>
      <c r="H904" s="50" t="n"/>
      <c r="I904" s="52" t="n"/>
      <c r="J904" s="135" t="n"/>
      <c r="K904" s="135" t="n"/>
      <c r="L904" s="50" t="n"/>
    </row>
    <row r="905">
      <c r="B905" s="135" t="n"/>
      <c r="C905" s="50" t="n"/>
      <c r="D905" s="50" t="n"/>
      <c r="E905" s="50" t="n"/>
      <c r="F905" s="50" t="n"/>
      <c r="G905" s="50" t="n"/>
      <c r="H905" s="50" t="n"/>
      <c r="I905" s="52" t="n"/>
      <c r="J905" s="135" t="n"/>
      <c r="K905" s="135" t="n"/>
      <c r="L905" s="50" t="n"/>
    </row>
    <row r="906">
      <c r="B906" s="135" t="n"/>
      <c r="C906" s="50" t="n"/>
      <c r="D906" s="50" t="n"/>
      <c r="E906" s="50" t="n"/>
      <c r="F906" s="50" t="n"/>
      <c r="G906" s="50" t="n"/>
      <c r="H906" s="50" t="n"/>
      <c r="I906" s="52" t="n"/>
      <c r="J906" s="135" t="n"/>
      <c r="K906" s="135" t="n"/>
      <c r="L906" s="50" t="n"/>
    </row>
    <row r="907">
      <c r="B907" s="135" t="n"/>
      <c r="C907" s="50" t="n"/>
      <c r="D907" s="50" t="n"/>
      <c r="E907" s="50" t="n"/>
      <c r="F907" s="50" t="n"/>
      <c r="G907" s="50" t="n"/>
      <c r="H907" s="50" t="n"/>
      <c r="I907" s="52" t="n"/>
      <c r="J907" s="135" t="n"/>
      <c r="K907" s="135" t="n"/>
      <c r="L907" s="50" t="n"/>
    </row>
    <row r="908">
      <c r="B908" s="135" t="n"/>
      <c r="C908" s="50" t="n"/>
      <c r="D908" s="50" t="n"/>
      <c r="E908" s="50" t="n"/>
      <c r="F908" s="50" t="n"/>
      <c r="G908" s="50" t="n"/>
      <c r="H908" s="50" t="n"/>
      <c r="I908" s="52" t="n"/>
      <c r="J908" s="135" t="n"/>
      <c r="K908" s="135" t="n"/>
      <c r="L908" s="50" t="n"/>
    </row>
    <row r="909">
      <c r="B909" s="135" t="n"/>
      <c r="C909" s="50" t="n"/>
      <c r="D909" s="50" t="n"/>
      <c r="E909" s="50" t="n"/>
      <c r="F909" s="50" t="n"/>
      <c r="G909" s="50" t="n"/>
      <c r="H909" s="50" t="n"/>
      <c r="I909" s="52" t="n"/>
      <c r="J909" s="135" t="n"/>
      <c r="K909" s="135" t="n"/>
      <c r="L909" s="50" t="n"/>
    </row>
    <row r="910">
      <c r="B910" s="135" t="n"/>
      <c r="C910" s="50" t="n"/>
      <c r="D910" s="50" t="n"/>
      <c r="E910" s="50" t="n"/>
      <c r="F910" s="50" t="n"/>
      <c r="G910" s="50" t="n"/>
      <c r="H910" s="50" t="n"/>
      <c r="I910" s="52" t="n"/>
      <c r="J910" s="135" t="n"/>
      <c r="K910" s="135" t="n"/>
      <c r="L910" s="50" t="n"/>
    </row>
    <row r="911">
      <c r="B911" s="135" t="n"/>
      <c r="C911" s="50" t="n"/>
      <c r="D911" s="50" t="n"/>
      <c r="E911" s="50" t="n"/>
      <c r="F911" s="50" t="n"/>
      <c r="G911" s="50" t="n"/>
      <c r="H911" s="50" t="n"/>
      <c r="I911" s="52" t="n"/>
      <c r="J911" s="135" t="n"/>
      <c r="K911" s="135" t="n"/>
      <c r="L911" s="50" t="n"/>
    </row>
    <row r="912">
      <c r="B912" s="135" t="n"/>
      <c r="C912" s="50" t="n"/>
      <c r="D912" s="50" t="n"/>
      <c r="E912" s="50" t="n"/>
      <c r="F912" s="50" t="n"/>
      <c r="G912" s="50" t="n"/>
      <c r="H912" s="50" t="n"/>
      <c r="I912" s="52" t="n"/>
      <c r="J912" s="135" t="n"/>
      <c r="K912" s="135" t="n"/>
      <c r="L912" s="50" t="n"/>
    </row>
    <row r="913">
      <c r="B913" s="135" t="n"/>
      <c r="C913" s="50" t="n"/>
      <c r="D913" s="50" t="n"/>
      <c r="E913" s="50" t="n"/>
      <c r="F913" s="50" t="n"/>
      <c r="G913" s="50" t="n"/>
      <c r="H913" s="50" t="n"/>
      <c r="I913" s="52" t="n"/>
      <c r="J913" s="135" t="n"/>
      <c r="K913" s="135" t="n"/>
      <c r="L913" s="50" t="n"/>
    </row>
    <row r="914">
      <c r="B914" s="135" t="n"/>
      <c r="C914" s="50" t="n"/>
      <c r="D914" s="50" t="n"/>
      <c r="E914" s="50" t="n"/>
      <c r="F914" s="50" t="n"/>
      <c r="G914" s="50" t="n"/>
      <c r="H914" s="50" t="n"/>
      <c r="I914" s="52" t="n"/>
      <c r="J914" s="135" t="n"/>
      <c r="K914" s="135" t="n"/>
      <c r="L914" s="50" t="n"/>
    </row>
    <row r="915">
      <c r="B915" s="135" t="n"/>
      <c r="C915" s="50" t="n"/>
      <c r="D915" s="50" t="n"/>
      <c r="E915" s="50" t="n"/>
      <c r="F915" s="50" t="n"/>
      <c r="G915" s="50" t="n"/>
      <c r="H915" s="50" t="n"/>
      <c r="I915" s="52" t="n"/>
      <c r="J915" s="135" t="n"/>
      <c r="K915" s="135" t="n"/>
      <c r="L915" s="50" t="n"/>
    </row>
    <row r="916">
      <c r="B916" s="135" t="n"/>
      <c r="C916" s="50" t="n"/>
      <c r="D916" s="50" t="n"/>
      <c r="E916" s="50" t="n"/>
      <c r="F916" s="50" t="n"/>
      <c r="G916" s="50" t="n"/>
      <c r="H916" s="50" t="n"/>
      <c r="I916" s="52" t="n"/>
      <c r="J916" s="135" t="n"/>
      <c r="K916" s="135" t="n"/>
      <c r="L916" s="50" t="n"/>
    </row>
    <row r="917">
      <c r="B917" s="135" t="n"/>
      <c r="C917" s="50" t="n"/>
      <c r="D917" s="50" t="n"/>
      <c r="E917" s="50" t="n"/>
      <c r="F917" s="50" t="n"/>
      <c r="G917" s="50" t="n"/>
      <c r="H917" s="50" t="n"/>
      <c r="I917" s="52" t="n"/>
      <c r="J917" s="135" t="n"/>
      <c r="K917" s="135" t="n"/>
      <c r="L917" s="50" t="n"/>
    </row>
    <row r="918">
      <c r="B918" s="135" t="n"/>
      <c r="C918" s="50" t="n"/>
      <c r="D918" s="50" t="n"/>
      <c r="E918" s="50" t="n"/>
      <c r="F918" s="50" t="n"/>
      <c r="G918" s="50" t="n"/>
      <c r="H918" s="50" t="n"/>
      <c r="I918" s="52" t="n"/>
      <c r="J918" s="135" t="n"/>
      <c r="K918" s="135" t="n"/>
      <c r="L918" s="50" t="n"/>
    </row>
    <row r="919">
      <c r="B919" s="135" t="n"/>
      <c r="C919" s="50" t="n"/>
      <c r="D919" s="50" t="n"/>
      <c r="E919" s="50" t="n"/>
      <c r="F919" s="50" t="n"/>
      <c r="G919" s="50" t="n"/>
      <c r="H919" s="50" t="n"/>
      <c r="I919" s="52" t="n"/>
      <c r="J919" s="135" t="n"/>
      <c r="K919" s="135" t="n"/>
      <c r="L919" s="50" t="n"/>
    </row>
    <row r="920">
      <c r="B920" s="135" t="n"/>
      <c r="C920" s="50" t="n"/>
      <c r="D920" s="50" t="n"/>
      <c r="E920" s="50" t="n"/>
      <c r="F920" s="50" t="n"/>
      <c r="G920" s="50" t="n"/>
      <c r="H920" s="50" t="n"/>
      <c r="I920" s="52" t="n"/>
      <c r="J920" s="135" t="n"/>
      <c r="K920" s="135" t="n"/>
      <c r="L920" s="50" t="n"/>
    </row>
    <row r="921">
      <c r="B921" s="135" t="n"/>
      <c r="C921" s="50" t="n"/>
      <c r="D921" s="50" t="n"/>
      <c r="E921" s="50" t="n"/>
      <c r="F921" s="50" t="n"/>
      <c r="G921" s="50" t="n"/>
      <c r="H921" s="50" t="n"/>
      <c r="I921" s="52" t="n"/>
      <c r="J921" s="135" t="n"/>
      <c r="K921" s="135" t="n"/>
      <c r="L921" s="50" t="n"/>
    </row>
    <row r="922">
      <c r="B922" s="135" t="n"/>
      <c r="C922" s="50" t="n"/>
      <c r="D922" s="50" t="n"/>
      <c r="E922" s="50" t="n"/>
      <c r="F922" s="50" t="n"/>
      <c r="G922" s="50" t="n"/>
      <c r="H922" s="50" t="n"/>
      <c r="I922" s="52" t="n"/>
      <c r="J922" s="135" t="n"/>
      <c r="K922" s="135" t="n"/>
      <c r="L922" s="50" t="n"/>
    </row>
    <row r="923">
      <c r="B923" s="135" t="n"/>
      <c r="C923" s="50" t="n"/>
      <c r="D923" s="50" t="n"/>
      <c r="E923" s="50" t="n"/>
      <c r="F923" s="50" t="n"/>
      <c r="G923" s="50" t="n"/>
      <c r="H923" s="50" t="n"/>
      <c r="I923" s="52" t="n"/>
      <c r="J923" s="135" t="n"/>
      <c r="K923" s="135" t="n"/>
      <c r="L923" s="50" t="n"/>
    </row>
    <row r="924">
      <c r="B924" s="135" t="n"/>
      <c r="C924" s="50" t="n"/>
      <c r="D924" s="50" t="n"/>
      <c r="E924" s="50" t="n"/>
      <c r="F924" s="50" t="n"/>
      <c r="G924" s="50" t="n"/>
      <c r="H924" s="50" t="n"/>
      <c r="I924" s="52" t="n"/>
      <c r="J924" s="135" t="n"/>
      <c r="K924" s="135" t="n"/>
      <c r="L924" s="50" t="n"/>
    </row>
    <row r="925">
      <c r="B925" s="135" t="n"/>
      <c r="C925" s="50" t="n"/>
      <c r="D925" s="50" t="n"/>
      <c r="E925" s="50" t="n"/>
      <c r="F925" s="50" t="n"/>
      <c r="G925" s="50" t="n"/>
      <c r="H925" s="50" t="n"/>
      <c r="I925" s="52" t="n"/>
      <c r="J925" s="135" t="n"/>
      <c r="K925" s="135" t="n"/>
      <c r="L925" s="50" t="n"/>
    </row>
    <row r="926">
      <c r="B926" s="135" t="n"/>
      <c r="C926" s="50" t="n"/>
      <c r="D926" s="50" t="n"/>
      <c r="E926" s="50" t="n"/>
      <c r="F926" s="50" t="n"/>
      <c r="G926" s="50" t="n"/>
      <c r="H926" s="50" t="n"/>
      <c r="I926" s="52" t="n"/>
      <c r="J926" s="135" t="n"/>
      <c r="K926" s="135" t="n"/>
      <c r="L926" s="50" t="n"/>
    </row>
    <row r="927">
      <c r="B927" s="135" t="n"/>
      <c r="C927" s="50" t="n"/>
      <c r="D927" s="50" t="n"/>
      <c r="E927" s="50" t="n"/>
      <c r="F927" s="50" t="n"/>
      <c r="G927" s="50" t="n"/>
      <c r="H927" s="50" t="n"/>
      <c r="I927" s="52" t="n"/>
      <c r="J927" s="135" t="n"/>
      <c r="K927" s="135" t="n"/>
      <c r="L927" s="50" t="n"/>
    </row>
    <row r="928">
      <c r="B928" s="135" t="n"/>
      <c r="C928" s="50" t="n"/>
      <c r="D928" s="50" t="n"/>
      <c r="E928" s="50" t="n"/>
      <c r="F928" s="50" t="n"/>
      <c r="G928" s="50" t="n"/>
      <c r="H928" s="50" t="n"/>
      <c r="I928" s="52" t="n"/>
      <c r="J928" s="135" t="n"/>
      <c r="K928" s="135" t="n"/>
      <c r="L928" s="50" t="n"/>
    </row>
    <row r="929">
      <c r="B929" s="135" t="n"/>
      <c r="C929" s="50" t="n"/>
      <c r="D929" s="50" t="n"/>
      <c r="E929" s="50" t="n"/>
      <c r="F929" s="50" t="n"/>
      <c r="G929" s="50" t="n"/>
      <c r="H929" s="50" t="n"/>
      <c r="I929" s="52" t="n"/>
      <c r="J929" s="135" t="n"/>
      <c r="K929" s="135" t="n"/>
      <c r="L929" s="50" t="n"/>
    </row>
    <row r="930">
      <c r="B930" s="135" t="n"/>
      <c r="C930" s="50" t="n"/>
      <c r="D930" s="50" t="n"/>
      <c r="E930" s="50" t="n"/>
      <c r="F930" s="50" t="n"/>
      <c r="G930" s="50" t="n"/>
      <c r="H930" s="50" t="n"/>
      <c r="I930" s="52" t="n"/>
      <c r="J930" s="135" t="n"/>
      <c r="K930" s="135" t="n"/>
      <c r="L930" s="50" t="n"/>
    </row>
    <row r="931">
      <c r="B931" s="135" t="n"/>
      <c r="C931" s="50" t="n"/>
      <c r="D931" s="50" t="n"/>
      <c r="E931" s="50" t="n"/>
      <c r="F931" s="50" t="n"/>
      <c r="G931" s="50" t="n"/>
      <c r="H931" s="50" t="n"/>
      <c r="I931" s="52" t="n"/>
      <c r="J931" s="135" t="n"/>
      <c r="K931" s="135" t="n"/>
      <c r="L931" s="50" t="n"/>
    </row>
    <row r="932">
      <c r="B932" s="135" t="n"/>
      <c r="C932" s="50" t="n"/>
      <c r="D932" s="50" t="n"/>
      <c r="E932" s="50" t="n"/>
      <c r="F932" s="50" t="n"/>
      <c r="G932" s="50" t="n"/>
      <c r="H932" s="50" t="n"/>
      <c r="I932" s="52" t="n"/>
      <c r="J932" s="135" t="n"/>
      <c r="K932" s="135" t="n"/>
      <c r="L932" s="50" t="n"/>
    </row>
    <row r="933">
      <c r="B933" s="135" t="n"/>
      <c r="C933" s="50" t="n"/>
      <c r="D933" s="50" t="n"/>
      <c r="E933" s="50" t="n"/>
      <c r="F933" s="50" t="n"/>
      <c r="G933" s="50" t="n"/>
      <c r="H933" s="50" t="n"/>
      <c r="I933" s="52" t="n"/>
      <c r="J933" s="135" t="n"/>
      <c r="K933" s="135" t="n"/>
      <c r="L933" s="50" t="n"/>
    </row>
    <row r="934">
      <c r="B934" s="135" t="n"/>
      <c r="C934" s="50" t="n"/>
      <c r="D934" s="50" t="n"/>
      <c r="E934" s="50" t="n"/>
      <c r="F934" s="50" t="n"/>
      <c r="G934" s="50" t="n"/>
      <c r="H934" s="50" t="n"/>
      <c r="I934" s="52" t="n"/>
      <c r="J934" s="135" t="n"/>
      <c r="K934" s="135" t="n"/>
      <c r="L934" s="50" t="n"/>
    </row>
    <row r="935">
      <c r="B935" s="135" t="n"/>
      <c r="C935" s="50" t="n"/>
      <c r="D935" s="50" t="n"/>
      <c r="E935" s="50" t="n"/>
      <c r="F935" s="50" t="n"/>
      <c r="G935" s="50" t="n"/>
      <c r="H935" s="50" t="n"/>
      <c r="I935" s="52" t="n"/>
      <c r="J935" s="135" t="n"/>
      <c r="K935" s="135" t="n"/>
      <c r="L935" s="50" t="n"/>
    </row>
    <row r="936">
      <c r="B936" s="135" t="n"/>
      <c r="C936" s="50" t="n"/>
      <c r="D936" s="50" t="n"/>
      <c r="E936" s="50" t="n"/>
      <c r="F936" s="50" t="n"/>
      <c r="G936" s="50" t="n"/>
      <c r="H936" s="50" t="n"/>
      <c r="I936" s="52" t="n"/>
      <c r="J936" s="135" t="n"/>
      <c r="K936" s="135" t="n"/>
      <c r="L936" s="50" t="n"/>
    </row>
    <row r="937">
      <c r="B937" s="135" t="n"/>
      <c r="C937" s="50" t="n"/>
      <c r="D937" s="50" t="n"/>
      <c r="E937" s="50" t="n"/>
      <c r="F937" s="50" t="n"/>
      <c r="G937" s="50" t="n"/>
      <c r="H937" s="50" t="n"/>
      <c r="I937" s="52" t="n"/>
      <c r="J937" s="135" t="n"/>
      <c r="K937" s="135" t="n"/>
      <c r="L937" s="50" t="n"/>
    </row>
    <row r="938">
      <c r="B938" s="135" t="n"/>
      <c r="C938" s="50" t="n"/>
      <c r="D938" s="50" t="n"/>
      <c r="E938" s="50" t="n"/>
      <c r="F938" s="50" t="n"/>
      <c r="G938" s="50" t="n"/>
      <c r="H938" s="50" t="n"/>
      <c r="I938" s="52" t="n"/>
      <c r="J938" s="135" t="n"/>
      <c r="K938" s="135" t="n"/>
      <c r="L938" s="50" t="n"/>
    </row>
    <row r="939">
      <c r="B939" s="135" t="n"/>
      <c r="C939" s="50" t="n"/>
      <c r="D939" s="50" t="n"/>
      <c r="E939" s="50" t="n"/>
      <c r="F939" s="50" t="n"/>
      <c r="G939" s="50" t="n"/>
      <c r="H939" s="50" t="n"/>
      <c r="I939" s="52" t="n"/>
      <c r="J939" s="135" t="n"/>
      <c r="K939" s="135" t="n"/>
      <c r="L939" s="50" t="n"/>
    </row>
    <row r="940">
      <c r="B940" s="135" t="n"/>
      <c r="C940" s="50" t="n"/>
      <c r="D940" s="50" t="n"/>
      <c r="E940" s="50" t="n"/>
      <c r="F940" s="50" t="n"/>
      <c r="G940" s="50" t="n"/>
      <c r="H940" s="50" t="n"/>
      <c r="I940" s="52" t="n"/>
      <c r="J940" s="135" t="n"/>
      <c r="K940" s="135" t="n"/>
      <c r="L940" s="50" t="n"/>
    </row>
    <row r="941">
      <c r="B941" s="135" t="n"/>
      <c r="C941" s="50" t="n"/>
      <c r="D941" s="50" t="n"/>
      <c r="E941" s="50" t="n"/>
      <c r="F941" s="50" t="n"/>
      <c r="G941" s="50" t="n"/>
      <c r="H941" s="50" t="n"/>
      <c r="I941" s="52" t="n"/>
      <c r="J941" s="135" t="n"/>
      <c r="K941" s="135" t="n"/>
      <c r="L941" s="50" t="n"/>
    </row>
    <row r="942">
      <c r="B942" s="135" t="n"/>
      <c r="C942" s="50" t="n"/>
      <c r="D942" s="50" t="n"/>
      <c r="E942" s="50" t="n"/>
      <c r="F942" s="50" t="n"/>
      <c r="G942" s="50" t="n"/>
      <c r="H942" s="50" t="n"/>
      <c r="I942" s="52" t="n"/>
      <c r="J942" s="135" t="n"/>
      <c r="K942" s="135" t="n"/>
      <c r="L942" s="50" t="n"/>
    </row>
    <row r="943">
      <c r="B943" s="135" t="n"/>
      <c r="C943" s="50" t="n"/>
      <c r="D943" s="50" t="n"/>
      <c r="E943" s="50" t="n"/>
      <c r="F943" s="50" t="n"/>
      <c r="G943" s="50" t="n"/>
      <c r="H943" s="50" t="n"/>
      <c r="I943" s="52" t="n"/>
      <c r="J943" s="135" t="n"/>
      <c r="K943" s="135" t="n"/>
      <c r="L943" s="50" t="n"/>
    </row>
    <row r="944">
      <c r="B944" s="135" t="n"/>
      <c r="C944" s="50" t="n"/>
      <c r="D944" s="50" t="n"/>
      <c r="E944" s="50" t="n"/>
      <c r="F944" s="50" t="n"/>
      <c r="G944" s="50" t="n"/>
      <c r="H944" s="50" t="n"/>
      <c r="I944" s="52" t="n"/>
      <c r="J944" s="135" t="n"/>
      <c r="K944" s="135" t="n"/>
      <c r="L944" s="50" t="n"/>
    </row>
    <row r="945">
      <c r="B945" s="135" t="n"/>
      <c r="C945" s="50" t="n"/>
      <c r="D945" s="50" t="n"/>
      <c r="E945" s="50" t="n"/>
      <c r="F945" s="50" t="n"/>
      <c r="G945" s="50" t="n"/>
      <c r="H945" s="50" t="n"/>
      <c r="I945" s="52" t="n"/>
      <c r="J945" s="135" t="n"/>
      <c r="K945" s="135" t="n"/>
      <c r="L945" s="50" t="n"/>
    </row>
    <row r="946">
      <c r="B946" s="135" t="n"/>
      <c r="C946" s="50" t="n"/>
      <c r="D946" s="50" t="n"/>
      <c r="E946" s="50" t="n"/>
      <c r="F946" s="50" t="n"/>
      <c r="G946" s="50" t="n"/>
      <c r="H946" s="50" t="n"/>
      <c r="I946" s="52" t="n"/>
      <c r="J946" s="135" t="n"/>
      <c r="K946" s="135" t="n"/>
      <c r="L946" s="50" t="n"/>
    </row>
    <row r="947">
      <c r="B947" s="135" t="n"/>
      <c r="C947" s="50" t="n"/>
      <c r="D947" s="50" t="n"/>
      <c r="E947" s="50" t="n"/>
      <c r="F947" s="50" t="n"/>
      <c r="G947" s="50" t="n"/>
      <c r="H947" s="50" t="n"/>
      <c r="I947" s="52" t="n"/>
      <c r="J947" s="135" t="n"/>
      <c r="K947" s="135" t="n"/>
      <c r="L947" s="50" t="n"/>
    </row>
    <row r="948">
      <c r="B948" s="135" t="n"/>
      <c r="C948" s="50" t="n"/>
      <c r="D948" s="50" t="n"/>
      <c r="E948" s="50" t="n"/>
      <c r="F948" s="50" t="n"/>
      <c r="G948" s="50" t="n"/>
      <c r="H948" s="50" t="n"/>
      <c r="I948" s="52" t="n"/>
      <c r="J948" s="135" t="n"/>
      <c r="K948" s="135" t="n"/>
      <c r="L948" s="50" t="n"/>
    </row>
    <row r="949">
      <c r="B949" s="135" t="n"/>
      <c r="C949" s="50" t="n"/>
      <c r="D949" s="50" t="n"/>
      <c r="E949" s="50" t="n"/>
      <c r="F949" s="50" t="n"/>
      <c r="G949" s="50" t="n"/>
      <c r="H949" s="50" t="n"/>
      <c r="I949" s="52" t="n"/>
      <c r="J949" s="135" t="n"/>
      <c r="K949" s="135" t="n"/>
      <c r="L949" s="50" t="n"/>
    </row>
    <row r="950">
      <c r="B950" s="135" t="n"/>
      <c r="C950" s="50" t="n"/>
      <c r="D950" s="50" t="n"/>
      <c r="E950" s="50" t="n"/>
      <c r="F950" s="50" t="n"/>
      <c r="G950" s="50" t="n"/>
      <c r="H950" s="50" t="n"/>
      <c r="I950" s="52" t="n"/>
      <c r="J950" s="135" t="n"/>
      <c r="K950" s="135" t="n"/>
      <c r="L950" s="50" t="n"/>
    </row>
    <row r="951">
      <c r="B951" s="135" t="n"/>
      <c r="C951" s="50" t="n"/>
      <c r="D951" s="50" t="n"/>
      <c r="E951" s="50" t="n"/>
      <c r="F951" s="50" t="n"/>
      <c r="G951" s="50" t="n"/>
      <c r="H951" s="50" t="n"/>
      <c r="I951" s="52" t="n"/>
      <c r="J951" s="135" t="n"/>
      <c r="K951" s="135" t="n"/>
      <c r="L951" s="50" t="n"/>
    </row>
    <row r="952">
      <c r="B952" s="135" t="n"/>
      <c r="C952" s="50" t="n"/>
      <c r="D952" s="50" t="n"/>
      <c r="E952" s="50" t="n"/>
      <c r="F952" s="50" t="n"/>
      <c r="G952" s="50" t="n"/>
      <c r="H952" s="50" t="n"/>
      <c r="I952" s="52" t="n"/>
      <c r="J952" s="135" t="n"/>
      <c r="K952" s="135" t="n"/>
      <c r="L952" s="50" t="n"/>
    </row>
    <row r="953">
      <c r="B953" s="135" t="n"/>
      <c r="C953" s="50" t="n"/>
      <c r="D953" s="50" t="n"/>
      <c r="E953" s="50" t="n"/>
      <c r="F953" s="50" t="n"/>
      <c r="G953" s="50" t="n"/>
      <c r="H953" s="50" t="n"/>
      <c r="I953" s="52" t="n"/>
      <c r="J953" s="135" t="n"/>
      <c r="K953" s="135" t="n"/>
      <c r="L953" s="50" t="n"/>
    </row>
    <row r="954">
      <c r="B954" s="135" t="n"/>
      <c r="C954" s="50" t="n"/>
      <c r="D954" s="50" t="n"/>
      <c r="E954" s="50" t="n"/>
      <c r="F954" s="50" t="n"/>
      <c r="G954" s="50" t="n"/>
      <c r="H954" s="50" t="n"/>
      <c r="I954" s="52" t="n"/>
      <c r="J954" s="135" t="n"/>
      <c r="K954" s="135" t="n"/>
      <c r="L954" s="50" t="n"/>
    </row>
    <row r="955">
      <c r="B955" s="135" t="n"/>
      <c r="C955" s="50" t="n"/>
      <c r="D955" s="50" t="n"/>
      <c r="E955" s="50" t="n"/>
      <c r="F955" s="50" t="n"/>
      <c r="G955" s="50" t="n"/>
      <c r="H955" s="50" t="n"/>
      <c r="I955" s="52" t="n"/>
      <c r="J955" s="135" t="n"/>
      <c r="K955" s="135" t="n"/>
      <c r="L955" s="50" t="n"/>
    </row>
    <row r="956">
      <c r="B956" s="135" t="n"/>
      <c r="C956" s="50" t="n"/>
      <c r="D956" s="50" t="n"/>
      <c r="E956" s="50" t="n"/>
      <c r="F956" s="50" t="n"/>
      <c r="G956" s="50" t="n"/>
      <c r="H956" s="50" t="n"/>
      <c r="I956" s="52" t="n"/>
      <c r="J956" s="135" t="n"/>
      <c r="K956" s="135" t="n"/>
      <c r="L956" s="50" t="n"/>
    </row>
    <row r="957">
      <c r="B957" s="135" t="n"/>
      <c r="C957" s="50" t="n"/>
      <c r="D957" s="50" t="n"/>
      <c r="E957" s="50" t="n"/>
      <c r="F957" s="50" t="n"/>
      <c r="G957" s="50" t="n"/>
      <c r="H957" s="50" t="n"/>
      <c r="I957" s="52" t="n"/>
      <c r="J957" s="135" t="n"/>
      <c r="K957" s="135" t="n"/>
      <c r="L957" s="50" t="n"/>
    </row>
    <row r="958">
      <c r="B958" s="135" t="n"/>
      <c r="C958" s="50" t="n"/>
      <c r="D958" s="50" t="n"/>
      <c r="E958" s="50" t="n"/>
      <c r="F958" s="50" t="n"/>
      <c r="G958" s="50" t="n"/>
      <c r="H958" s="50" t="n"/>
      <c r="I958" s="52" t="n"/>
      <c r="J958" s="135" t="n"/>
      <c r="K958" s="135" t="n"/>
      <c r="L958" s="50" t="n"/>
    </row>
    <row r="959">
      <c r="B959" s="135" t="n"/>
      <c r="C959" s="50" t="n"/>
      <c r="D959" s="50" t="n"/>
      <c r="E959" s="50" t="n"/>
      <c r="F959" s="50" t="n"/>
      <c r="G959" s="50" t="n"/>
      <c r="H959" s="50" t="n"/>
      <c r="I959" s="52" t="n"/>
      <c r="J959" s="135" t="n"/>
      <c r="K959" s="135" t="n"/>
      <c r="L959" s="50" t="n"/>
    </row>
    <row r="960">
      <c r="B960" s="135" t="n"/>
      <c r="C960" s="50" t="n"/>
      <c r="D960" s="50" t="n"/>
      <c r="E960" s="50" t="n"/>
      <c r="F960" s="50" t="n"/>
      <c r="G960" s="50" t="n"/>
      <c r="H960" s="50" t="n"/>
      <c r="I960" s="52" t="n"/>
      <c r="J960" s="135" t="n"/>
      <c r="K960" s="135" t="n"/>
      <c r="L960" s="50" t="n"/>
    </row>
    <row r="961">
      <c r="B961" s="135" t="n"/>
      <c r="C961" s="50" t="n"/>
      <c r="D961" s="50" t="n"/>
      <c r="E961" s="50" t="n"/>
      <c r="F961" s="50" t="n"/>
      <c r="G961" s="50" t="n"/>
      <c r="H961" s="50" t="n"/>
      <c r="I961" s="52" t="n"/>
      <c r="J961" s="135" t="n"/>
      <c r="K961" s="135" t="n"/>
      <c r="L961" s="50" t="n"/>
    </row>
    <row r="962">
      <c r="B962" s="135" t="n"/>
      <c r="C962" s="50" t="n"/>
      <c r="D962" s="50" t="n"/>
      <c r="E962" s="50" t="n"/>
      <c r="F962" s="50" t="n"/>
      <c r="G962" s="50" t="n"/>
      <c r="H962" s="50" t="n"/>
      <c r="I962" s="52" t="n"/>
      <c r="J962" s="135" t="n"/>
      <c r="K962" s="135" t="n"/>
      <c r="L962" s="50" t="n"/>
    </row>
    <row r="963">
      <c r="B963" s="135" t="n"/>
      <c r="C963" s="50" t="n"/>
      <c r="D963" s="50" t="n"/>
      <c r="E963" s="50" t="n"/>
      <c r="F963" s="50" t="n"/>
      <c r="G963" s="50" t="n"/>
      <c r="H963" s="50" t="n"/>
      <c r="I963" s="52" t="n"/>
      <c r="J963" s="135" t="n"/>
      <c r="K963" s="135" t="n"/>
      <c r="L963" s="50" t="n"/>
    </row>
    <row r="964">
      <c r="B964" s="135" t="n"/>
      <c r="C964" s="50" t="n"/>
      <c r="D964" s="50" t="n"/>
      <c r="E964" s="50" t="n"/>
      <c r="F964" s="50" t="n"/>
      <c r="G964" s="50" t="n"/>
      <c r="H964" s="50" t="n"/>
      <c r="I964" s="52" t="n"/>
      <c r="J964" s="135" t="n"/>
      <c r="K964" s="135" t="n"/>
      <c r="L964" s="50" t="n"/>
    </row>
    <row r="965">
      <c r="B965" s="135" t="n"/>
      <c r="C965" s="50" t="n"/>
      <c r="D965" s="50" t="n"/>
      <c r="E965" s="50" t="n"/>
      <c r="F965" s="50" t="n"/>
      <c r="G965" s="50" t="n"/>
      <c r="H965" s="50" t="n"/>
      <c r="I965" s="52" t="n"/>
      <c r="J965" s="135" t="n"/>
      <c r="K965" s="135" t="n"/>
      <c r="L965" s="50" t="n"/>
    </row>
    <row r="966">
      <c r="B966" s="135" t="n"/>
      <c r="C966" s="50" t="n"/>
      <c r="D966" s="50" t="n"/>
      <c r="E966" s="50" t="n"/>
      <c r="F966" s="50" t="n"/>
      <c r="G966" s="50" t="n"/>
      <c r="H966" s="50" t="n"/>
      <c r="I966" s="52" t="n"/>
      <c r="J966" s="135" t="n"/>
      <c r="K966" s="135" t="n"/>
      <c r="L966" s="50" t="n"/>
    </row>
    <row r="967">
      <c r="B967" s="135" t="n"/>
      <c r="C967" s="50" t="n"/>
      <c r="D967" s="50" t="n"/>
      <c r="E967" s="50" t="n"/>
      <c r="F967" s="50" t="n"/>
      <c r="G967" s="50" t="n"/>
      <c r="H967" s="50" t="n"/>
      <c r="I967" s="52" t="n"/>
      <c r="J967" s="135" t="n"/>
      <c r="K967" s="135" t="n"/>
      <c r="L967" s="50" t="n"/>
    </row>
    <row r="968">
      <c r="B968" s="135" t="n"/>
      <c r="C968" s="50" t="n"/>
      <c r="D968" s="50" t="n"/>
      <c r="E968" s="50" t="n"/>
      <c r="F968" s="50" t="n"/>
      <c r="G968" s="50" t="n"/>
      <c r="H968" s="50" t="n"/>
      <c r="I968" s="52" t="n"/>
      <c r="J968" s="135" t="n"/>
      <c r="K968" s="135" t="n"/>
      <c r="L968" s="50" t="n"/>
    </row>
    <row r="969">
      <c r="B969" s="135" t="n"/>
      <c r="C969" s="50" t="n"/>
      <c r="D969" s="50" t="n"/>
      <c r="E969" s="50" t="n"/>
      <c r="F969" s="50" t="n"/>
      <c r="G969" s="50" t="n"/>
      <c r="H969" s="50" t="n"/>
      <c r="I969" s="52" t="n"/>
      <c r="J969" s="135" t="n"/>
      <c r="K969" s="135" t="n"/>
      <c r="L969" s="50" t="n"/>
    </row>
    <row r="970">
      <c r="B970" s="135" t="n"/>
      <c r="C970" s="50" t="n"/>
      <c r="D970" s="50" t="n"/>
      <c r="E970" s="50" t="n"/>
      <c r="F970" s="50" t="n"/>
      <c r="G970" s="50" t="n"/>
      <c r="H970" s="50" t="n"/>
      <c r="I970" s="52" t="n"/>
      <c r="J970" s="135" t="n"/>
      <c r="K970" s="135" t="n"/>
      <c r="L970" s="50" t="n"/>
    </row>
    <row r="971">
      <c r="B971" s="135" t="n"/>
      <c r="C971" s="50" t="n"/>
      <c r="D971" s="50" t="n"/>
      <c r="E971" s="50" t="n"/>
      <c r="F971" s="50" t="n"/>
      <c r="G971" s="50" t="n"/>
      <c r="H971" s="50" t="n"/>
      <c r="I971" s="52" t="n"/>
      <c r="J971" s="135" t="n"/>
      <c r="K971" s="135" t="n"/>
      <c r="L971" s="50" t="n"/>
    </row>
    <row r="972">
      <c r="B972" s="135" t="n"/>
      <c r="C972" s="50" t="n"/>
      <c r="D972" s="50" t="n"/>
      <c r="E972" s="50" t="n"/>
      <c r="F972" s="50" t="n"/>
      <c r="G972" s="50" t="n"/>
      <c r="H972" s="50" t="n"/>
      <c r="I972" s="52" t="n"/>
      <c r="J972" s="135" t="n"/>
      <c r="K972" s="135" t="n"/>
      <c r="L972" s="50" t="n"/>
    </row>
    <row r="973">
      <c r="B973" s="135" t="n"/>
      <c r="C973" s="50" t="n"/>
      <c r="D973" s="50" t="n"/>
      <c r="E973" s="50" t="n"/>
      <c r="F973" s="50" t="n"/>
      <c r="G973" s="50" t="n"/>
      <c r="H973" s="50" t="n"/>
      <c r="I973" s="52" t="n"/>
      <c r="J973" s="135" t="n"/>
      <c r="K973" s="135" t="n"/>
      <c r="L973" s="50" t="n"/>
    </row>
    <row r="974">
      <c r="B974" s="135" t="n"/>
      <c r="C974" s="50" t="n"/>
      <c r="D974" s="50" t="n"/>
      <c r="E974" s="50" t="n"/>
      <c r="F974" s="50" t="n"/>
      <c r="G974" s="50" t="n"/>
      <c r="H974" s="50" t="n"/>
      <c r="I974" s="52" t="n"/>
      <c r="J974" s="135" t="n"/>
      <c r="K974" s="135" t="n"/>
      <c r="L974" s="50" t="n"/>
    </row>
    <row r="975">
      <c r="B975" s="135" t="n"/>
      <c r="C975" s="50" t="n"/>
      <c r="D975" s="50" t="n"/>
      <c r="E975" s="50" t="n"/>
      <c r="F975" s="50" t="n"/>
      <c r="G975" s="50" t="n"/>
      <c r="H975" s="50" t="n"/>
      <c r="I975" s="52" t="n"/>
      <c r="J975" s="135" t="n"/>
      <c r="K975" s="135" t="n"/>
      <c r="L975" s="50" t="n"/>
    </row>
    <row r="976">
      <c r="B976" s="135" t="n"/>
      <c r="C976" s="50" t="n"/>
      <c r="D976" s="50" t="n"/>
      <c r="E976" s="50" t="n"/>
      <c r="F976" s="50" t="n"/>
      <c r="G976" s="50" t="n"/>
      <c r="H976" s="50" t="n"/>
      <c r="I976" s="52" t="n"/>
      <c r="J976" s="135" t="n"/>
      <c r="K976" s="135" t="n"/>
      <c r="L976" s="50" t="n"/>
    </row>
    <row r="977">
      <c r="B977" s="135" t="n"/>
      <c r="C977" s="50" t="n"/>
      <c r="D977" s="50" t="n"/>
      <c r="E977" s="50" t="n"/>
      <c r="F977" s="50" t="n"/>
      <c r="G977" s="50" t="n"/>
      <c r="H977" s="50" t="n"/>
      <c r="I977" s="52" t="n"/>
      <c r="J977" s="135" t="n"/>
      <c r="K977" s="135" t="n"/>
      <c r="L977" s="50" t="n"/>
    </row>
    <row r="978">
      <c r="B978" s="135" t="n"/>
      <c r="C978" s="50" t="n"/>
      <c r="D978" s="50" t="n"/>
      <c r="E978" s="50" t="n"/>
      <c r="F978" s="50" t="n"/>
      <c r="G978" s="50" t="n"/>
      <c r="H978" s="50" t="n"/>
      <c r="I978" s="52" t="n"/>
      <c r="J978" s="135" t="n"/>
      <c r="K978" s="135" t="n"/>
      <c r="L978" s="50" t="n"/>
    </row>
    <row r="979">
      <c r="B979" s="135" t="n"/>
      <c r="C979" s="50" t="n"/>
      <c r="D979" s="50" t="n"/>
      <c r="E979" s="50" t="n"/>
      <c r="F979" s="50" t="n"/>
      <c r="G979" s="50" t="n"/>
      <c r="H979" s="50" t="n"/>
      <c r="I979" s="52" t="n"/>
      <c r="J979" s="135" t="n"/>
      <c r="K979" s="135" t="n"/>
      <c r="L979" s="50" t="n"/>
    </row>
    <row r="980">
      <c r="B980" s="135" t="n"/>
      <c r="C980" s="50" t="n"/>
      <c r="D980" s="50" t="n"/>
      <c r="E980" s="50" t="n"/>
      <c r="F980" s="50" t="n"/>
      <c r="G980" s="50" t="n"/>
      <c r="H980" s="50" t="n"/>
      <c r="I980" s="52" t="n"/>
      <c r="J980" s="135" t="n"/>
      <c r="K980" s="135" t="n"/>
      <c r="L980" s="50" t="n"/>
    </row>
    <row r="981">
      <c r="B981" s="135" t="n"/>
      <c r="C981" s="50" t="n"/>
      <c r="D981" s="50" t="n"/>
      <c r="E981" s="50" t="n"/>
      <c r="F981" s="50" t="n"/>
      <c r="G981" s="50" t="n"/>
      <c r="H981" s="50" t="n"/>
      <c r="I981" s="52" t="n"/>
      <c r="J981" s="135" t="n"/>
      <c r="K981" s="135" t="n"/>
      <c r="L981" s="50" t="n"/>
    </row>
    <row r="982">
      <c r="B982" s="135" t="n"/>
      <c r="C982" s="50" t="n"/>
      <c r="D982" s="50" t="n"/>
      <c r="E982" s="50" t="n"/>
      <c r="F982" s="50" t="n"/>
      <c r="G982" s="50" t="n"/>
      <c r="H982" s="50" t="n"/>
      <c r="I982" s="52" t="n"/>
      <c r="J982" s="135" t="n"/>
      <c r="K982" s="135" t="n"/>
      <c r="L982" s="50" t="n"/>
    </row>
    <row r="983">
      <c r="B983" s="135" t="n"/>
      <c r="C983" s="50" t="n"/>
      <c r="D983" s="50" t="n"/>
      <c r="E983" s="50" t="n"/>
      <c r="F983" s="50" t="n"/>
      <c r="G983" s="50" t="n"/>
      <c r="H983" s="50" t="n"/>
      <c r="I983" s="52" t="n"/>
      <c r="J983" s="135" t="n"/>
      <c r="K983" s="135" t="n"/>
      <c r="L983" s="50" t="n"/>
    </row>
    <row r="984">
      <c r="B984" s="135" t="n"/>
      <c r="C984" s="50" t="n"/>
      <c r="D984" s="50" t="n"/>
      <c r="E984" s="50" t="n"/>
      <c r="F984" s="50" t="n"/>
      <c r="G984" s="50" t="n"/>
      <c r="H984" s="50" t="n"/>
      <c r="I984" s="52" t="n"/>
      <c r="J984" s="135" t="n"/>
      <c r="K984" s="135" t="n"/>
      <c r="L984" s="50" t="n"/>
    </row>
    <row r="985">
      <c r="B985" s="135" t="n"/>
      <c r="C985" s="50" t="n"/>
      <c r="D985" s="50" t="n"/>
      <c r="E985" s="50" t="n"/>
      <c r="F985" s="50" t="n"/>
      <c r="G985" s="50" t="n"/>
      <c r="H985" s="50" t="n"/>
      <c r="I985" s="52" t="n"/>
      <c r="J985" s="135" t="n"/>
      <c r="K985" s="135" t="n"/>
      <c r="L985" s="50" t="n"/>
    </row>
    <row r="986">
      <c r="B986" s="135" t="n"/>
      <c r="C986" s="50" t="n"/>
      <c r="D986" s="50" t="n"/>
      <c r="E986" s="50" t="n"/>
      <c r="F986" s="50" t="n"/>
      <c r="G986" s="50" t="n"/>
      <c r="H986" s="50" t="n"/>
      <c r="I986" s="52" t="n"/>
      <c r="J986" s="135" t="n"/>
      <c r="K986" s="135" t="n"/>
      <c r="L986" s="50" t="n"/>
    </row>
    <row r="987">
      <c r="B987" s="135" t="n"/>
      <c r="C987" s="50" t="n"/>
      <c r="D987" s="50" t="n"/>
      <c r="E987" s="50" t="n"/>
      <c r="F987" s="50" t="n"/>
      <c r="G987" s="50" t="n"/>
      <c r="H987" s="50" t="n"/>
      <c r="I987" s="52" t="n"/>
      <c r="J987" s="135" t="n"/>
      <c r="K987" s="135" t="n"/>
      <c r="L987" s="50" t="n"/>
    </row>
    <row r="988">
      <c r="B988" s="135" t="n"/>
      <c r="C988" s="50" t="n"/>
      <c r="D988" s="50" t="n"/>
      <c r="E988" s="50" t="n"/>
      <c r="F988" s="50" t="n"/>
      <c r="G988" s="50" t="n"/>
      <c r="H988" s="50" t="n"/>
      <c r="I988" s="52" t="n"/>
      <c r="J988" s="135" t="n"/>
      <c r="K988" s="135" t="n"/>
      <c r="L988" s="50" t="n"/>
    </row>
    <row r="989">
      <c r="B989" s="135" t="n"/>
      <c r="C989" s="50" t="n"/>
      <c r="D989" s="50" t="n"/>
      <c r="E989" s="50" t="n"/>
      <c r="F989" s="50" t="n"/>
      <c r="G989" s="50" t="n"/>
      <c r="H989" s="50" t="n"/>
      <c r="I989" s="52" t="n"/>
      <c r="J989" s="135" t="n"/>
      <c r="K989" s="135" t="n"/>
      <c r="L989" s="50" t="n"/>
    </row>
    <row r="990">
      <c r="B990" s="135" t="n"/>
      <c r="C990" s="50" t="n"/>
      <c r="D990" s="50" t="n"/>
      <c r="E990" s="50" t="n"/>
      <c r="F990" s="50" t="n"/>
      <c r="G990" s="50" t="n"/>
      <c r="H990" s="50" t="n"/>
      <c r="I990" s="52" t="n"/>
      <c r="J990" s="135" t="n"/>
      <c r="K990" s="135" t="n"/>
      <c r="L990" s="50" t="n"/>
    </row>
    <row r="991">
      <c r="B991" s="135" t="n"/>
      <c r="C991" s="50" t="n"/>
      <c r="D991" s="50" t="n"/>
      <c r="E991" s="50" t="n"/>
      <c r="F991" s="50" t="n"/>
      <c r="G991" s="50" t="n"/>
      <c r="H991" s="50" t="n"/>
      <c r="I991" s="52" t="n"/>
      <c r="J991" s="135" t="n"/>
      <c r="K991" s="135" t="n"/>
      <c r="L991" s="50" t="n"/>
    </row>
    <row r="992">
      <c r="B992" s="135" t="n"/>
      <c r="C992" s="50" t="n"/>
      <c r="D992" s="50" t="n"/>
      <c r="E992" s="50" t="n"/>
      <c r="F992" s="50" t="n"/>
      <c r="G992" s="50" t="n"/>
      <c r="H992" s="50" t="n"/>
      <c r="I992" s="52" t="n"/>
      <c r="J992" s="135" t="n"/>
      <c r="K992" s="135" t="n"/>
      <c r="L992" s="50" t="n"/>
    </row>
    <row r="993">
      <c r="B993" s="135" t="n"/>
      <c r="C993" s="50" t="n"/>
      <c r="D993" s="50" t="n"/>
      <c r="E993" s="50" t="n"/>
      <c r="F993" s="50" t="n"/>
      <c r="G993" s="50" t="n"/>
      <c r="H993" s="50" t="n"/>
      <c r="I993" s="52" t="n"/>
      <c r="J993" s="135" t="n"/>
      <c r="K993" s="135" t="n"/>
      <c r="L993" s="50" t="n"/>
    </row>
    <row r="994">
      <c r="B994" s="135" t="n"/>
      <c r="C994" s="50" t="n"/>
      <c r="D994" s="50" t="n"/>
      <c r="E994" s="50" t="n"/>
      <c r="F994" s="50" t="n"/>
      <c r="G994" s="50" t="n"/>
      <c r="H994" s="50" t="n"/>
      <c r="I994" s="52" t="n"/>
      <c r="J994" s="135" t="n"/>
      <c r="K994" s="135" t="n"/>
      <c r="L994" s="50" t="n"/>
    </row>
    <row r="995">
      <c r="B995" s="135" t="n"/>
      <c r="C995" s="50" t="n"/>
      <c r="D995" s="50" t="n"/>
      <c r="E995" s="50" t="n"/>
      <c r="F995" s="50" t="n"/>
      <c r="G995" s="50" t="n"/>
      <c r="H995" s="50" t="n"/>
      <c r="I995" s="52" t="n"/>
      <c r="J995" s="135" t="n"/>
      <c r="K995" s="135" t="n"/>
      <c r="L995" s="50" t="n"/>
    </row>
    <row r="996">
      <c r="B996" s="135" t="n"/>
      <c r="C996" s="50" t="n"/>
      <c r="D996" s="50" t="n"/>
      <c r="E996" s="50" t="n"/>
      <c r="F996" s="50" t="n"/>
      <c r="G996" s="50" t="n"/>
      <c r="H996" s="50" t="n"/>
      <c r="I996" s="52" t="n"/>
      <c r="J996" s="135" t="n"/>
      <c r="K996" s="135" t="n"/>
      <c r="L996" s="50" t="n"/>
    </row>
    <row r="997">
      <c r="B997" s="135" t="n"/>
      <c r="C997" s="50" t="n"/>
      <c r="D997" s="50" t="n"/>
      <c r="E997" s="50" t="n"/>
      <c r="F997" s="50" t="n"/>
      <c r="G997" s="50" t="n"/>
      <c r="H997" s="50" t="n"/>
      <c r="I997" s="52" t="n"/>
      <c r="J997" s="135" t="n"/>
      <c r="K997" s="135" t="n"/>
      <c r="L997" s="50" t="n"/>
    </row>
    <row r="998">
      <c r="B998" s="135" t="n"/>
      <c r="C998" s="50" t="n"/>
      <c r="D998" s="50" t="n"/>
      <c r="E998" s="50" t="n"/>
      <c r="F998" s="50" t="n"/>
      <c r="G998" s="50" t="n"/>
      <c r="H998" s="50" t="n"/>
      <c r="I998" s="52" t="n"/>
      <c r="J998" s="135" t="n"/>
      <c r="K998" s="135" t="n"/>
      <c r="L998" s="50" t="n"/>
    </row>
    <row r="999">
      <c r="B999" s="135" t="n"/>
      <c r="C999" s="50" t="n"/>
      <c r="D999" s="50" t="n"/>
      <c r="E999" s="50" t="n"/>
      <c r="F999" s="50" t="n"/>
      <c r="G999" s="50" t="n"/>
      <c r="H999" s="50" t="n"/>
      <c r="I999" s="52" t="n"/>
      <c r="J999" s="135" t="n"/>
      <c r="K999" s="135" t="n"/>
      <c r="L999" s="50" t="n"/>
    </row>
    <row r="1000">
      <c r="B1000" s="135" t="n"/>
      <c r="C1000" s="50" t="n"/>
      <c r="D1000" s="50" t="n"/>
      <c r="E1000" s="50" t="n"/>
      <c r="F1000" s="50" t="n"/>
      <c r="G1000" s="50" t="n"/>
      <c r="H1000" s="50" t="n"/>
      <c r="I1000" s="52" t="n"/>
      <c r="J1000" s="135" t="n"/>
      <c r="K1000" s="135" t="n"/>
      <c r="L1000" s="50" t="n"/>
    </row>
    <row r="1001">
      <c r="B1001" s="135" t="n"/>
      <c r="C1001" s="50" t="n"/>
      <c r="D1001" s="50" t="n"/>
      <c r="E1001" s="50" t="n"/>
      <c r="F1001" s="50" t="n"/>
      <c r="G1001" s="50" t="n"/>
      <c r="H1001" s="50" t="n"/>
      <c r="I1001" s="52" t="n"/>
      <c r="J1001" s="135" t="n"/>
      <c r="K1001" s="135" t="n"/>
      <c r="L1001" s="50" t="n"/>
    </row>
  </sheetData>
  <mergeCells count="22">
    <mergeCell ref="S11:S12"/>
    <mergeCell ref="M11:M12"/>
    <mergeCell ref="B11:B12"/>
    <mergeCell ref="E7:H7"/>
    <mergeCell ref="D11:D12"/>
    <mergeCell ref="L8:Q8"/>
    <mergeCell ref="J11:L11"/>
    <mergeCell ref="J9:K9"/>
    <mergeCell ref="J6:Q6"/>
    <mergeCell ref="F11:I11"/>
    <mergeCell ref="L9:Q9"/>
    <mergeCell ref="C11:C12"/>
    <mergeCell ref="C9:D9"/>
    <mergeCell ref="E11:E12"/>
    <mergeCell ref="E8:H8"/>
    <mergeCell ref="J7:K7"/>
    <mergeCell ref="O11:O12"/>
    <mergeCell ref="Q11:Q12"/>
    <mergeCell ref="L7:Q7"/>
    <mergeCell ref="E9:H9"/>
    <mergeCell ref="R11:R12"/>
    <mergeCell ref="J8:K8"/>
  </mergeCells>
  <conditionalFormatting sqref="L7">
    <cfRule type="containsText" priority="137" operator="containsText" dxfId="9" text="MENOR O IGUAL A 90">
      <formula>NOT(ISERROR(SEARCH("MENOR O IGUAL A 90",L7)))</formula>
    </cfRule>
  </conditionalFormatting>
  <conditionalFormatting sqref="L8">
    <cfRule type="containsText" priority="136" operator="containsText" dxfId="8" text="MAYOR  A 90 Y MENOR O IGUAL A 150">
      <formula>NOT(ISERROR(SEARCH("MAYOR  A 90 Y MENOR O IGUAL A 150",L8)))</formula>
    </cfRule>
  </conditionalFormatting>
  <conditionalFormatting sqref="L9">
    <cfRule type="containsText" priority="135" operator="containsText" dxfId="7" text="MAYOR A 150">
      <formula>NOT(ISERROR(SEARCH("MAYOR A 150",L9)))</formula>
    </cfRule>
  </conditionalFormatting>
  <conditionalFormatting sqref="M13:M74 O13:O74 Q13:Q74">
    <cfRule type="expression" priority="12" dxfId="211" stopIfTrue="0">
      <formula>AND($D13&lt;&gt;"",$I13=0)</formula>
    </cfRule>
    <cfRule type="expression" priority="13" dxfId="212" stopIfTrue="0">
      <formula>AND($E13="Numerada",$I13&gt;0,M13&lt;8)</formula>
    </cfRule>
    <cfRule type="expression" priority="14" dxfId="213" stopIfTrue="0">
      <formula>AND($E13="Numerada",$I13&gt;0,M13&gt;=8,M13&lt;15)</formula>
    </cfRule>
    <cfRule type="expression" priority="15" dxfId="214" stopIfTrue="0">
      <formula>AND($E13="Numerada",$I13&gt;0,M13&gt;=15)</formula>
    </cfRule>
    <cfRule type="expression" priority="16" dxfId="212" stopIfTrue="0">
      <formula>AND($E13="Blanca",$I13&gt;0,M13&lt;=90)</formula>
    </cfRule>
    <cfRule type="expression" priority="17" dxfId="213" stopIfTrue="0">
      <formula>AND($E13="Blanca",$I13&gt;0,M13&gt;90,M13&lt;=150)</formula>
    </cfRule>
    <cfRule type="expression" priority="18" dxfId="214" stopIfTrue="0">
      <formula>AND($E13="Blanca",$I13&gt;0,M13&gt;150)</formula>
    </cfRule>
  </conditionalFormatting>
  <conditionalFormatting sqref="R13:R74">
    <cfRule type="expression" priority="19" dxfId="211" stopIfTrue="0">
      <formula>$R13="SIN ROTACIÓN"</formula>
    </cfRule>
    <cfRule type="expression" priority="20" dxfId="212" stopIfTrue="0">
      <formula>$R13="CRÍTICO"</formula>
    </cfRule>
    <cfRule type="expression" priority="21" dxfId="213" stopIfTrue="0">
      <formula>$R13="ALERTA"</formula>
    </cfRule>
    <cfRule type="expression" priority="22" dxfId="214" stopIfTrue="0">
      <formula>$R13="OK"</formula>
    </cfRule>
  </conditionalFormatting>
  <conditionalFormatting sqref="S13:S74">
    <cfRule type="expression" priority="23" dxfId="215" stopIfTrue="0">
      <formula>LEFT($S13,8)="PRODUCIR"</formula>
    </cfRule>
  </conditionalFormatting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6">
    <tabColor rgb="FF7030A0"/>
    <outlinePr summaryBelow="1" summaryRight="1"/>
    <pageSetUpPr/>
  </sheetPr>
  <dimension ref="A1:J1259"/>
  <sheetViews>
    <sheetView zoomScaleNormal="100" workbookViewId="0">
      <selection activeCell="J1" sqref="J1"/>
    </sheetView>
  </sheetViews>
  <sheetFormatPr baseColWidth="10" defaultColWidth="11.44140625" defaultRowHeight="10.2"/>
  <cols>
    <col collapsed="1" width="7.109375" bestFit="1" customWidth="1" style="21" min="1" max="1"/>
    <col collapsed="1" width="52.33203125" bestFit="1" customWidth="1" style="21" min="2" max="2"/>
    <col collapsed="1" width="9.44140625" bestFit="1" customWidth="1" style="21" min="3" max="3"/>
    <col collapsed="1" width="4.109375" customWidth="1" style="21" min="4" max="7"/>
    <col collapsed="1" width="10.33203125" customWidth="1" style="21" min="8" max="8"/>
    <col collapsed="1" width="10.44140625" customWidth="1" style="21" min="9" max="9"/>
    <col collapsed="1" width="38.44140625" bestFit="1" customWidth="1" style="21" min="10" max="10"/>
    <col collapsed="1" width="11.44140625" customWidth="1" style="21" min="11" max="11"/>
    <col collapsed="1" width="24.44140625" bestFit="1" customWidth="1" style="21" min="12" max="12"/>
    <col collapsed="1" width="11.44140625" customWidth="1" style="21" min="13" max="16384"/>
  </cols>
  <sheetData>
    <row r="1">
      <c r="A1" s="25" t="inlineStr">
        <is>
          <t>Artículo</t>
        </is>
      </c>
      <c r="B1" s="25" t="inlineStr">
        <is>
          <t>Descripcion Articulo</t>
        </is>
      </c>
      <c r="C1" s="25" t="inlineStr">
        <is>
          <t>Artículo</t>
        </is>
      </c>
      <c r="H1" s="25" t="inlineStr">
        <is>
          <t>PIA</t>
        </is>
      </c>
      <c r="I1" s="25" t="inlineStr">
        <is>
          <t>JANUS</t>
        </is>
      </c>
    </row>
    <row r="2">
      <c r="A2" s="22" t="n">
        <v>1</v>
      </c>
      <c r="B2" s="22" t="inlineStr">
        <is>
          <t>SIMCARD 2FF PREPAGO</t>
        </is>
      </c>
      <c r="C2" s="22" t="n">
        <v>1</v>
      </c>
      <c r="H2" s="22" t="n">
        <v>1598</v>
      </c>
      <c r="I2" s="22" t="n">
        <v>82944</v>
      </c>
      <c r="J2" s="21">
        <f>+VLOOKUP(I2,A:B,2,0)</f>
        <v/>
      </c>
    </row>
    <row r="3">
      <c r="A3" s="22" t="n">
        <v>2</v>
      </c>
      <c r="B3" s="22" t="inlineStr">
        <is>
          <t>SIMCARD 2FF POSTPAGO</t>
        </is>
      </c>
      <c r="C3" s="22" t="n">
        <v>2</v>
      </c>
      <c r="H3" s="22" t="n">
        <v>1599</v>
      </c>
      <c r="I3" s="22" t="n">
        <v>81944</v>
      </c>
      <c r="J3" s="21">
        <f>+VLOOKUP(I3,A:B,2,0)</f>
        <v/>
      </c>
    </row>
    <row r="4">
      <c r="A4" s="22" t="n">
        <v>3</v>
      </c>
      <c r="B4" s="22" t="inlineStr">
        <is>
          <t>GSM ALCATEL 155</t>
        </is>
      </c>
      <c r="C4" s="22" t="n">
        <v>3</v>
      </c>
      <c r="H4" s="22" t="n">
        <v>1600</v>
      </c>
      <c r="I4" s="22" t="n">
        <v>105944</v>
      </c>
      <c r="J4" s="21">
        <f>+VLOOKUP(I4,A:B,2,0)</f>
        <v/>
      </c>
    </row>
    <row r="5">
      <c r="A5" s="22" t="n">
        <v>4</v>
      </c>
      <c r="B5" s="22" t="inlineStr">
        <is>
          <t>GSM ALCATEL 156a</t>
        </is>
      </c>
      <c r="C5" s="22" t="n">
        <v>4</v>
      </c>
      <c r="H5" s="22" t="n">
        <v>1601</v>
      </c>
      <c r="I5" s="22" t="n">
        <v>81944</v>
      </c>
      <c r="J5" s="21">
        <f>+VLOOKUP(I5,A:B,2,0)</f>
        <v/>
      </c>
    </row>
    <row r="6">
      <c r="A6" s="22" t="n">
        <v>5</v>
      </c>
      <c r="B6" s="22" t="inlineStr">
        <is>
          <t>GSM MOTOROLA V172</t>
        </is>
      </c>
      <c r="C6" s="22" t="n">
        <v>5</v>
      </c>
      <c r="H6" s="22" t="n">
        <v>1603</v>
      </c>
      <c r="I6" s="22" t="n">
        <v>82944</v>
      </c>
      <c r="J6" s="21">
        <f>+VLOOKUP(I6,A:B,2,0)</f>
        <v/>
      </c>
    </row>
    <row r="7">
      <c r="A7" s="22" t="n">
        <v>6</v>
      </c>
      <c r="B7" s="22" t="inlineStr">
        <is>
          <t>GSM MOTOROLA C116</t>
        </is>
      </c>
      <c r="C7" s="22" t="n">
        <v>6</v>
      </c>
      <c r="H7" s="22" t="n">
        <v>1604</v>
      </c>
      <c r="I7" s="22" t="n">
        <v>81944</v>
      </c>
      <c r="J7" s="21">
        <f>+VLOOKUP(I7,A:B,2,0)</f>
        <v/>
      </c>
    </row>
    <row r="8">
      <c r="A8" s="22" t="n">
        <v>7</v>
      </c>
      <c r="B8" s="22" t="inlineStr">
        <is>
          <t>GSM MOTOROLA C155</t>
        </is>
      </c>
      <c r="C8" s="22" t="n">
        <v>7</v>
      </c>
      <c r="H8" s="22" t="n">
        <v>1606</v>
      </c>
      <c r="I8" s="22" t="n">
        <v>105944</v>
      </c>
      <c r="J8" s="21">
        <f>+VLOOKUP(I8,A:B,2,0)</f>
        <v/>
      </c>
    </row>
    <row r="9">
      <c r="A9" s="22" t="n">
        <v>8</v>
      </c>
      <c r="B9" s="22" t="inlineStr">
        <is>
          <t>GSM MOTOROLA C650</t>
        </is>
      </c>
      <c r="C9" s="22" t="n">
        <v>8</v>
      </c>
      <c r="H9" s="22" t="n">
        <v>1640</v>
      </c>
      <c r="I9" s="22" t="n">
        <v>105944</v>
      </c>
      <c r="J9" s="21">
        <f>+VLOOKUP(I9,A:B,2,0)</f>
        <v/>
      </c>
    </row>
    <row r="10">
      <c r="A10" s="22" t="n">
        <v>10</v>
      </c>
      <c r="B10" s="22" t="inlineStr">
        <is>
          <t>GSM MOVISTAR 340</t>
        </is>
      </c>
      <c r="C10" s="22" t="n">
        <v>10</v>
      </c>
      <c r="H10" s="22" t="n">
        <v>1648</v>
      </c>
      <c r="I10" s="22" t="n">
        <v>84948</v>
      </c>
      <c r="J10" s="21">
        <f>+VLOOKUP(I10,A:B,2,0)</f>
        <v/>
      </c>
    </row>
    <row r="11">
      <c r="A11" s="22" t="n">
        <v>11</v>
      </c>
      <c r="B11" s="22" t="inlineStr">
        <is>
          <t>TARJETA PREPAGO US$3</t>
        </is>
      </c>
      <c r="C11" s="22" t="n">
        <v>11</v>
      </c>
      <c r="H11" s="22" t="n">
        <v>1649</v>
      </c>
      <c r="I11" s="22" t="n">
        <v>84948</v>
      </c>
      <c r="J11" s="21">
        <f>+VLOOKUP(I11,A:B,2,0)</f>
        <v/>
      </c>
    </row>
    <row r="12">
      <c r="A12" s="22" t="n">
        <v>12</v>
      </c>
      <c r="B12" s="22" t="inlineStr">
        <is>
          <t>GSM NOKIA 2600</t>
        </is>
      </c>
      <c r="C12" s="22" t="n">
        <v>12</v>
      </c>
      <c r="H12" s="22" t="n">
        <v>1651</v>
      </c>
      <c r="I12" s="22" t="n">
        <v>84948</v>
      </c>
      <c r="J12" s="21">
        <f>+VLOOKUP(I12,A:B,2,0)</f>
        <v/>
      </c>
    </row>
    <row r="13">
      <c r="A13" s="22" t="n">
        <v>13</v>
      </c>
      <c r="B13" s="22" t="inlineStr">
        <is>
          <t>GSM NOKIA 2651</t>
        </is>
      </c>
      <c r="C13" s="22" t="n">
        <v>13</v>
      </c>
      <c r="H13" s="22" t="n">
        <v>1652</v>
      </c>
      <c r="I13" s="22" t="n">
        <v>113950</v>
      </c>
      <c r="J13" s="21">
        <f>+VLOOKUP(I13,A:B,2,0)</f>
        <v/>
      </c>
    </row>
    <row r="14">
      <c r="A14" s="22" t="n">
        <v>14</v>
      </c>
      <c r="B14" s="22" t="inlineStr">
        <is>
          <t>GSM NOKIA 3200</t>
        </is>
      </c>
      <c r="C14" s="22" t="n">
        <v>14</v>
      </c>
      <c r="H14" s="22" t="n">
        <v>1692</v>
      </c>
      <c r="I14" s="22" t="n">
        <v>113950</v>
      </c>
      <c r="J14" s="21">
        <f>+VLOOKUP(I14,A:B,2,0)</f>
        <v/>
      </c>
    </row>
    <row r="15">
      <c r="A15" s="22" t="n">
        <v>15</v>
      </c>
      <c r="B15" s="22" t="inlineStr">
        <is>
          <t>GSM NOKIA 3220</t>
        </is>
      </c>
      <c r="C15" s="22" t="n">
        <v>15</v>
      </c>
      <c r="H15" s="22" t="n">
        <v>1807</v>
      </c>
      <c r="I15" s="22" t="n">
        <v>84948</v>
      </c>
      <c r="J15" s="21">
        <f>+VLOOKUP(I15,A:B,2,0)</f>
        <v/>
      </c>
    </row>
    <row r="16">
      <c r="A16" s="22" t="n">
        <v>18</v>
      </c>
      <c r="B16" s="22" t="inlineStr">
        <is>
          <t>TARJETA PREPAGO US$6</t>
        </is>
      </c>
      <c r="C16" s="22" t="n">
        <v>18</v>
      </c>
      <c r="H16" s="22" t="n">
        <v>1808</v>
      </c>
      <c r="I16" s="22" t="n">
        <v>82944</v>
      </c>
      <c r="J16" s="21">
        <f>+VLOOKUP(I16,A:B,2,0)</f>
        <v/>
      </c>
    </row>
    <row r="17">
      <c r="A17" s="22" t="n">
        <v>19</v>
      </c>
      <c r="B17" s="22" t="inlineStr">
        <is>
          <t>TARJETA PREPAGO US$10</t>
        </is>
      </c>
      <c r="C17" s="22" t="n">
        <v>19</v>
      </c>
      <c r="H17" s="22" t="n">
        <v>1886</v>
      </c>
      <c r="I17" s="22" t="n">
        <v>84948</v>
      </c>
      <c r="J17" s="21">
        <f>+VLOOKUP(I17,A:B,2,0)</f>
        <v/>
      </c>
    </row>
    <row r="18">
      <c r="A18" s="22" t="n">
        <v>20</v>
      </c>
      <c r="B18" s="22" t="inlineStr">
        <is>
          <t>TARJETA PREPAGO US$15</t>
        </is>
      </c>
      <c r="C18" s="22" t="n">
        <v>20</v>
      </c>
      <c r="H18" s="22" t="n">
        <v>1887</v>
      </c>
      <c r="I18" s="22" t="n">
        <v>98948</v>
      </c>
      <c r="J18" s="21">
        <f>+VLOOKUP(I18,A:B,2,0)</f>
        <v/>
      </c>
    </row>
    <row r="19">
      <c r="A19" s="22" t="n">
        <v>21</v>
      </c>
      <c r="B19" s="22" t="inlineStr">
        <is>
          <t>TARJETA PREPAGO US$20</t>
        </is>
      </c>
      <c r="C19" s="22" t="n">
        <v>21</v>
      </c>
      <c r="H19" s="22" t="n">
        <v>1888</v>
      </c>
      <c r="I19" s="22" t="n">
        <v>140948</v>
      </c>
      <c r="J19" s="21">
        <f>+VLOOKUP(I19,A:B,2,0)</f>
        <v/>
      </c>
    </row>
    <row r="20">
      <c r="A20" s="22" t="n">
        <v>23</v>
      </c>
      <c r="B20" s="22" t="inlineStr">
        <is>
          <t>LISTO PACK GSM ALCATEL 155</t>
        </is>
      </c>
      <c r="C20" s="22" t="n">
        <v>23</v>
      </c>
      <c r="H20" s="22" t="n">
        <v>1889</v>
      </c>
      <c r="I20" s="22" t="n">
        <v>105944</v>
      </c>
      <c r="J20" s="21">
        <f>+VLOOKUP(I20,A:B,2,0)</f>
        <v/>
      </c>
    </row>
    <row r="21">
      <c r="A21" s="22" t="n">
        <v>24</v>
      </c>
      <c r="B21" s="22" t="inlineStr">
        <is>
          <t>LISTO PACK GSM ALCATEL 156a</t>
        </is>
      </c>
      <c r="C21" s="22" t="n">
        <v>24</v>
      </c>
      <c r="H21" s="22" t="n">
        <v>1891</v>
      </c>
      <c r="I21" s="22" t="n">
        <v>105944</v>
      </c>
      <c r="J21" s="21">
        <f>+VLOOKUP(I21,A:B,2,0)</f>
        <v/>
      </c>
    </row>
    <row r="22">
      <c r="A22" s="22" t="n">
        <v>25</v>
      </c>
      <c r="B22" s="22" t="inlineStr">
        <is>
          <t>LISTO PACK GSM MOTOROLA V172</t>
        </is>
      </c>
      <c r="C22" s="22" t="n">
        <v>25</v>
      </c>
      <c r="H22" s="22" t="n">
        <v>1892</v>
      </c>
      <c r="I22" s="22" t="n">
        <v>82944</v>
      </c>
      <c r="J22" s="21">
        <f>+VLOOKUP(I22,A:B,2,0)</f>
        <v/>
      </c>
    </row>
    <row r="23">
      <c r="A23" s="22" t="n">
        <v>26</v>
      </c>
      <c r="B23" s="22" t="inlineStr">
        <is>
          <t>LISTO PACK GSM MOTOROLA C116</t>
        </is>
      </c>
      <c r="C23" s="22" t="n">
        <v>26</v>
      </c>
      <c r="H23" s="22" t="n">
        <v>1949</v>
      </c>
      <c r="I23" s="22" t="n">
        <v>105944</v>
      </c>
      <c r="J23" s="21">
        <f>+VLOOKUP(I23,A:B,2,0)</f>
        <v/>
      </c>
    </row>
    <row r="24">
      <c r="A24" s="22" t="n">
        <v>27</v>
      </c>
      <c r="B24" s="22" t="inlineStr">
        <is>
          <t>LISTO PACK GSM MOTOROLA C155</t>
        </is>
      </c>
      <c r="C24" s="22" t="n">
        <v>27</v>
      </c>
      <c r="H24" s="22" t="n">
        <v>2058</v>
      </c>
      <c r="I24" s="22" t="n">
        <v>1534</v>
      </c>
      <c r="J24" s="21">
        <f>+VLOOKUP(I24,A:B,2,0)</f>
        <v/>
      </c>
    </row>
    <row r="25">
      <c r="A25" s="22" t="n">
        <v>28</v>
      </c>
      <c r="B25" s="22" t="inlineStr">
        <is>
          <t>LISTO PACK GSM MOTOROLA C650</t>
        </is>
      </c>
      <c r="C25" s="22" t="n">
        <v>28</v>
      </c>
      <c r="H25" s="22" t="n">
        <v>1485</v>
      </c>
      <c r="I25" s="22" t="n">
        <v>714</v>
      </c>
      <c r="J25" s="21">
        <f>+VLOOKUP(I25,A:B,2,0)</f>
        <v/>
      </c>
    </row>
    <row r="26">
      <c r="A26" s="22" t="n">
        <v>31</v>
      </c>
      <c r="B26" s="22" t="inlineStr">
        <is>
          <t>GSM SIEMENS C66</t>
        </is>
      </c>
      <c r="C26" s="22" t="n">
        <v>31</v>
      </c>
      <c r="H26" s="22" t="n">
        <v>1593</v>
      </c>
      <c r="I26" s="22" t="n">
        <v>98948</v>
      </c>
      <c r="J26" s="21">
        <f>+VLOOKUP(I26,A:B,2,0)</f>
        <v/>
      </c>
    </row>
    <row r="27">
      <c r="A27" s="22" t="n">
        <v>32</v>
      </c>
      <c r="B27" s="22" t="inlineStr">
        <is>
          <t>LISTO PACK GSM NOKIA 2600</t>
        </is>
      </c>
      <c r="C27" s="22" t="n">
        <v>32</v>
      </c>
      <c r="H27" s="22" t="n">
        <v>1645</v>
      </c>
      <c r="I27" s="22" t="n">
        <v>98948</v>
      </c>
      <c r="J27" s="21">
        <f>+VLOOKUP(I27,A:B,2,0)</f>
        <v/>
      </c>
    </row>
    <row r="28">
      <c r="A28" s="22" t="n">
        <v>33</v>
      </c>
      <c r="B28" s="22" t="inlineStr">
        <is>
          <t>LISTO PACK GSM NOKIA 2651</t>
        </is>
      </c>
      <c r="C28" s="22" t="n">
        <v>33</v>
      </c>
      <c r="H28" s="22" t="n">
        <v>1653</v>
      </c>
      <c r="I28" s="22" t="n">
        <v>84948</v>
      </c>
      <c r="J28" s="21">
        <f>+VLOOKUP(I28,A:B,2,0)</f>
        <v/>
      </c>
    </row>
    <row r="29">
      <c r="A29" s="22" t="n">
        <v>34</v>
      </c>
      <c r="B29" s="22" t="inlineStr">
        <is>
          <t>LISTO PACK GSM NOKIA 3200</t>
        </is>
      </c>
      <c r="C29" s="22" t="n">
        <v>34</v>
      </c>
      <c r="H29" s="22" t="n">
        <v>1674</v>
      </c>
      <c r="I29" s="22" t="n">
        <v>96946</v>
      </c>
      <c r="J29" s="21">
        <f>+VLOOKUP(I29,A:B,2,0)</f>
        <v/>
      </c>
    </row>
    <row r="30">
      <c r="A30" s="22" t="n">
        <v>35</v>
      </c>
      <c r="B30" s="22" t="inlineStr">
        <is>
          <t>LISTO PACK GSM NOKIA 3220</t>
        </is>
      </c>
      <c r="C30" s="22" t="n">
        <v>35</v>
      </c>
      <c r="H30" s="22" t="n">
        <v>2324</v>
      </c>
      <c r="I30" s="22" t="e">
        <v>#N/A</v>
      </c>
      <c r="J30" s="21">
        <f>+VLOOKUP(I30,A:B,2,0)</f>
        <v/>
      </c>
    </row>
    <row r="31">
      <c r="A31" s="22" t="n">
        <v>51</v>
      </c>
      <c r="B31" s="22" t="inlineStr">
        <is>
          <t>LISTO PACK GSM SIEMENS C66</t>
        </is>
      </c>
      <c r="C31" s="22" t="n">
        <v>51</v>
      </c>
      <c r="H31" s="22" t="n">
        <v>1337</v>
      </c>
      <c r="I31" s="22" t="n">
        <v>1534</v>
      </c>
      <c r="J31" s="21">
        <f>+VLOOKUP(I31,A:B,2,0)</f>
        <v/>
      </c>
    </row>
    <row r="32">
      <c r="A32" s="22" t="n">
        <v>52</v>
      </c>
      <c r="B32" s="22" t="inlineStr">
        <is>
          <t>GSM NOKIA 1108</t>
        </is>
      </c>
      <c r="C32" s="22" t="n">
        <v>52</v>
      </c>
      <c r="H32" s="22" t="n">
        <v>1398</v>
      </c>
      <c r="I32" s="22" t="n">
        <v>1534</v>
      </c>
      <c r="J32" s="21">
        <f>+VLOOKUP(I32,A:B,2,0)</f>
        <v/>
      </c>
    </row>
    <row r="33">
      <c r="A33" s="22" t="n">
        <v>53</v>
      </c>
      <c r="B33" s="22" t="inlineStr">
        <is>
          <t>GSM MOVISTAR 110</t>
        </is>
      </c>
      <c r="C33" s="22" t="n">
        <v>53</v>
      </c>
      <c r="H33" s="22" t="n">
        <v>1399</v>
      </c>
      <c r="I33" s="22" t="n">
        <v>1534</v>
      </c>
      <c r="J33" s="21">
        <f>+VLOOKUP(I33,A:B,2,0)</f>
        <v/>
      </c>
    </row>
    <row r="34">
      <c r="A34" s="22" t="n">
        <v>54</v>
      </c>
      <c r="B34" s="22" t="inlineStr">
        <is>
          <t>LISTO PACK GSM NOKIA 1108</t>
        </is>
      </c>
      <c r="C34" s="22" t="n">
        <v>54</v>
      </c>
      <c r="H34" s="22" t="n">
        <v>1483</v>
      </c>
      <c r="I34" s="22" t="n">
        <v>82944</v>
      </c>
      <c r="J34" s="21">
        <f>+VLOOKUP(I34,A:B,2,0)</f>
        <v/>
      </c>
    </row>
    <row r="35">
      <c r="A35" s="22" t="n">
        <v>55</v>
      </c>
      <c r="B35" s="22" t="inlineStr">
        <is>
          <t>TARJETA TELEFONIA PUBLICA US$3</t>
        </is>
      </c>
      <c r="C35" s="22" t="n">
        <v>55</v>
      </c>
      <c r="H35" s="22" t="n">
        <v>1605</v>
      </c>
      <c r="I35" s="22" t="n">
        <v>105944</v>
      </c>
      <c r="J35" s="21">
        <f>+VLOOKUP(I35,A:B,2,0)</f>
        <v/>
      </c>
    </row>
    <row r="36">
      <c r="A36" s="22" t="n">
        <v>56</v>
      </c>
      <c r="B36" s="22" t="inlineStr">
        <is>
          <t>TARJETA TELEFONIA PUBLICA US$5</t>
        </is>
      </c>
      <c r="C36" s="22" t="n">
        <v>56</v>
      </c>
      <c r="H36" s="22" t="n">
        <v>2396</v>
      </c>
      <c r="I36" s="22" t="n">
        <v>113950</v>
      </c>
      <c r="J36" s="21">
        <f>+VLOOKUP(I36,A:B,2,0)</f>
        <v/>
      </c>
    </row>
    <row r="37">
      <c r="A37" s="22" t="n">
        <v>58</v>
      </c>
      <c r="B37" s="22" t="inlineStr">
        <is>
          <t>TARJETA TELEFONIA SEMIPUBLICA US$20</t>
        </is>
      </c>
      <c r="C37" s="22" t="n">
        <v>58</v>
      </c>
      <c r="H37" s="22" t="n">
        <v>2400</v>
      </c>
      <c r="I37" s="22" t="n">
        <v>113950</v>
      </c>
      <c r="J37" s="21">
        <f>+VLOOKUP(I37,A:B,2,0)</f>
        <v/>
      </c>
    </row>
    <row r="38">
      <c r="A38" s="22" t="n">
        <v>62</v>
      </c>
      <c r="B38" s="22" t="inlineStr">
        <is>
          <t>LISTO PACK GSM MOVISTAR 110</t>
        </is>
      </c>
      <c r="C38" s="22" t="n">
        <v>62</v>
      </c>
      <c r="H38" s="22" t="n">
        <v>2416</v>
      </c>
      <c r="I38" s="22" t="n">
        <v>113950</v>
      </c>
      <c r="J38" s="21">
        <f>+VLOOKUP(I38,A:B,2,0)</f>
        <v/>
      </c>
    </row>
    <row r="39">
      <c r="A39" s="22" t="n">
        <v>66</v>
      </c>
      <c r="B39" s="22" t="inlineStr">
        <is>
          <t>GSM NOKIA 6230</t>
        </is>
      </c>
      <c r="C39" s="22" t="n">
        <v>66</v>
      </c>
      <c r="H39" s="23" t="n">
        <v>2397</v>
      </c>
      <c r="I39" s="22" t="n">
        <v>113950</v>
      </c>
      <c r="J39" s="21">
        <f>+VLOOKUP(I39,A:B,2,0)</f>
        <v/>
      </c>
    </row>
    <row r="40">
      <c r="A40" s="22" t="n">
        <v>67</v>
      </c>
      <c r="B40" s="22" t="inlineStr">
        <is>
          <t>LISTO PACK GSM NOKIA 6230</t>
        </is>
      </c>
      <c r="C40" s="22" t="n">
        <v>67</v>
      </c>
      <c r="H40" s="22" t="n">
        <v>2401</v>
      </c>
      <c r="I40" s="22" t="n">
        <v>113950</v>
      </c>
      <c r="J40" s="21">
        <f>+VLOOKUP(I40,A:B,2,0)</f>
        <v/>
      </c>
    </row>
    <row r="41">
      <c r="A41" s="22" t="n">
        <v>68</v>
      </c>
      <c r="B41" s="22" t="inlineStr">
        <is>
          <t>GSM MOTOROLA V3 SILVER</t>
        </is>
      </c>
      <c r="C41" s="22" t="n">
        <v>68</v>
      </c>
      <c r="H41" s="22" t="n">
        <v>2398</v>
      </c>
      <c r="I41" s="22" t="n">
        <v>113950</v>
      </c>
      <c r="J41" s="21">
        <f>+VLOOKUP(I41,A:B,2,0)</f>
        <v/>
      </c>
    </row>
    <row r="42">
      <c r="A42" s="22" t="n">
        <v>69</v>
      </c>
      <c r="B42" s="22" t="inlineStr">
        <is>
          <t>GSM SONY ERICSSON T290</t>
        </is>
      </c>
      <c r="C42" s="22" t="n">
        <v>69</v>
      </c>
      <c r="H42" s="22" t="n">
        <v>2402</v>
      </c>
      <c r="I42" s="22" t="n">
        <v>113950</v>
      </c>
      <c r="J42" s="21">
        <f>+VLOOKUP(I42,A:B,2,0)</f>
        <v/>
      </c>
    </row>
    <row r="43">
      <c r="A43" s="22" t="n">
        <v>70</v>
      </c>
      <c r="B43" s="22" t="inlineStr">
        <is>
          <t>LISTO PACK GSM SONY ERICSSON T290</t>
        </is>
      </c>
      <c r="C43" s="22" t="n">
        <v>70</v>
      </c>
      <c r="H43" s="22" t="n">
        <v>2399</v>
      </c>
      <c r="I43" s="22" t="n">
        <v>113950</v>
      </c>
      <c r="J43" s="21">
        <f>+VLOOKUP(I43,A:B,2,0)</f>
        <v/>
      </c>
    </row>
    <row r="44">
      <c r="A44" s="22" t="n">
        <v>71</v>
      </c>
      <c r="B44" s="22" t="inlineStr">
        <is>
          <t>GSM SIEMENS A71</t>
        </is>
      </c>
      <c r="C44" s="22" t="n">
        <v>71</v>
      </c>
      <c r="H44" s="22" t="n">
        <v>2403</v>
      </c>
      <c r="I44" s="22" t="n">
        <v>113950</v>
      </c>
      <c r="J44" s="21">
        <f>+VLOOKUP(I44,A:B,2,0)</f>
        <v/>
      </c>
    </row>
    <row r="45">
      <c r="A45" s="22" t="n">
        <v>72</v>
      </c>
      <c r="B45" s="22" t="inlineStr">
        <is>
          <t>LISTO PACK GSM SIEMENS A71</t>
        </is>
      </c>
      <c r="C45" s="22" t="n">
        <v>72</v>
      </c>
      <c r="H45" s="22" t="n">
        <v>2511</v>
      </c>
      <c r="I45" s="22" t="n">
        <v>113950</v>
      </c>
      <c r="J45" s="21">
        <f>+VLOOKUP(I45,A:B,2,0)</f>
        <v/>
      </c>
    </row>
    <row r="46">
      <c r="A46" s="22" t="n">
        <v>73</v>
      </c>
      <c r="B46" s="22" t="inlineStr">
        <is>
          <t>GSM MOTOROLA V3 BLACK EXEC</t>
        </is>
      </c>
      <c r="C46" s="22" t="n">
        <v>73</v>
      </c>
      <c r="H46" s="22" t="n">
        <v>2539</v>
      </c>
      <c r="I46" s="22" t="n">
        <v>1534</v>
      </c>
      <c r="J46" s="21">
        <f>+VLOOKUP(I46,A:B,2,0)</f>
        <v/>
      </c>
    </row>
    <row r="47">
      <c r="A47" s="22" t="n">
        <v>74</v>
      </c>
      <c r="B47" s="22" t="inlineStr">
        <is>
          <t>GSM SIEMENS CF76</t>
        </is>
      </c>
      <c r="C47" s="22" t="n">
        <v>74</v>
      </c>
      <c r="H47" s="22" t="n">
        <v>2540</v>
      </c>
      <c r="I47" s="22" t="n">
        <v>1534</v>
      </c>
      <c r="J47" s="21">
        <f>+VLOOKUP(I47,A:B,2,0)</f>
        <v/>
      </c>
    </row>
    <row r="48">
      <c r="A48" s="22" t="n">
        <v>75</v>
      </c>
      <c r="B48" s="22" t="inlineStr">
        <is>
          <t>LISTO PACK GSM SIEMENS CF76</t>
        </is>
      </c>
      <c r="C48" s="22" t="n">
        <v>75</v>
      </c>
      <c r="H48" s="22" t="n">
        <v>2541</v>
      </c>
      <c r="I48" s="22" t="n">
        <v>1534</v>
      </c>
      <c r="J48" s="21">
        <f>+VLOOKUP(I48,A:B,2,0)</f>
        <v/>
      </c>
    </row>
    <row r="49">
      <c r="A49" s="22" t="n">
        <v>77</v>
      </c>
      <c r="B49" s="22" t="inlineStr">
        <is>
          <t>GSM SONY ERICSSON K300</t>
        </is>
      </c>
      <c r="C49" s="22" t="n">
        <v>77</v>
      </c>
      <c r="H49" s="22" t="n">
        <v>2597</v>
      </c>
      <c r="I49" s="22" t="n">
        <v>162047</v>
      </c>
      <c r="J49" s="21">
        <f>+VLOOKUP(I49,A:B,2,0)</f>
        <v/>
      </c>
    </row>
    <row r="50">
      <c r="A50" s="22" t="n">
        <v>78</v>
      </c>
      <c r="B50" s="22" t="inlineStr">
        <is>
          <t>LISTO PACK GSM SONY ERICSSON K300</t>
        </is>
      </c>
      <c r="C50" s="22" t="n">
        <v>78</v>
      </c>
      <c r="H50" s="22" t="n">
        <v>2665</v>
      </c>
      <c r="I50" s="22" t="n">
        <v>162046</v>
      </c>
      <c r="J50" s="21">
        <f>+VLOOKUP(I50,A:B,2,0)</f>
        <v/>
      </c>
    </row>
    <row r="51">
      <c r="A51" s="22" t="n">
        <v>79</v>
      </c>
      <c r="B51" s="22" t="inlineStr">
        <is>
          <t>GSM SONY ERICSSON P910A</t>
        </is>
      </c>
      <c r="C51" s="22" t="n">
        <v>79</v>
      </c>
      <c r="H51" s="22" t="n">
        <v>2666</v>
      </c>
      <c r="I51" s="22" t="n">
        <v>162048</v>
      </c>
      <c r="J51" s="21">
        <f>+VLOOKUP(I51,A:B,2,0)</f>
        <v/>
      </c>
    </row>
    <row r="52">
      <c r="A52" s="22" t="n">
        <v>81</v>
      </c>
      <c r="B52" s="22" t="inlineStr">
        <is>
          <t>VIRT GSM ALCATEL 155</t>
        </is>
      </c>
      <c r="C52" s="22" t="n">
        <v>81</v>
      </c>
      <c r="H52" s="22" t="n">
        <v>2731</v>
      </c>
      <c r="I52" s="22" t="n">
        <v>162053</v>
      </c>
      <c r="J52" s="21">
        <f>+VLOOKUP(I52,A:B,2,0)</f>
        <v/>
      </c>
    </row>
    <row r="53">
      <c r="A53" s="22" t="n">
        <v>82</v>
      </c>
      <c r="B53" s="22" t="inlineStr">
        <is>
          <t>VIRT GSM ALCATEL 156A</t>
        </is>
      </c>
      <c r="C53" s="22" t="n">
        <v>82</v>
      </c>
      <c r="H53" s="22" t="n">
        <v>2732</v>
      </c>
      <c r="I53" s="22" t="n">
        <v>162054</v>
      </c>
      <c r="J53" s="21">
        <f>+VLOOKUP(I53,A:B,2,0)</f>
        <v/>
      </c>
    </row>
    <row r="54">
      <c r="A54" s="22" t="n">
        <v>83</v>
      </c>
      <c r="B54" s="22" t="inlineStr">
        <is>
          <t>VIRT GSM MOTOROLA V172</t>
        </is>
      </c>
      <c r="C54" s="22" t="n">
        <v>83</v>
      </c>
      <c r="H54" s="22" t="n">
        <v>2737</v>
      </c>
      <c r="I54" s="22" t="n">
        <v>162054</v>
      </c>
      <c r="J54" s="21">
        <f>+VLOOKUP(I54,A:B,2,0)</f>
        <v/>
      </c>
    </row>
    <row r="55">
      <c r="A55" s="22" t="n">
        <v>84</v>
      </c>
      <c r="B55" s="22" t="inlineStr">
        <is>
          <t>VIRT GSM MOTOROLA C116</t>
        </is>
      </c>
      <c r="C55" s="22" t="n">
        <v>84</v>
      </c>
      <c r="H55" s="22" t="n">
        <v>2761</v>
      </c>
      <c r="I55" s="22" t="n">
        <v>162082</v>
      </c>
      <c r="J55" s="21">
        <f>+VLOOKUP(I55,A:B,2,0)</f>
        <v/>
      </c>
    </row>
    <row r="56">
      <c r="A56" s="22" t="n">
        <v>85</v>
      </c>
      <c r="B56" s="22" t="inlineStr">
        <is>
          <t>VIRT GSM MOTOROLA C155</t>
        </is>
      </c>
      <c r="C56" s="22" t="n">
        <v>85</v>
      </c>
      <c r="H56" s="22" t="n">
        <v>2762</v>
      </c>
      <c r="I56" s="22" t="n">
        <v>162083</v>
      </c>
      <c r="J56" s="21">
        <f>+VLOOKUP(I56,A:B,2,0)</f>
        <v/>
      </c>
    </row>
    <row r="57">
      <c r="A57" s="22" t="n">
        <v>86</v>
      </c>
      <c r="B57" s="22" t="inlineStr">
        <is>
          <t>VIRT GSM MOTOROLA C650</t>
        </is>
      </c>
      <c r="C57" s="22" t="n">
        <v>86</v>
      </c>
      <c r="H57" s="22" t="n">
        <v>2763</v>
      </c>
      <c r="I57" s="22" t="n">
        <v>162084</v>
      </c>
      <c r="J57" s="21">
        <f>+VLOOKUP(I57,A:B,2,0)</f>
        <v/>
      </c>
    </row>
    <row r="58">
      <c r="A58" s="22" t="n">
        <v>89</v>
      </c>
      <c r="B58" s="22" t="inlineStr">
        <is>
          <t>VIRT GSM NOKIA 2600</t>
        </is>
      </c>
      <c r="C58" s="22" t="n">
        <v>89</v>
      </c>
      <c r="H58" s="22" t="n">
        <v>2764</v>
      </c>
      <c r="I58" s="22" t="n">
        <v>162085</v>
      </c>
      <c r="J58" s="21">
        <f>+VLOOKUP(I58,A:B,2,0)</f>
        <v/>
      </c>
    </row>
    <row r="59">
      <c r="A59" s="22" t="n">
        <v>90</v>
      </c>
      <c r="B59" s="22" t="inlineStr">
        <is>
          <t>VIRT GSM NOKIA 2651</t>
        </is>
      </c>
      <c r="C59" s="22" t="n">
        <v>90</v>
      </c>
      <c r="H59" s="22" t="n">
        <v>2765</v>
      </c>
      <c r="I59" s="22" t="n">
        <v>162086</v>
      </c>
      <c r="J59" s="21">
        <f>+VLOOKUP(I59,A:B,2,0)</f>
        <v/>
      </c>
    </row>
    <row r="60">
      <c r="A60" s="22" t="n">
        <v>91</v>
      </c>
      <c r="B60" s="22" t="inlineStr">
        <is>
          <t>VIRT GSM NOKIA 3200</t>
        </is>
      </c>
      <c r="C60" s="22" t="n">
        <v>91</v>
      </c>
      <c r="H60" s="27" t="n">
        <v>2746</v>
      </c>
      <c r="I60" s="27" t="n">
        <v>162114</v>
      </c>
      <c r="J60" s="21">
        <f>+VLOOKUP(I60,A:B,2,0)</f>
        <v/>
      </c>
    </row>
    <row r="61">
      <c r="A61" s="22" t="n">
        <v>92</v>
      </c>
      <c r="B61" s="22" t="inlineStr">
        <is>
          <t>VIRT GSM NOKIA 3220</t>
        </is>
      </c>
      <c r="C61" s="22" t="n">
        <v>92</v>
      </c>
      <c r="H61" s="22" t="n">
        <v>2750</v>
      </c>
      <c r="I61" s="22" t="n">
        <v>2750</v>
      </c>
      <c r="J61" s="21">
        <f>+VLOOKUP(I61,A:B,2,0)</f>
        <v/>
      </c>
    </row>
    <row r="62">
      <c r="A62" s="22" t="n">
        <v>94</v>
      </c>
      <c r="B62" s="22" t="inlineStr">
        <is>
          <t>VIRT GSM SIEMENS C66</t>
        </is>
      </c>
      <c r="C62" s="22" t="n">
        <v>94</v>
      </c>
      <c r="H62" s="22" t="n">
        <v>2751</v>
      </c>
      <c r="I62" s="22" t="n">
        <v>2751</v>
      </c>
      <c r="J62" s="21">
        <f>+VLOOKUP(I62,A:B,2,0)</f>
        <v/>
      </c>
    </row>
    <row r="63">
      <c r="A63" s="22" t="n">
        <v>95</v>
      </c>
      <c r="B63" s="22" t="inlineStr">
        <is>
          <t>VIRT GSM NOKIA 1108</t>
        </is>
      </c>
      <c r="C63" s="22" t="n">
        <v>95</v>
      </c>
      <c r="H63" s="22" t="n">
        <v>2752</v>
      </c>
      <c r="I63" s="22" t="n">
        <v>2752</v>
      </c>
      <c r="J63" s="21">
        <f>+VLOOKUP(I63,A:B,2,0)</f>
        <v/>
      </c>
    </row>
    <row r="64">
      <c r="A64" s="22" t="n">
        <v>96</v>
      </c>
      <c r="B64" s="22" t="inlineStr">
        <is>
          <t>VIRT GSM MOVISTAR 110</t>
        </is>
      </c>
      <c r="C64" s="22" t="n">
        <v>96</v>
      </c>
      <c r="H64" s="27" t="n">
        <v>2745</v>
      </c>
      <c r="I64" s="27" t="n">
        <v>162113</v>
      </c>
      <c r="J64" s="21">
        <f>+VLOOKUP(I64,A:B,2,0)</f>
        <v/>
      </c>
    </row>
    <row r="65">
      <c r="A65" s="22" t="n">
        <v>97</v>
      </c>
      <c r="B65" s="22" t="inlineStr">
        <is>
          <t>VIRT GSM NOKIA 6230</t>
        </is>
      </c>
      <c r="C65" s="22" t="n">
        <v>97</v>
      </c>
      <c r="H65" s="22" t="n">
        <v>2747</v>
      </c>
      <c r="I65" s="22" t="n">
        <v>2747</v>
      </c>
      <c r="J65" s="21">
        <f>+VLOOKUP(I65,A:B,2,0)</f>
        <v/>
      </c>
    </row>
    <row r="66">
      <c r="A66" s="22" t="n">
        <v>98</v>
      </c>
      <c r="B66" s="22" t="inlineStr">
        <is>
          <t>VIRT GSM MOTOROLA V3 SILVER</t>
        </is>
      </c>
      <c r="C66" s="22" t="n">
        <v>98</v>
      </c>
      <c r="H66" s="22" t="n">
        <v>2748</v>
      </c>
      <c r="I66" s="22" t="n">
        <v>2748</v>
      </c>
      <c r="J66" s="21">
        <f>+VLOOKUP(I66,A:B,2,0)</f>
        <v/>
      </c>
    </row>
    <row r="67">
      <c r="A67" s="22" t="n">
        <v>99</v>
      </c>
      <c r="B67" s="22" t="inlineStr">
        <is>
          <t>VIRT GSM SONY ERICSSON T290</t>
        </is>
      </c>
      <c r="C67" s="22" t="n">
        <v>99</v>
      </c>
      <c r="H67" s="22" t="n">
        <v>2749</v>
      </c>
      <c r="I67" s="22" t="n">
        <v>2749</v>
      </c>
      <c r="J67" s="21">
        <f>+VLOOKUP(I67,A:B,2,0)</f>
        <v/>
      </c>
    </row>
    <row r="68">
      <c r="A68" s="22" t="n">
        <v>100</v>
      </c>
      <c r="B68" s="22" t="inlineStr">
        <is>
          <t>VIRT GSM SIEMENS A71</t>
        </is>
      </c>
      <c r="C68" s="22" t="n">
        <v>100</v>
      </c>
      <c r="H68" s="22" t="n">
        <v>2801</v>
      </c>
      <c r="I68" s="22" t="n">
        <v>162089</v>
      </c>
      <c r="J68" s="21">
        <f>+VLOOKUP(I68,A:B,2,0)</f>
        <v/>
      </c>
    </row>
    <row r="69">
      <c r="A69" s="22" t="n">
        <v>101</v>
      </c>
      <c r="B69" s="22" t="inlineStr">
        <is>
          <t>VIRT GSM MOTOROLA V3 BLACK EXEC</t>
        </is>
      </c>
      <c r="C69" s="22" t="n">
        <v>101</v>
      </c>
      <c r="H69" s="22" t="n">
        <v>2802</v>
      </c>
      <c r="I69" s="22" t="n">
        <v>162090</v>
      </c>
      <c r="J69" s="21">
        <f>+VLOOKUP(I69,A:B,2,0)</f>
        <v/>
      </c>
    </row>
    <row r="70">
      <c r="A70" s="22" t="n">
        <v>102</v>
      </c>
      <c r="B70" s="22" t="inlineStr">
        <is>
          <t>VIRT GSM SIEMENS CF76</t>
        </is>
      </c>
      <c r="C70" s="22" t="n">
        <v>102</v>
      </c>
      <c r="H70" s="22" t="n">
        <v>2803</v>
      </c>
      <c r="I70" s="22" t="n">
        <v>162091</v>
      </c>
      <c r="J70" s="21">
        <f>+VLOOKUP(I70,A:B,2,0)</f>
        <v/>
      </c>
    </row>
    <row r="71">
      <c r="A71" s="22" t="n">
        <v>103</v>
      </c>
      <c r="B71" s="22" t="inlineStr">
        <is>
          <t>VIRT GSM SONY ERICSSON K300</t>
        </is>
      </c>
      <c r="C71" s="22" t="n">
        <v>103</v>
      </c>
      <c r="H71" s="22" t="n">
        <v>2804</v>
      </c>
      <c r="I71" s="22" t="n">
        <v>162092</v>
      </c>
      <c r="J71" s="21">
        <f>+VLOOKUP(I71,A:B,2,0)</f>
        <v/>
      </c>
    </row>
    <row r="72">
      <c r="A72" s="22" t="n">
        <v>104</v>
      </c>
      <c r="B72" s="22" t="inlineStr">
        <is>
          <t>VIRT GSM SONY ERICSSON P910A</t>
        </is>
      </c>
      <c r="C72" s="22" t="n">
        <v>104</v>
      </c>
    </row>
    <row r="73">
      <c r="A73" s="22" t="n">
        <v>105</v>
      </c>
      <c r="B73" s="22" t="inlineStr">
        <is>
          <t>GSM SIEMENS A76</t>
        </is>
      </c>
      <c r="C73" s="22" t="n">
        <v>105</v>
      </c>
    </row>
    <row r="74">
      <c r="A74" s="22" t="n">
        <v>106</v>
      </c>
      <c r="B74" s="22" t="inlineStr">
        <is>
          <t>LISTO PACK GSM SIEMENS A76</t>
        </is>
      </c>
      <c r="C74" s="22" t="n">
        <v>106</v>
      </c>
    </row>
    <row r="75">
      <c r="A75" s="22" t="n">
        <v>107</v>
      </c>
      <c r="B75" s="22" t="inlineStr">
        <is>
          <t>GSM ALCATEL 256</t>
        </is>
      </c>
      <c r="C75" s="22" t="n">
        <v>107</v>
      </c>
    </row>
    <row r="76">
      <c r="A76" s="22" t="n">
        <v>108</v>
      </c>
      <c r="B76" s="22" t="inlineStr">
        <is>
          <t>GSM SONY ERICSSON W600</t>
        </is>
      </c>
      <c r="C76" s="22" t="n">
        <v>108</v>
      </c>
    </row>
    <row r="77">
      <c r="A77" s="22" t="n">
        <v>109</v>
      </c>
      <c r="B77" s="22" t="inlineStr">
        <is>
          <t>LISTO PACK GSM ALCATEL 256</t>
        </is>
      </c>
      <c r="C77" s="22" t="n">
        <v>109</v>
      </c>
    </row>
    <row r="78">
      <c r="A78" s="22" t="n">
        <v>110</v>
      </c>
      <c r="B78" s="22" t="inlineStr">
        <is>
          <t>LISTO PACK GSM SONY ERICSSON W600</t>
        </is>
      </c>
      <c r="C78" s="22" t="n">
        <v>110</v>
      </c>
    </row>
    <row r="79">
      <c r="A79" s="22" t="n">
        <v>111</v>
      </c>
      <c r="B79" s="22" t="inlineStr">
        <is>
          <t>GSM BASE FIJA TECOM FGT850</t>
        </is>
      </c>
      <c r="C79" s="22" t="n">
        <v>111</v>
      </c>
    </row>
    <row r="80">
      <c r="A80" s="22" t="n">
        <v>115</v>
      </c>
      <c r="B80" s="22" t="inlineStr">
        <is>
          <t>GSM SAMSUNG X636</t>
        </is>
      </c>
      <c r="C80" s="22" t="n">
        <v>115</v>
      </c>
    </row>
    <row r="81">
      <c r="A81" s="22" t="n">
        <v>116</v>
      </c>
      <c r="B81" s="22" t="inlineStr">
        <is>
          <t>LISTO PACK GSM SAMSUNG X636</t>
        </is>
      </c>
      <c r="C81" s="22" t="n">
        <v>116</v>
      </c>
    </row>
    <row r="82">
      <c r="A82" s="22" t="n">
        <v>117</v>
      </c>
      <c r="B82" s="22" t="inlineStr">
        <is>
          <t>GSM MOTOROLA C115</t>
        </is>
      </c>
      <c r="C82" s="22" t="n">
        <v>117</v>
      </c>
    </row>
    <row r="83">
      <c r="A83" s="22" t="n">
        <v>118</v>
      </c>
      <c r="B83" s="22" t="inlineStr">
        <is>
          <t>LISTO PACK GSM MOTOROLA C115</t>
        </is>
      </c>
      <c r="C83" s="22" t="n">
        <v>118</v>
      </c>
    </row>
    <row r="84">
      <c r="A84" s="22" t="n">
        <v>119</v>
      </c>
      <c r="B84" s="22" t="inlineStr">
        <is>
          <t>GSM MOTOROLA U6</t>
        </is>
      </c>
      <c r="C84" s="22" t="n">
        <v>119</v>
      </c>
    </row>
    <row r="85">
      <c r="A85" s="22" t="n">
        <v>120</v>
      </c>
      <c r="B85" s="22" t="inlineStr">
        <is>
          <t>LISTO PACK GSM MOTOROLA U6</t>
        </is>
      </c>
      <c r="C85" s="22" t="n">
        <v>120</v>
      </c>
    </row>
    <row r="86">
      <c r="A86" s="22" t="n">
        <v>121</v>
      </c>
      <c r="B86" s="22" t="inlineStr">
        <is>
          <t>GSM MOTOROLA C261</t>
        </is>
      </c>
      <c r="C86" s="22" t="n">
        <v>121</v>
      </c>
    </row>
    <row r="87">
      <c r="A87" s="22" t="n">
        <v>122</v>
      </c>
      <c r="B87" s="22" t="inlineStr">
        <is>
          <t>LISTO PACK GSM MOTOROLA C261</t>
        </is>
      </c>
      <c r="C87" s="22" t="n">
        <v>122</v>
      </c>
    </row>
    <row r="88">
      <c r="A88" s="22" t="n">
        <v>123</v>
      </c>
      <c r="B88" s="22" t="inlineStr">
        <is>
          <t>GSM ALCATEL 158A</t>
        </is>
      </c>
      <c r="C88" s="22" t="n">
        <v>123</v>
      </c>
    </row>
    <row r="89">
      <c r="A89" s="22" t="n">
        <v>124</v>
      </c>
      <c r="B89" s="22" t="inlineStr">
        <is>
          <t>LISTO PACK GSM ALCATEL 158A</t>
        </is>
      </c>
      <c r="C89" s="22" t="n">
        <v>124</v>
      </c>
    </row>
    <row r="90">
      <c r="A90" s="22" t="n">
        <v>125</v>
      </c>
      <c r="B90" s="22" t="inlineStr">
        <is>
          <t>GSM BASE FIJA PULSARE</t>
        </is>
      </c>
      <c r="C90" s="22" t="n">
        <v>125</v>
      </c>
    </row>
    <row r="91">
      <c r="A91" s="22" t="n">
        <v>126</v>
      </c>
      <c r="B91" s="22" t="inlineStr">
        <is>
          <t>LISTO PACK GSM BASE FIJA PULSARE</t>
        </is>
      </c>
      <c r="C91" s="22" t="n">
        <v>126</v>
      </c>
    </row>
    <row r="92">
      <c r="A92" s="22" t="n">
        <v>127</v>
      </c>
      <c r="B92" s="22" t="inlineStr">
        <is>
          <t>LISTO PACK GSM NOKIA 1108 MUNDO MOVISTAR</t>
        </is>
      </c>
      <c r="C92" s="22" t="n">
        <v>127</v>
      </c>
    </row>
    <row r="93">
      <c r="A93" s="22" t="n">
        <v>128</v>
      </c>
      <c r="B93" s="22" t="inlineStr">
        <is>
          <t>LISTO PACK GSM NOKIA 2600 MUNDO MOVISTAR</t>
        </is>
      </c>
      <c r="C93" s="22" t="n">
        <v>128</v>
      </c>
    </row>
    <row r="94">
      <c r="A94" s="22" t="n">
        <v>131</v>
      </c>
      <c r="B94" s="22" t="inlineStr">
        <is>
          <t>GSM MOTOROLA ROKR E1</t>
        </is>
      </c>
      <c r="C94" s="22" t="n">
        <v>131</v>
      </c>
    </row>
    <row r="95">
      <c r="A95" s="22" t="n">
        <v>132</v>
      </c>
      <c r="B95" s="22" t="inlineStr">
        <is>
          <t>LISTO PACK GSM MOTOROLA ROKR E1</t>
        </is>
      </c>
      <c r="C95" s="22" t="n">
        <v>132</v>
      </c>
    </row>
    <row r="96">
      <c r="A96" s="22" t="n">
        <v>133</v>
      </c>
      <c r="B96" s="22" t="inlineStr">
        <is>
          <t>LISTO PACK GSM ALCATEL 158 MUNDO MOVISTA</t>
        </is>
      </c>
      <c r="C96" s="22" t="n">
        <v>133</v>
      </c>
    </row>
    <row r="97">
      <c r="A97" s="22" t="n">
        <v>134</v>
      </c>
      <c r="B97" s="22" t="inlineStr">
        <is>
          <t>LISTO PACK GSM SONY ERICSSON T290 MUNDO</t>
        </is>
      </c>
      <c r="C97" s="22" t="n">
        <v>134</v>
      </c>
    </row>
    <row r="98">
      <c r="A98" s="22" t="n">
        <v>135</v>
      </c>
      <c r="B98" s="22" t="inlineStr">
        <is>
          <t>GSM ALCATEL C551A</t>
        </is>
      </c>
      <c r="C98" s="22" t="n">
        <v>135</v>
      </c>
    </row>
    <row r="99">
      <c r="A99" s="22" t="n">
        <v>136</v>
      </c>
      <c r="B99" s="22" t="inlineStr">
        <is>
          <t>LISTO PACK GSM ALCATEL C551A</t>
        </is>
      </c>
      <c r="C99" s="22" t="n">
        <v>136</v>
      </c>
    </row>
    <row r="100">
      <c r="A100" s="22" t="n">
        <v>137</v>
      </c>
      <c r="B100" s="22" t="inlineStr">
        <is>
          <t>GSM MOTOROLA L6</t>
        </is>
      </c>
      <c r="C100" s="22" t="n">
        <v>137</v>
      </c>
    </row>
    <row r="101">
      <c r="A101" s="22" t="n">
        <v>138</v>
      </c>
      <c r="B101" s="22" t="inlineStr">
        <is>
          <t>LISTO PACK GSM MOTOROLA L6</t>
        </is>
      </c>
      <c r="C101" s="22" t="n">
        <v>138</v>
      </c>
    </row>
    <row r="102">
      <c r="A102" s="22" t="n">
        <v>139</v>
      </c>
      <c r="B102" s="22" t="inlineStr">
        <is>
          <t>VIRT GSM ALCATEL 158A</t>
        </is>
      </c>
      <c r="C102" s="22" t="n">
        <v>139</v>
      </c>
    </row>
    <row r="103">
      <c r="A103" s="22" t="n">
        <v>141</v>
      </c>
      <c r="B103" s="22" t="inlineStr">
        <is>
          <t>VIRT GSM MOTOROLA C115</t>
        </is>
      </c>
      <c r="C103" s="22" t="n">
        <v>141</v>
      </c>
    </row>
    <row r="104">
      <c r="A104" s="22" t="n">
        <v>142</v>
      </c>
      <c r="B104" s="22" t="inlineStr">
        <is>
          <t>VIRT GSM MOTOROLA C261 NO USAR</t>
        </is>
      </c>
      <c r="C104" s="22" t="n">
        <v>142</v>
      </c>
    </row>
    <row r="105">
      <c r="A105" s="22" t="n">
        <v>143</v>
      </c>
      <c r="B105" s="22" t="inlineStr">
        <is>
          <t>VIRT GSM MOTOROLA U6</t>
        </is>
      </c>
      <c r="C105" s="22" t="n">
        <v>143</v>
      </c>
    </row>
    <row r="106">
      <c r="A106" s="22" t="n">
        <v>144</v>
      </c>
      <c r="B106" s="22" t="inlineStr">
        <is>
          <t>VIRT GSM SAMSUNG X636</t>
        </is>
      </c>
      <c r="C106" s="22" t="n">
        <v>144</v>
      </c>
    </row>
    <row r="107">
      <c r="A107" s="22" t="n">
        <v>145</v>
      </c>
      <c r="B107" s="22" t="inlineStr">
        <is>
          <t>VIRT GSM SIEMENS A76</t>
        </is>
      </c>
      <c r="C107" s="22" t="n">
        <v>145</v>
      </c>
    </row>
    <row r="108">
      <c r="A108" s="22" t="n">
        <v>146</v>
      </c>
      <c r="B108" s="22" t="inlineStr">
        <is>
          <t>VIRT GSM SONY ERICSSON W600</t>
        </is>
      </c>
      <c r="C108" s="22" t="n">
        <v>146</v>
      </c>
    </row>
    <row r="109">
      <c r="A109" s="22" t="n">
        <v>147</v>
      </c>
      <c r="B109" s="22" t="inlineStr">
        <is>
          <t>VIRT GSM ALCATEL 256</t>
        </is>
      </c>
      <c r="C109" s="22" t="n">
        <v>147</v>
      </c>
    </row>
    <row r="110">
      <c r="A110" s="22" t="n">
        <v>148</v>
      </c>
      <c r="B110" s="22" t="inlineStr">
        <is>
          <t>VIRT GSM BASE TECOM</t>
        </is>
      </c>
      <c r="C110" s="22" t="n">
        <v>148</v>
      </c>
    </row>
    <row r="111">
      <c r="A111" s="22" t="n">
        <v>150</v>
      </c>
      <c r="B111" s="22" t="inlineStr">
        <is>
          <t>VIRT GSM ALCATEL C551A</t>
        </is>
      </c>
      <c r="C111" s="22" t="n">
        <v>150</v>
      </c>
    </row>
    <row r="112">
      <c r="A112" s="22" t="n">
        <v>151</v>
      </c>
      <c r="B112" s="22" t="inlineStr">
        <is>
          <t>VIRT GSM MOTOROLA ROKR E1</t>
        </is>
      </c>
      <c r="C112" s="22" t="n">
        <v>151</v>
      </c>
    </row>
    <row r="113">
      <c r="A113" s="22" t="n">
        <v>152</v>
      </c>
      <c r="B113" s="22" t="inlineStr">
        <is>
          <t>VIRT GSM MOTOROLA L6</t>
        </is>
      </c>
      <c r="C113" s="22" t="n">
        <v>152</v>
      </c>
    </row>
    <row r="114">
      <c r="A114" s="22" t="n">
        <v>153</v>
      </c>
      <c r="B114" s="22" t="inlineStr">
        <is>
          <t>VIRT GSM MOTOROLA C261</t>
        </is>
      </c>
      <c r="C114" s="22" t="n">
        <v>153</v>
      </c>
    </row>
    <row r="115">
      <c r="A115" s="22" t="n">
        <v>154</v>
      </c>
      <c r="B115" s="22" t="inlineStr">
        <is>
          <t>LISTO PACK GSM MOTOROLA V3 SILVER</t>
        </is>
      </c>
      <c r="C115" s="22" t="n">
        <v>154</v>
      </c>
    </row>
    <row r="116">
      <c r="A116" s="22" t="n">
        <v>155</v>
      </c>
      <c r="B116" s="22" t="inlineStr">
        <is>
          <t>LISTO PACK GSM MOTOROLA V3 BLACK EXEC</t>
        </is>
      </c>
      <c r="C116" s="22" t="n">
        <v>155</v>
      </c>
    </row>
    <row r="117">
      <c r="A117" s="22" t="n">
        <v>157</v>
      </c>
      <c r="B117" s="22" t="inlineStr">
        <is>
          <t>LISTO PACK GSM ALCATEL C551A MUNDO MOVIS</t>
        </is>
      </c>
      <c r="C117" s="22" t="n">
        <v>157</v>
      </c>
    </row>
    <row r="118">
      <c r="A118" s="22" t="n">
        <v>158</v>
      </c>
      <c r="B118" s="22" t="inlineStr">
        <is>
          <t>GSM BLACKBERRY 7290</t>
        </is>
      </c>
      <c r="C118" s="22" t="n">
        <v>158</v>
      </c>
    </row>
    <row r="119">
      <c r="A119" s="22" t="n">
        <v>160</v>
      </c>
      <c r="B119" s="22" t="inlineStr">
        <is>
          <t>GSM BLACKBERRY 8700</t>
        </is>
      </c>
      <c r="C119" s="22" t="n">
        <v>160</v>
      </c>
    </row>
    <row r="120">
      <c r="A120" s="22" t="n">
        <v>162</v>
      </c>
      <c r="B120" s="22" t="inlineStr">
        <is>
          <t>GSM NOKIA 8801</t>
        </is>
      </c>
      <c r="C120" s="22" t="n">
        <v>162</v>
      </c>
    </row>
    <row r="121">
      <c r="A121" s="22" t="n">
        <v>164</v>
      </c>
      <c r="B121" s="22" t="inlineStr">
        <is>
          <t>VIRT GSM NOKIA 8801</t>
        </is>
      </c>
      <c r="C121" s="22" t="n">
        <v>164</v>
      </c>
    </row>
    <row r="122">
      <c r="A122" s="22" t="n">
        <v>165</v>
      </c>
      <c r="B122" s="22" t="inlineStr">
        <is>
          <t>GSM NOKIA 1110B</t>
        </is>
      </c>
      <c r="C122" s="22" t="n">
        <v>165</v>
      </c>
    </row>
    <row r="123">
      <c r="A123" s="22" t="n">
        <v>166</v>
      </c>
      <c r="B123" s="22" t="inlineStr">
        <is>
          <t>LISTO PACK GSM NOKIA 1110B</t>
        </is>
      </c>
      <c r="C123" s="22" t="n">
        <v>166</v>
      </c>
    </row>
    <row r="124">
      <c r="A124" s="22" t="n">
        <v>167</v>
      </c>
      <c r="B124" s="22" t="inlineStr">
        <is>
          <t>VIRT GSM NOKIA 1110B</t>
        </is>
      </c>
      <c r="C124" s="22" t="n">
        <v>167</v>
      </c>
    </row>
    <row r="125">
      <c r="A125" s="22" t="n">
        <v>168</v>
      </c>
      <c r="B125" s="22" t="inlineStr">
        <is>
          <t>GSM NOKIA 1600B</t>
        </is>
      </c>
      <c r="C125" s="22" t="n">
        <v>168</v>
      </c>
    </row>
    <row r="126">
      <c r="A126" s="22" t="n">
        <v>169</v>
      </c>
      <c r="B126" s="22" t="inlineStr">
        <is>
          <t>LISTO PACK GSM NOKIA 1600B</t>
        </is>
      </c>
      <c r="C126" s="22" t="n">
        <v>169</v>
      </c>
    </row>
    <row r="127">
      <c r="A127" s="22" t="n">
        <v>170</v>
      </c>
      <c r="B127" s="22" t="inlineStr">
        <is>
          <t>VIRT GSM NOKIA 1600B</t>
        </is>
      </c>
      <c r="C127" s="22" t="n">
        <v>170</v>
      </c>
    </row>
    <row r="128">
      <c r="A128" s="22" t="n">
        <v>171</v>
      </c>
      <c r="B128" s="22" t="inlineStr">
        <is>
          <t>GSM MOTOROLA L7</t>
        </is>
      </c>
      <c r="C128" s="22" t="n">
        <v>171</v>
      </c>
    </row>
    <row r="129">
      <c r="A129" s="22" t="n">
        <v>172</v>
      </c>
      <c r="B129" s="22" t="inlineStr">
        <is>
          <t>VIRT GSM MOTOROLA L7</t>
        </is>
      </c>
      <c r="C129" s="22" t="n">
        <v>172</v>
      </c>
    </row>
    <row r="130">
      <c r="A130" s="22" t="n">
        <v>173</v>
      </c>
      <c r="B130" s="22" t="inlineStr">
        <is>
          <t>GSM MOTOROLA C139</t>
        </is>
      </c>
      <c r="C130" s="22" t="n">
        <v>173</v>
      </c>
    </row>
    <row r="131">
      <c r="A131" s="22" t="n">
        <v>174</v>
      </c>
      <c r="B131" s="22" t="inlineStr">
        <is>
          <t>LISTO PACK GSM MOTOROLA C139</t>
        </is>
      </c>
      <c r="C131" s="22" t="n">
        <v>174</v>
      </c>
    </row>
    <row r="132">
      <c r="A132" s="22" t="n">
        <v>175</v>
      </c>
      <c r="B132" s="22" t="inlineStr">
        <is>
          <t>VIRT GSM MOTOROLA C139</t>
        </is>
      </c>
      <c r="C132" s="22" t="n">
        <v>175</v>
      </c>
    </row>
    <row r="133">
      <c r="A133" s="22" t="n">
        <v>176</v>
      </c>
      <c r="B133" s="22" t="inlineStr">
        <is>
          <t>GSM VITELCOM M111</t>
        </is>
      </c>
      <c r="C133" s="22" t="n">
        <v>176</v>
      </c>
    </row>
    <row r="134">
      <c r="A134" s="22" t="n">
        <v>177</v>
      </c>
      <c r="B134" s="22" t="inlineStr">
        <is>
          <t>LISTO PACK GSM VITELCOM M111</t>
        </is>
      </c>
      <c r="C134" s="22" t="n">
        <v>177</v>
      </c>
    </row>
    <row r="135">
      <c r="A135" s="22" t="n">
        <v>178</v>
      </c>
      <c r="B135" s="22" t="inlineStr">
        <is>
          <t>VIRT GSM VITELCOM M111</t>
        </is>
      </c>
      <c r="C135" s="22" t="n">
        <v>178</v>
      </c>
    </row>
    <row r="136">
      <c r="A136" s="22" t="n">
        <v>179</v>
      </c>
      <c r="B136" s="22" t="inlineStr">
        <is>
          <t>GSM TREO 650</t>
        </is>
      </c>
      <c r="C136" s="22" t="n">
        <v>179</v>
      </c>
    </row>
    <row r="137">
      <c r="A137" s="22" t="n">
        <v>181</v>
      </c>
      <c r="B137" s="22" t="inlineStr">
        <is>
          <t>VIRT GSM TREO 650</t>
        </is>
      </c>
      <c r="C137" s="22" t="n">
        <v>181</v>
      </c>
    </row>
    <row r="138">
      <c r="A138" s="22" t="n">
        <v>182</v>
      </c>
      <c r="B138" s="22" t="inlineStr">
        <is>
          <t>GSM MOTOROLA U6 DE LUXE VINO</t>
        </is>
      </c>
      <c r="C138" s="22" t="n">
        <v>182</v>
      </c>
    </row>
    <row r="139">
      <c r="A139" s="22" t="n">
        <v>183</v>
      </c>
      <c r="B139" s="22" t="inlineStr">
        <is>
          <t>LISTO PACK GSM MOTOROLA U6 DE LUXE VINO</t>
        </is>
      </c>
      <c r="C139" s="22" t="n">
        <v>183</v>
      </c>
    </row>
    <row r="140">
      <c r="A140" s="22" t="n">
        <v>184</v>
      </c>
      <c r="B140" s="22" t="inlineStr">
        <is>
          <t>VIRT GSM MOTOROLA U6 DE LUXE VINO</t>
        </is>
      </c>
      <c r="C140" s="22" t="n">
        <v>184</v>
      </c>
    </row>
    <row r="141">
      <c r="A141" s="22" t="n">
        <v>185</v>
      </c>
      <c r="B141" s="22" t="inlineStr">
        <is>
          <t>GSM MOTOROLA V3 PINK</t>
        </is>
      </c>
      <c r="C141" s="22" t="n">
        <v>185</v>
      </c>
    </row>
    <row r="142">
      <c r="A142" s="22" t="n">
        <v>186</v>
      </c>
      <c r="B142" s="22" t="inlineStr">
        <is>
          <t>LISTO PACK GSM MOTOROLA V3 PINK</t>
        </is>
      </c>
      <c r="C142" s="22" t="n">
        <v>186</v>
      </c>
    </row>
    <row r="143">
      <c r="A143" s="22" t="n">
        <v>187</v>
      </c>
      <c r="B143" s="22" t="inlineStr">
        <is>
          <t>VIRT GSM MOTOROLA V3 PINK</t>
        </is>
      </c>
      <c r="C143" s="22" t="n">
        <v>187</v>
      </c>
    </row>
    <row r="144">
      <c r="A144" s="22" t="n">
        <v>188</v>
      </c>
      <c r="B144" s="22" t="inlineStr">
        <is>
          <t>GSM NOKIA 1110 PREPAGO</t>
        </is>
      </c>
      <c r="C144" s="22" t="n">
        <v>188</v>
      </c>
    </row>
    <row r="145">
      <c r="A145" s="22" t="n">
        <v>189</v>
      </c>
      <c r="B145" s="22" t="inlineStr">
        <is>
          <t>GSM MOTOROLA 139 PREPAGO</t>
        </is>
      </c>
      <c r="C145" s="22" t="n">
        <v>189</v>
      </c>
    </row>
    <row r="146">
      <c r="A146" s="22" t="n">
        <v>192</v>
      </c>
      <c r="B146" s="22" t="inlineStr">
        <is>
          <t>GSM NOKIA 3220 PREPAGO</t>
        </is>
      </c>
      <c r="C146" s="22" t="n">
        <v>192</v>
      </c>
    </row>
    <row r="147">
      <c r="A147" s="22" t="n">
        <v>193</v>
      </c>
      <c r="B147" s="22" t="inlineStr">
        <is>
          <t>GSM SONY ERICCSON Z300</t>
        </is>
      </c>
      <c r="C147" s="22" t="n">
        <v>193</v>
      </c>
    </row>
    <row r="148">
      <c r="A148" s="22" t="n">
        <v>194</v>
      </c>
      <c r="B148" s="22" t="inlineStr">
        <is>
          <t>LISTO PACK GSM SONY ERICCSON Z300</t>
        </is>
      </c>
      <c r="C148" s="22" t="n">
        <v>194</v>
      </c>
    </row>
    <row r="149">
      <c r="A149" s="22" t="n">
        <v>195</v>
      </c>
      <c r="B149" s="22" t="inlineStr">
        <is>
          <t>VIRT GSM SONY ERICCSON Z300</t>
        </is>
      </c>
      <c r="C149" s="22" t="n">
        <v>195</v>
      </c>
    </row>
    <row r="150">
      <c r="A150" s="22" t="n">
        <v>196</v>
      </c>
      <c r="B150" s="22" t="inlineStr">
        <is>
          <t>GSM SAMSUNG SGH E376</t>
        </is>
      </c>
      <c r="C150" s="22" t="n">
        <v>196</v>
      </c>
    </row>
    <row r="151">
      <c r="A151" s="22" t="n">
        <v>197</v>
      </c>
      <c r="B151" s="22" t="inlineStr">
        <is>
          <t>LISTO PACK GSM SAMSUNG SGH E376</t>
        </is>
      </c>
      <c r="C151" s="22" t="n">
        <v>197</v>
      </c>
    </row>
    <row r="152">
      <c r="A152" s="22" t="n">
        <v>198</v>
      </c>
      <c r="B152" s="22" t="inlineStr">
        <is>
          <t>VIRT GSM SAMSUNG SGH E376</t>
        </is>
      </c>
      <c r="C152" s="22" t="n">
        <v>198</v>
      </c>
    </row>
    <row r="153">
      <c r="A153" s="22" t="n">
        <v>199</v>
      </c>
      <c r="B153" s="22" t="inlineStr">
        <is>
          <t>LISTO PACK GSM MOTOROLA C116 MUNDO</t>
        </is>
      </c>
      <c r="C153" s="22" t="n">
        <v>199</v>
      </c>
    </row>
    <row r="154">
      <c r="A154" s="22" t="n">
        <v>200</v>
      </c>
      <c r="B154" s="22" t="inlineStr">
        <is>
          <t>LISTO PACK GSM MOTOROLA C139 MUNDO</t>
        </is>
      </c>
      <c r="C154" s="22" t="n">
        <v>200</v>
      </c>
    </row>
    <row r="155">
      <c r="A155" s="22" t="n">
        <v>201</v>
      </c>
      <c r="B155" s="22" t="inlineStr">
        <is>
          <t>LISTO PACK GSM MOTOROLA C261 MUNDO</t>
        </is>
      </c>
      <c r="C155" s="22" t="n">
        <v>201</v>
      </c>
    </row>
    <row r="156">
      <c r="A156" s="22" t="n">
        <v>202</v>
      </c>
      <c r="B156" s="22" t="inlineStr">
        <is>
          <t>GSM MOTOROLA V3I</t>
        </is>
      </c>
      <c r="C156" s="22" t="n">
        <v>202</v>
      </c>
    </row>
    <row r="157">
      <c r="A157" s="22" t="n">
        <v>204</v>
      </c>
      <c r="B157" s="22" t="inlineStr">
        <is>
          <t>VIRT GSM MOTOROLA V3I</t>
        </is>
      </c>
      <c r="C157" s="22" t="n">
        <v>204</v>
      </c>
    </row>
    <row r="158">
      <c r="A158" s="22" t="n">
        <v>205</v>
      </c>
      <c r="B158" s="22" t="inlineStr">
        <is>
          <t>GSM NOKIA 9300</t>
        </is>
      </c>
      <c r="C158" s="22" t="n">
        <v>205</v>
      </c>
    </row>
    <row r="159">
      <c r="A159" s="22" t="n">
        <v>207</v>
      </c>
      <c r="B159" s="22" t="inlineStr">
        <is>
          <t>VIRT GSM NOKIA 9300</t>
        </is>
      </c>
      <c r="C159" s="22" t="n">
        <v>207</v>
      </c>
    </row>
    <row r="160">
      <c r="A160" s="22" t="n">
        <v>208</v>
      </c>
      <c r="B160" s="22" t="inlineStr">
        <is>
          <t>GSM NOKIA 1112</t>
        </is>
      </c>
      <c r="C160" s="22" t="n">
        <v>208</v>
      </c>
    </row>
    <row r="161">
      <c r="A161" s="22" t="n">
        <v>209</v>
      </c>
      <c r="B161" s="22" t="inlineStr">
        <is>
          <t>LISTO PACK GSM NOKIA 1112</t>
        </is>
      </c>
      <c r="C161" s="22" t="n">
        <v>209</v>
      </c>
    </row>
    <row r="162">
      <c r="A162" s="22" t="n">
        <v>210</v>
      </c>
      <c r="B162" s="22" t="inlineStr">
        <is>
          <t>VIRT GSM NOKIA 1112</t>
        </is>
      </c>
      <c r="C162" s="22" t="n">
        <v>210</v>
      </c>
    </row>
    <row r="163">
      <c r="A163" s="22" t="n">
        <v>211</v>
      </c>
      <c r="B163" s="22" t="inlineStr">
        <is>
          <t>GSM MOVISTAR M347</t>
        </is>
      </c>
      <c r="C163" s="22" t="n">
        <v>211</v>
      </c>
    </row>
    <row r="164">
      <c r="A164" s="22" t="n">
        <v>212</v>
      </c>
      <c r="B164" s="22" t="inlineStr">
        <is>
          <t>LISTO PACK GSM MOVISTAR M347</t>
        </is>
      </c>
      <c r="C164" s="22" t="n">
        <v>212</v>
      </c>
    </row>
    <row r="165">
      <c r="A165" s="22" t="n">
        <v>213</v>
      </c>
      <c r="B165" s="22" t="inlineStr">
        <is>
          <t>VIRT GSM MOVISTAR M347</t>
        </is>
      </c>
      <c r="C165" s="22" t="n">
        <v>213</v>
      </c>
    </row>
    <row r="166">
      <c r="A166" s="22" t="n">
        <v>214</v>
      </c>
      <c r="B166" s="22" t="inlineStr">
        <is>
          <t>GSM SONY ERICCSON W810</t>
        </is>
      </c>
      <c r="C166" s="22" t="n">
        <v>214</v>
      </c>
    </row>
    <row r="167">
      <c r="A167" s="22" t="n">
        <v>215</v>
      </c>
      <c r="B167" s="22" t="inlineStr">
        <is>
          <t>LISTO PACK GSM SONY ERICCSON W810</t>
        </is>
      </c>
      <c r="C167" s="22" t="n">
        <v>215</v>
      </c>
    </row>
    <row r="168">
      <c r="A168" s="22" t="n">
        <v>216</v>
      </c>
      <c r="B168" s="22" t="inlineStr">
        <is>
          <t>VIRT GSM SONY ERICSSON W810</t>
        </is>
      </c>
      <c r="C168" s="22" t="n">
        <v>216</v>
      </c>
    </row>
    <row r="169">
      <c r="A169" s="22" t="n">
        <v>217</v>
      </c>
      <c r="B169" s="22" t="inlineStr">
        <is>
          <t>GSM SONY ERICCSON K790</t>
        </is>
      </c>
      <c r="C169" s="22" t="n">
        <v>217</v>
      </c>
    </row>
    <row r="170">
      <c r="A170" s="22" t="n">
        <v>218</v>
      </c>
      <c r="B170" s="22" t="inlineStr">
        <is>
          <t>LISTO PACK GSM SONY ERICCSON K790</t>
        </is>
      </c>
      <c r="C170" s="22" t="n">
        <v>218</v>
      </c>
    </row>
    <row r="171">
      <c r="A171" s="22" t="n">
        <v>219</v>
      </c>
      <c r="B171" s="22" t="inlineStr">
        <is>
          <t>VIRT GSM SONY ERICSSON K790</t>
        </is>
      </c>
      <c r="C171" s="22" t="n">
        <v>219</v>
      </c>
    </row>
    <row r="172">
      <c r="A172" s="22" t="n">
        <v>220</v>
      </c>
      <c r="B172" s="22" t="inlineStr">
        <is>
          <t>GSM MOTOROLA V3 BLUE</t>
        </is>
      </c>
      <c r="C172" s="22" t="n">
        <v>220</v>
      </c>
    </row>
    <row r="173">
      <c r="A173" s="22" t="n">
        <v>221</v>
      </c>
      <c r="B173" s="22" t="inlineStr">
        <is>
          <t>LISTO PACK GSM MOTOROLA V3 BLUE</t>
        </is>
      </c>
      <c r="C173" s="22" t="n">
        <v>221</v>
      </c>
    </row>
    <row r="174">
      <c r="A174" s="22" t="n">
        <v>222</v>
      </c>
      <c r="B174" s="22" t="inlineStr">
        <is>
          <t>VIRT GSM MOTOROLA V3 BLUE</t>
        </is>
      </c>
      <c r="C174" s="22" t="n">
        <v>222</v>
      </c>
    </row>
    <row r="175">
      <c r="A175" s="22" t="n">
        <v>223</v>
      </c>
      <c r="B175" s="22" t="inlineStr">
        <is>
          <t>GSM NOKIA 6103</t>
        </is>
      </c>
      <c r="C175" s="22" t="n">
        <v>223</v>
      </c>
    </row>
    <row r="176">
      <c r="A176" s="22" t="n">
        <v>224</v>
      </c>
      <c r="B176" s="22" t="inlineStr">
        <is>
          <t>LISTO PACK GSM NOKIA 6103</t>
        </is>
      </c>
      <c r="C176" s="22" t="n">
        <v>224</v>
      </c>
    </row>
    <row r="177">
      <c r="A177" s="22" t="n">
        <v>225</v>
      </c>
      <c r="B177" s="22" t="inlineStr">
        <is>
          <t>VIRT GSM NOKIA 6103</t>
        </is>
      </c>
      <c r="C177" s="22" t="n">
        <v>225</v>
      </c>
    </row>
    <row r="178">
      <c r="A178" s="22" t="n">
        <v>226</v>
      </c>
      <c r="B178" s="22" t="inlineStr">
        <is>
          <t>GSM NOKIA 6131</t>
        </is>
      </c>
      <c r="C178" s="22" t="n">
        <v>226</v>
      </c>
    </row>
    <row r="179">
      <c r="A179" s="22" t="n">
        <v>227</v>
      </c>
      <c r="B179" s="22" t="inlineStr">
        <is>
          <t>LISTO PACK GSM NOKIA 6131</t>
        </is>
      </c>
      <c r="C179" s="22" t="n">
        <v>227</v>
      </c>
    </row>
    <row r="180">
      <c r="A180" s="22" t="n">
        <v>228</v>
      </c>
      <c r="B180" s="22" t="inlineStr">
        <is>
          <t>VIRT GSM NOKIA 6131</t>
        </is>
      </c>
      <c r="C180" s="22" t="n">
        <v>228</v>
      </c>
    </row>
    <row r="181">
      <c r="A181" s="22" t="n">
        <v>229</v>
      </c>
      <c r="B181" s="22" t="inlineStr">
        <is>
          <t>GSM MOTOROLA V3I DOLCE GABANNA</t>
        </is>
      </c>
      <c r="C181" s="22" t="n">
        <v>229</v>
      </c>
    </row>
    <row r="182">
      <c r="A182" s="22" t="n">
        <v>231</v>
      </c>
      <c r="B182" s="22" t="inlineStr">
        <is>
          <t>VIRT GSM MOTOROLA V3I DOLCE GABANNA</t>
        </is>
      </c>
      <c r="C182" s="22" t="n">
        <v>231</v>
      </c>
    </row>
    <row r="183">
      <c r="A183" s="22" t="n">
        <v>232</v>
      </c>
      <c r="B183" s="22" t="inlineStr">
        <is>
          <t>GSM LG MG 810D</t>
        </is>
      </c>
      <c r="C183" s="22" t="n">
        <v>232</v>
      </c>
    </row>
    <row r="184">
      <c r="A184" s="22" t="n">
        <v>233</v>
      </c>
      <c r="B184" s="22" t="inlineStr">
        <is>
          <t>LISTO PACK GSM LG MG 810D</t>
        </is>
      </c>
      <c r="C184" s="22" t="n">
        <v>233</v>
      </c>
    </row>
    <row r="185">
      <c r="A185" s="22" t="n">
        <v>234</v>
      </c>
      <c r="B185" s="22" t="inlineStr">
        <is>
          <t>VIRT GSM LG MG 810D</t>
        </is>
      </c>
      <c r="C185" s="22" t="n">
        <v>234</v>
      </c>
    </row>
    <row r="186">
      <c r="A186" s="22" t="n">
        <v>235</v>
      </c>
      <c r="B186" s="22" t="inlineStr">
        <is>
          <t>VIRT GSM BLACK BERRY 7290</t>
        </is>
      </c>
      <c r="C186" s="22" t="n">
        <v>235</v>
      </c>
    </row>
    <row r="187">
      <c r="A187" s="22" t="n">
        <v>236</v>
      </c>
      <c r="B187" s="22" t="inlineStr">
        <is>
          <t>GSM SAMSUNG POLARIS C 406</t>
        </is>
      </c>
      <c r="C187" s="22" t="n">
        <v>236</v>
      </c>
    </row>
    <row r="188">
      <c r="A188" s="22" t="n">
        <v>237</v>
      </c>
      <c r="B188" s="22" t="inlineStr">
        <is>
          <t>LISTO PACK GSM SAMSUNG POLARIS C 406</t>
        </is>
      </c>
      <c r="C188" s="22" t="n">
        <v>237</v>
      </c>
    </row>
    <row r="189">
      <c r="A189" s="22" t="n">
        <v>238</v>
      </c>
      <c r="B189" s="22" t="inlineStr">
        <is>
          <t>VIRT GSM SAMSUNG POLARIS C406</t>
        </is>
      </c>
      <c r="C189" s="22" t="n">
        <v>238</v>
      </c>
    </row>
    <row r="190">
      <c r="A190" s="22" t="n">
        <v>239</v>
      </c>
      <c r="B190" s="22" t="inlineStr">
        <is>
          <t>GSM SAMSUNG T- NIMBUS E906</t>
        </is>
      </c>
      <c r="C190" s="22" t="n">
        <v>239</v>
      </c>
    </row>
    <row r="191">
      <c r="A191" s="22" t="n">
        <v>240</v>
      </c>
      <c r="B191" s="22" t="inlineStr">
        <is>
          <t>LISTO PACK GSM SAMSUNG T- NIMBUS E906</t>
        </is>
      </c>
      <c r="C191" s="22" t="n">
        <v>240</v>
      </c>
    </row>
    <row r="192">
      <c r="A192" s="22" t="n">
        <v>241</v>
      </c>
      <c r="B192" s="22" t="inlineStr">
        <is>
          <t>VIRT GSM SAMSUNG T- NIMBUS E906</t>
        </is>
      </c>
      <c r="C192" s="22" t="n">
        <v>241</v>
      </c>
    </row>
    <row r="193">
      <c r="A193" s="22" t="n">
        <v>242</v>
      </c>
      <c r="B193" s="22" t="inlineStr">
        <is>
          <t>GSM MOTOKRZR K1</t>
        </is>
      </c>
      <c r="C193" s="22" t="n">
        <v>242</v>
      </c>
    </row>
    <row r="194">
      <c r="A194" s="22" t="n">
        <v>243</v>
      </c>
      <c r="B194" s="22" t="inlineStr">
        <is>
          <t>LISTO PACK GSM MOTOKRZR K1</t>
        </is>
      </c>
      <c r="C194" s="22" t="n">
        <v>243</v>
      </c>
    </row>
    <row r="195">
      <c r="A195" s="22" t="n">
        <v>244</v>
      </c>
      <c r="B195" s="22" t="inlineStr">
        <is>
          <t>VIRT GSM MOTOKRZR K1</t>
        </is>
      </c>
      <c r="C195" s="22" t="n">
        <v>244</v>
      </c>
    </row>
    <row r="196">
      <c r="A196" s="22" t="n">
        <v>245</v>
      </c>
      <c r="B196" s="22" t="inlineStr">
        <is>
          <t>GSM NOKIA N73 MULTIMEDIA</t>
        </is>
      </c>
      <c r="C196" s="22" t="n">
        <v>245</v>
      </c>
    </row>
    <row r="197">
      <c r="A197" s="22" t="n">
        <v>246</v>
      </c>
      <c r="B197" s="22" t="inlineStr">
        <is>
          <t>LISTO PACK GSM NOKIA N73 MULTIMEDIA</t>
        </is>
      </c>
      <c r="C197" s="22" t="n">
        <v>246</v>
      </c>
    </row>
    <row r="198">
      <c r="A198" s="22" t="n">
        <v>247</v>
      </c>
      <c r="B198" s="22" t="inlineStr">
        <is>
          <t>VIRT GSM NOKIA N73 MULTIMEDIA</t>
        </is>
      </c>
      <c r="C198" s="22" t="n">
        <v>247</v>
      </c>
    </row>
    <row r="199">
      <c r="A199" s="22" t="n">
        <v>248</v>
      </c>
      <c r="B199" s="22" t="inlineStr">
        <is>
          <t>GSM SONY ERICSSON W300I</t>
        </is>
      </c>
      <c r="C199" s="22" t="n">
        <v>248</v>
      </c>
    </row>
    <row r="200">
      <c r="A200" s="22" t="n">
        <v>249</v>
      </c>
      <c r="B200" s="22" t="inlineStr">
        <is>
          <t>LISTO PACK GSM SONY ERICSSON W300I</t>
        </is>
      </c>
      <c r="C200" s="22" t="n">
        <v>249</v>
      </c>
    </row>
    <row r="201">
      <c r="A201" s="22" t="n">
        <v>250</v>
      </c>
      <c r="B201" s="22" t="inlineStr">
        <is>
          <t>VIRT GSM SONY ERICSSON W300I</t>
        </is>
      </c>
      <c r="C201" s="22" t="n">
        <v>250</v>
      </c>
    </row>
    <row r="202">
      <c r="A202" s="22" t="n">
        <v>251</v>
      </c>
      <c r="B202" s="22" t="inlineStr">
        <is>
          <t>GSM SONY ERICSSON W710</t>
        </is>
      </c>
      <c r="C202" s="22" t="n">
        <v>251</v>
      </c>
    </row>
    <row r="203">
      <c r="A203" s="22" t="n">
        <v>252</v>
      </c>
      <c r="B203" s="22" t="inlineStr">
        <is>
          <t>LISTO PACK GSM SONY ERICSSON W710</t>
        </is>
      </c>
      <c r="C203" s="22" t="n">
        <v>252</v>
      </c>
    </row>
    <row r="204">
      <c r="A204" s="22" t="n">
        <v>253</v>
      </c>
      <c r="B204" s="22" t="inlineStr">
        <is>
          <t>VIRT GSM SONY ERICSSON W710</t>
        </is>
      </c>
      <c r="C204" s="22" t="n">
        <v>253</v>
      </c>
    </row>
    <row r="205">
      <c r="A205" s="22" t="n">
        <v>254</v>
      </c>
      <c r="B205" s="22" t="inlineStr">
        <is>
          <t>GSM NOKIA 6070</t>
        </is>
      </c>
      <c r="C205" s="22" t="n">
        <v>254</v>
      </c>
    </row>
    <row r="206">
      <c r="A206" s="22" t="n">
        <v>255</v>
      </c>
      <c r="B206" s="22" t="inlineStr">
        <is>
          <t>LISTO PACK GSM NOKIA 6070</t>
        </is>
      </c>
      <c r="C206" s="22" t="n">
        <v>255</v>
      </c>
    </row>
    <row r="207">
      <c r="A207" s="22" t="n">
        <v>256</v>
      </c>
      <c r="B207" s="22" t="inlineStr">
        <is>
          <t>VIRT GSM NOKIA 6070</t>
        </is>
      </c>
      <c r="C207" s="22" t="n">
        <v>256</v>
      </c>
    </row>
    <row r="208">
      <c r="A208" s="22" t="n">
        <v>257</v>
      </c>
      <c r="B208" s="22" t="inlineStr">
        <is>
          <t>GSM NOKIA 5200</t>
        </is>
      </c>
      <c r="C208" s="22" t="n">
        <v>257</v>
      </c>
    </row>
    <row r="209">
      <c r="A209" s="22" t="n">
        <v>258</v>
      </c>
      <c r="B209" s="22" t="inlineStr">
        <is>
          <t>LISTO PACK GSM NOKIA 5200</t>
        </is>
      </c>
      <c r="C209" s="22" t="n">
        <v>258</v>
      </c>
    </row>
    <row r="210">
      <c r="A210" s="22" t="n">
        <v>259</v>
      </c>
      <c r="B210" s="22" t="inlineStr">
        <is>
          <t>VIRT GSM NOKIA 5200</t>
        </is>
      </c>
      <c r="C210" s="22" t="n">
        <v>259</v>
      </c>
    </row>
    <row r="211">
      <c r="A211" s="22" t="n">
        <v>260</v>
      </c>
      <c r="B211" s="22" t="inlineStr">
        <is>
          <t>GSM BLACK BERRY 7290E</t>
        </is>
      </c>
      <c r="C211" s="22" t="n">
        <v>260</v>
      </c>
    </row>
    <row r="212">
      <c r="A212" s="22" t="n">
        <v>261</v>
      </c>
      <c r="B212" s="22" t="inlineStr">
        <is>
          <t>GSM BLACK BERRY 8700 E</t>
        </is>
      </c>
      <c r="C212" s="22" t="n">
        <v>261</v>
      </c>
    </row>
    <row r="213">
      <c r="A213" s="22" t="n">
        <v>262</v>
      </c>
      <c r="B213" s="22" t="inlineStr">
        <is>
          <t>VIRT GSM BLACK BERRY 8700</t>
        </is>
      </c>
      <c r="C213" s="22" t="n">
        <v>262</v>
      </c>
    </row>
    <row r="214">
      <c r="A214" s="22" t="n">
        <v>263</v>
      </c>
      <c r="B214" s="22" t="inlineStr">
        <is>
          <t>GSM SONYERICSSON W300 BLANCO</t>
        </is>
      </c>
      <c r="C214" s="22" t="n">
        <v>263</v>
      </c>
    </row>
    <row r="215">
      <c r="A215" s="22" t="n">
        <v>264</v>
      </c>
      <c r="B215" s="22" t="inlineStr">
        <is>
          <t>LISTO PACK GSM SONYERICSSON W300 BLANCO</t>
        </is>
      </c>
      <c r="C215" s="22" t="n">
        <v>264</v>
      </c>
    </row>
    <row r="216">
      <c r="A216" s="22" t="n">
        <v>265</v>
      </c>
      <c r="B216" s="22" t="inlineStr">
        <is>
          <t>VIRT GSM SONYERICSSON W300 BLANCO</t>
        </is>
      </c>
      <c r="C216" s="22" t="n">
        <v>265</v>
      </c>
    </row>
    <row r="217">
      <c r="A217" s="22" t="n">
        <v>266</v>
      </c>
      <c r="B217" s="22" t="inlineStr">
        <is>
          <t>LISTO PACK GSM MOTOROLA L6 MUNDO MOVISTA</t>
        </is>
      </c>
      <c r="C217" s="22" t="n">
        <v>266</v>
      </c>
    </row>
    <row r="218">
      <c r="A218" s="22" t="n">
        <v>269</v>
      </c>
      <c r="B218" s="22" t="inlineStr">
        <is>
          <t>GSM BLACK BERRY PERL</t>
        </is>
      </c>
      <c r="C218" s="22" t="n">
        <v>269</v>
      </c>
    </row>
    <row r="219">
      <c r="A219" s="22" t="n">
        <v>273</v>
      </c>
      <c r="B219" s="22" t="inlineStr">
        <is>
          <t>GSM BLACK BERRY PERL OB</t>
        </is>
      </c>
      <c r="C219" s="22" t="n">
        <v>273</v>
      </c>
    </row>
    <row r="220">
      <c r="A220" s="22" t="n">
        <v>274</v>
      </c>
      <c r="B220" s="22" t="inlineStr">
        <is>
          <t>VIRT GSM BLACK BERRY PERL OB</t>
        </is>
      </c>
      <c r="C220" s="22" t="n">
        <v>274</v>
      </c>
    </row>
    <row r="221">
      <c r="A221" s="22" t="n">
        <v>275</v>
      </c>
      <c r="B221" s="22" t="inlineStr">
        <is>
          <t>GSM BLACKBERRY PEARL R</t>
        </is>
      </c>
      <c r="C221" s="22" t="n">
        <v>275</v>
      </c>
    </row>
    <row r="222">
      <c r="A222" s="22" t="n">
        <v>277</v>
      </c>
      <c r="B222" s="22" t="inlineStr">
        <is>
          <t>VIRT GSM BLACKBERRY PEARL R</t>
        </is>
      </c>
      <c r="C222" s="22" t="n">
        <v>277</v>
      </c>
    </row>
    <row r="223">
      <c r="A223" s="22" t="n">
        <v>278</v>
      </c>
      <c r="B223" s="22" t="inlineStr">
        <is>
          <t>LISTO PACK GSM NOKIA 1112 MUNDO MOVISTAR</t>
        </is>
      </c>
      <c r="C223" s="22" t="n">
        <v>278</v>
      </c>
    </row>
    <row r="224">
      <c r="A224" s="22" t="n">
        <v>281</v>
      </c>
      <c r="B224" s="22" t="inlineStr">
        <is>
          <t>LISTO PACK GSM MOTOROLA L7</t>
        </is>
      </c>
      <c r="C224" s="22" t="n">
        <v>281</v>
      </c>
    </row>
    <row r="225">
      <c r="A225" s="22" t="n">
        <v>282</v>
      </c>
      <c r="B225" s="22" t="inlineStr">
        <is>
          <t>VIRT GSM NOKIA E50</t>
        </is>
      </c>
      <c r="C225" s="22" t="n">
        <v>282</v>
      </c>
    </row>
    <row r="226">
      <c r="A226" s="22" t="n">
        <v>283</v>
      </c>
      <c r="B226" s="22" t="inlineStr">
        <is>
          <t>LISTO PACK GSM NOKIA E50</t>
        </is>
      </c>
      <c r="C226" s="22" t="n">
        <v>283</v>
      </c>
    </row>
    <row r="227">
      <c r="A227" s="22" t="n">
        <v>284</v>
      </c>
      <c r="B227" s="22" t="inlineStr">
        <is>
          <t>GSM NOKIA E50</t>
        </is>
      </c>
      <c r="C227" s="22" t="n">
        <v>284</v>
      </c>
    </row>
    <row r="228">
      <c r="A228" s="22" t="n">
        <v>285</v>
      </c>
      <c r="B228" s="22" t="inlineStr">
        <is>
          <t>VIRT GSM SAMSUNG TINY</t>
        </is>
      </c>
      <c r="C228" s="22" t="n">
        <v>285</v>
      </c>
    </row>
    <row r="229">
      <c r="A229" s="22" t="n">
        <v>286</v>
      </c>
      <c r="B229" s="22" t="inlineStr">
        <is>
          <t>LISTO PACK GSM SAMSUNG TINY</t>
        </is>
      </c>
      <c r="C229" s="22" t="n">
        <v>286</v>
      </c>
    </row>
    <row r="230">
      <c r="A230" s="22" t="n">
        <v>287</v>
      </c>
      <c r="B230" s="22" t="inlineStr">
        <is>
          <t>GSM SAMSUNG TINY</t>
        </is>
      </c>
      <c r="C230" s="22" t="n">
        <v>287</v>
      </c>
    </row>
    <row r="231">
      <c r="A231" s="22" t="n">
        <v>288</v>
      </c>
      <c r="B231" s="22" t="inlineStr">
        <is>
          <t>VIRT GSM SAMSUNG MARBLE</t>
        </is>
      </c>
      <c r="C231" s="22" t="n">
        <v>288</v>
      </c>
    </row>
    <row r="232">
      <c r="A232" s="22" t="n">
        <v>289</v>
      </c>
      <c r="B232" s="22" t="inlineStr">
        <is>
          <t>LISTO PACK GSM SAMSUNG MARBLE</t>
        </is>
      </c>
      <c r="C232" s="22" t="n">
        <v>289</v>
      </c>
    </row>
    <row r="233">
      <c r="A233" s="22" t="n">
        <v>290</v>
      </c>
      <c r="B233" s="22" t="inlineStr">
        <is>
          <t>GSM SAMSUNG MARBLE</t>
        </is>
      </c>
      <c r="C233" s="22" t="n">
        <v>290</v>
      </c>
    </row>
    <row r="234">
      <c r="A234" s="22" t="n">
        <v>294</v>
      </c>
      <c r="B234" s="22" t="inlineStr">
        <is>
          <t>VIRT GSM SAMSUNG BLACK CARBON</t>
        </is>
      </c>
      <c r="C234" s="22" t="n">
        <v>294</v>
      </c>
    </row>
    <row r="235">
      <c r="A235" s="22" t="n">
        <v>295</v>
      </c>
      <c r="B235" s="22" t="inlineStr">
        <is>
          <t>LISTO PACK GSM SAMSUNG BLACK CARBON</t>
        </is>
      </c>
      <c r="C235" s="22" t="n">
        <v>295</v>
      </c>
    </row>
    <row r="236">
      <c r="A236" s="22" t="n">
        <v>296</v>
      </c>
      <c r="B236" s="22" t="inlineStr">
        <is>
          <t>GSM SAMSUNG BLACK CARBON</t>
        </is>
      </c>
      <c r="C236" s="22" t="n">
        <v>296</v>
      </c>
    </row>
    <row r="237">
      <c r="A237" s="22" t="n">
        <v>297</v>
      </c>
      <c r="B237" s="22" t="inlineStr">
        <is>
          <t>LISTO PACK GSM NOKIA 6070 MUNDO MOVISTAR</t>
        </is>
      </c>
      <c r="C237" s="22" t="n">
        <v>297</v>
      </c>
    </row>
    <row r="238">
      <c r="A238" s="22" t="n">
        <v>298</v>
      </c>
      <c r="B238" s="22" t="inlineStr">
        <is>
          <t>LISTO PACK GSM NOKIA 6103 MUNDO MOVISTAR</t>
        </is>
      </c>
      <c r="C238" s="22" t="n">
        <v>298</v>
      </c>
    </row>
    <row r="239">
      <c r="A239" s="22" t="n">
        <v>299</v>
      </c>
      <c r="B239" s="22" t="inlineStr">
        <is>
          <t>LISTO PACK GSM NOKIA 1600 MUNDO MOVISTAR</t>
        </is>
      </c>
      <c r="C239" s="22" t="n">
        <v>299</v>
      </c>
    </row>
    <row r="240">
      <c r="A240" s="22" t="n">
        <v>300</v>
      </c>
      <c r="B240" s="22" t="inlineStr">
        <is>
          <t>LISTO PACK GSM MOVISTAR 111 MUNDO MOVIST</t>
        </is>
      </c>
      <c r="C240" s="22" t="n">
        <v>300</v>
      </c>
    </row>
    <row r="241">
      <c r="A241" s="22" t="n">
        <v>303</v>
      </c>
      <c r="B241" s="22" t="inlineStr">
        <is>
          <t>VIRT GSM MOTOROLA L6I</t>
        </is>
      </c>
      <c r="C241" s="22" t="n">
        <v>303</v>
      </c>
    </row>
    <row r="242">
      <c r="A242" s="22" t="n">
        <v>304</v>
      </c>
      <c r="B242" s="22" t="inlineStr">
        <is>
          <t>LISTO PACK GSM MOTOROLA L6I</t>
        </is>
      </c>
      <c r="C242" s="22" t="n">
        <v>304</v>
      </c>
    </row>
    <row r="243">
      <c r="A243" s="22" t="n">
        <v>305</v>
      </c>
      <c r="B243" s="22" t="inlineStr">
        <is>
          <t>GSM MOTOROLA L6I</t>
        </is>
      </c>
      <c r="C243" s="22" t="n">
        <v>305</v>
      </c>
    </row>
    <row r="244">
      <c r="A244" s="22" t="n">
        <v>306</v>
      </c>
      <c r="B244" s="22" t="inlineStr">
        <is>
          <t>VIRT GSM HTC EXCALIBUR</t>
        </is>
      </c>
      <c r="C244" s="22" t="n">
        <v>306</v>
      </c>
    </row>
    <row r="245">
      <c r="A245" s="22" t="n">
        <v>308</v>
      </c>
      <c r="B245" s="22" t="inlineStr">
        <is>
          <t>GSM HTC EXCALIBUR</t>
        </is>
      </c>
      <c r="C245" s="22" t="n">
        <v>308</v>
      </c>
    </row>
    <row r="246">
      <c r="A246" s="22" t="n">
        <v>309</v>
      </c>
      <c r="B246" s="22" t="inlineStr">
        <is>
          <t>VIRT GSM NOKIA 6300</t>
        </is>
      </c>
      <c r="C246" s="22" t="n">
        <v>309</v>
      </c>
    </row>
    <row r="247">
      <c r="A247" s="22" t="n">
        <v>310</v>
      </c>
      <c r="B247" s="22" t="inlineStr">
        <is>
          <t>LISTO PACK GSM NOKIA 6300</t>
        </is>
      </c>
      <c r="C247" s="22" t="n">
        <v>310</v>
      </c>
    </row>
    <row r="248">
      <c r="A248" s="22" t="n">
        <v>311</v>
      </c>
      <c r="B248" s="22" t="inlineStr">
        <is>
          <t>GSM NOKIA 6300</t>
        </is>
      </c>
      <c r="C248" s="22" t="n">
        <v>311</v>
      </c>
    </row>
    <row r="249">
      <c r="A249" s="22" t="n">
        <v>312</v>
      </c>
      <c r="B249" s="22" t="inlineStr">
        <is>
          <t>VIRT GSM NOKIA E65</t>
        </is>
      </c>
      <c r="C249" s="22" t="n">
        <v>312</v>
      </c>
    </row>
    <row r="250">
      <c r="A250" s="22" t="n">
        <v>313</v>
      </c>
      <c r="B250" s="22" t="inlineStr">
        <is>
          <t>LISTO PACK GSM NOKIA E65</t>
        </is>
      </c>
      <c r="C250" s="22" t="n">
        <v>313</v>
      </c>
    </row>
    <row r="251">
      <c r="A251" s="22" t="n">
        <v>314</v>
      </c>
      <c r="B251" s="22" t="inlineStr">
        <is>
          <t>GSM NOKIA E65</t>
        </is>
      </c>
      <c r="C251" s="22" t="n">
        <v>314</v>
      </c>
    </row>
    <row r="252">
      <c r="A252" s="22" t="n">
        <v>315</v>
      </c>
      <c r="B252" s="22" t="inlineStr">
        <is>
          <t>VIRT GSM MOTOROLA W375</t>
        </is>
      </c>
      <c r="C252" s="22" t="n">
        <v>315</v>
      </c>
    </row>
    <row r="253">
      <c r="A253" s="22" t="n">
        <v>316</v>
      </c>
      <c r="B253" s="22" t="inlineStr">
        <is>
          <t>LISTO PACK GSM MOTOROLA W375</t>
        </is>
      </c>
      <c r="C253" s="22" t="n">
        <v>316</v>
      </c>
    </row>
    <row r="254">
      <c r="A254" s="22" t="n">
        <v>317</v>
      </c>
      <c r="B254" s="22" t="inlineStr">
        <is>
          <t>GSM MOTOROLA W375</t>
        </is>
      </c>
      <c r="C254" s="22" t="n">
        <v>317</v>
      </c>
    </row>
    <row r="255">
      <c r="A255" s="22" t="n">
        <v>318</v>
      </c>
      <c r="B255" s="22" t="inlineStr">
        <is>
          <t>VIRT GSM MOTOROLA Z3</t>
        </is>
      </c>
      <c r="C255" s="22" t="n">
        <v>318</v>
      </c>
    </row>
    <row r="256">
      <c r="A256" s="22" t="n">
        <v>319</v>
      </c>
      <c r="B256" s="22" t="inlineStr">
        <is>
          <t>LISTO PACK GSM MOTOROLA Z3</t>
        </is>
      </c>
      <c r="C256" s="22" t="n">
        <v>319</v>
      </c>
    </row>
    <row r="257">
      <c r="A257" s="22" t="n">
        <v>320</v>
      </c>
      <c r="B257" s="22" t="inlineStr">
        <is>
          <t>GSM MOTOROLA Z3</t>
        </is>
      </c>
      <c r="C257" s="22" t="n">
        <v>320</v>
      </c>
    </row>
    <row r="258">
      <c r="A258" s="22" t="n">
        <v>321</v>
      </c>
      <c r="B258" s="22" t="inlineStr">
        <is>
          <t>VIRT GSM SONY ERICSSON Z310</t>
        </is>
      </c>
      <c r="C258" s="22" t="n">
        <v>321</v>
      </c>
    </row>
    <row r="259">
      <c r="A259" s="22" t="n">
        <v>328</v>
      </c>
      <c r="B259" s="22" t="inlineStr">
        <is>
          <t>LISTO PACK GSM SONY ERICSSON Z310</t>
        </is>
      </c>
      <c r="C259" s="22" t="n">
        <v>328</v>
      </c>
    </row>
    <row r="260">
      <c r="A260" s="22" t="n">
        <v>329</v>
      </c>
      <c r="B260" s="22" t="inlineStr">
        <is>
          <t>GSM SONY ERICSSON Z310</t>
        </is>
      </c>
      <c r="C260" s="22" t="n">
        <v>329</v>
      </c>
    </row>
    <row r="261">
      <c r="A261" s="22" t="n">
        <v>330</v>
      </c>
      <c r="B261" s="22" t="inlineStr">
        <is>
          <t>VIRT GSM SONY ERICSSON W200</t>
        </is>
      </c>
      <c r="C261" s="22" t="n">
        <v>330</v>
      </c>
    </row>
    <row r="262">
      <c r="A262" s="22" t="n">
        <v>331</v>
      </c>
      <c r="B262" s="22" t="inlineStr">
        <is>
          <t>LISTO PACK GSM SONY ERICSSON W200</t>
        </is>
      </c>
      <c r="C262" s="22" t="n">
        <v>331</v>
      </c>
    </row>
    <row r="263">
      <c r="A263" s="22" t="n">
        <v>332</v>
      </c>
      <c r="B263" s="22" t="inlineStr">
        <is>
          <t>GSM SONY ERICSSON W200 AZUL</t>
        </is>
      </c>
      <c r="C263" s="22" t="n">
        <v>332</v>
      </c>
    </row>
    <row r="264">
      <c r="A264" s="22" t="n">
        <v>333</v>
      </c>
      <c r="B264" s="22" t="inlineStr">
        <is>
          <t>VIRT GSM SONY ERICSSON K550</t>
        </is>
      </c>
      <c r="C264" s="22" t="n">
        <v>333</v>
      </c>
    </row>
    <row r="265">
      <c r="A265" s="22" t="n">
        <v>334</v>
      </c>
      <c r="B265" s="22" t="inlineStr">
        <is>
          <t>LISTO PACK GSM SONY ERICSSON K550</t>
        </is>
      </c>
      <c r="C265" s="22" t="n">
        <v>334</v>
      </c>
    </row>
    <row r="266">
      <c r="A266" s="22" t="n">
        <v>335</v>
      </c>
      <c r="B266" s="22" t="inlineStr">
        <is>
          <t>GSM SONY ERICSSON K550 NEGRO</t>
        </is>
      </c>
      <c r="C266" s="22" t="n">
        <v>335</v>
      </c>
    </row>
    <row r="267">
      <c r="A267" s="22" t="n">
        <v>336</v>
      </c>
      <c r="B267" s="22" t="inlineStr">
        <is>
          <t>VIRT GSM LG MG 230 DOLPHIN</t>
        </is>
      </c>
      <c r="C267" s="22" t="n">
        <v>336</v>
      </c>
    </row>
    <row r="268">
      <c r="A268" s="22" t="n">
        <v>337</v>
      </c>
      <c r="B268" s="22" t="inlineStr">
        <is>
          <t>LISTO PACK GSM LG MG 230 DOLPHIN</t>
        </is>
      </c>
      <c r="C268" s="22" t="n">
        <v>337</v>
      </c>
    </row>
    <row r="269">
      <c r="A269" s="22" t="n">
        <v>338</v>
      </c>
      <c r="B269" s="22" t="inlineStr">
        <is>
          <t>GSM LG MG 230 DOLPHIN</t>
        </is>
      </c>
      <c r="C269" s="22" t="n">
        <v>338</v>
      </c>
    </row>
    <row r="270">
      <c r="A270" s="22" t="n">
        <v>339</v>
      </c>
      <c r="B270" s="22" t="inlineStr">
        <is>
          <t>VIRT GSM LG MG 280 CHOCOLATE LIGHT</t>
        </is>
      </c>
      <c r="C270" s="22" t="n">
        <v>339</v>
      </c>
    </row>
    <row r="271">
      <c r="A271" s="22" t="n">
        <v>340</v>
      </c>
      <c r="B271" s="22" t="inlineStr">
        <is>
          <t>LISTO PACK GSM LG MG 280 LIGHT</t>
        </is>
      </c>
      <c r="C271" s="22" t="n">
        <v>340</v>
      </c>
    </row>
    <row r="272">
      <c r="A272" s="22" t="n">
        <v>341</v>
      </c>
      <c r="B272" s="22" t="inlineStr">
        <is>
          <t>GSM LG MG 280 LIGHT</t>
        </is>
      </c>
      <c r="C272" s="22" t="n">
        <v>341</v>
      </c>
    </row>
    <row r="273">
      <c r="A273" s="22" t="n">
        <v>342</v>
      </c>
      <c r="B273" s="22" t="inlineStr">
        <is>
          <t>GSM VIRT LG MG 320 NO USAR</t>
        </is>
      </c>
      <c r="C273" s="22" t="n">
        <v>342</v>
      </c>
    </row>
    <row r="274">
      <c r="A274" s="22" t="n">
        <v>344</v>
      </c>
      <c r="B274" s="22" t="inlineStr">
        <is>
          <t>GSM LG MG 320</t>
        </is>
      </c>
      <c r="C274" s="22" t="n">
        <v>344</v>
      </c>
    </row>
    <row r="275">
      <c r="A275" s="22" t="n">
        <v>345</v>
      </c>
      <c r="B275" s="22" t="inlineStr">
        <is>
          <t>VIRT GSM LG MG 800 CHOCOLATE</t>
        </is>
      </c>
      <c r="C275" s="22" t="n">
        <v>345</v>
      </c>
    </row>
    <row r="276">
      <c r="A276" s="22" t="n">
        <v>346</v>
      </c>
      <c r="B276" s="22" t="inlineStr">
        <is>
          <t>LISTO PACK GSM LG MG 800 CHOCOLATE</t>
        </is>
      </c>
      <c r="C276" s="22" t="n">
        <v>346</v>
      </c>
    </row>
    <row r="277">
      <c r="A277" s="22" t="n">
        <v>347</v>
      </c>
      <c r="B277" s="22" t="inlineStr">
        <is>
          <t>GSM LG MG 800 CHOCOLATE</t>
        </is>
      </c>
      <c r="C277" s="22" t="n">
        <v>347</v>
      </c>
    </row>
    <row r="278">
      <c r="A278" s="22" t="n">
        <v>348</v>
      </c>
      <c r="B278" s="22" t="inlineStr">
        <is>
          <t>LISTO PACK GSM SAMSUNG POLARIS MUNDO MOV</t>
        </is>
      </c>
      <c r="C278" s="22" t="n">
        <v>348</v>
      </c>
    </row>
    <row r="279">
      <c r="A279" s="22" t="n">
        <v>349</v>
      </c>
      <c r="B279" s="22" t="inlineStr">
        <is>
          <t>LISTO PACK GSM SONY ERICSSON Z310 MUND M</t>
        </is>
      </c>
      <c r="C279" s="22" t="n">
        <v>349</v>
      </c>
    </row>
    <row r="280">
      <c r="A280" s="22" t="n">
        <v>350</v>
      </c>
      <c r="B280" s="22" t="inlineStr">
        <is>
          <t>LISTO PACK GSM MOTOROLA U6 MUND MOVISTAR</t>
        </is>
      </c>
      <c r="C280" s="22" t="n">
        <v>350</v>
      </c>
    </row>
    <row r="281">
      <c r="A281" s="22" t="n">
        <v>351</v>
      </c>
      <c r="B281" s="22" t="inlineStr">
        <is>
          <t>VIRT GSM SONY ERICSSON K310A</t>
        </is>
      </c>
      <c r="C281" s="22" t="n">
        <v>351</v>
      </c>
    </row>
    <row r="282">
      <c r="A282" s="22" t="n">
        <v>352</v>
      </c>
      <c r="B282" s="22" t="inlineStr">
        <is>
          <t>LISTO PACK GSM SONY ERICSSON K310A</t>
        </is>
      </c>
      <c r="C282" s="22" t="n">
        <v>352</v>
      </c>
    </row>
    <row r="283">
      <c r="A283" s="22" t="n">
        <v>353</v>
      </c>
      <c r="B283" s="22" t="inlineStr">
        <is>
          <t>GSM SONY ERICSSON K310A</t>
        </is>
      </c>
      <c r="C283" s="22" t="n">
        <v>353</v>
      </c>
    </row>
    <row r="284">
      <c r="A284" s="22" t="n">
        <v>354</v>
      </c>
      <c r="B284" s="22" t="inlineStr">
        <is>
          <t>VIRT GSM NOKIA 5070</t>
        </is>
      </c>
      <c r="C284" s="22" t="n">
        <v>354</v>
      </c>
    </row>
    <row r="285">
      <c r="A285" s="22" t="n">
        <v>355</v>
      </c>
      <c r="B285" s="22" t="inlineStr">
        <is>
          <t>LISTO PACK GSM NOKIA 5070</t>
        </is>
      </c>
      <c r="C285" s="22" t="n">
        <v>355</v>
      </c>
    </row>
    <row r="286">
      <c r="A286" s="22" t="n">
        <v>356</v>
      </c>
      <c r="B286" s="22" t="inlineStr">
        <is>
          <t>GSM NOKIA 5070</t>
        </is>
      </c>
      <c r="C286" s="22" t="n">
        <v>356</v>
      </c>
    </row>
    <row r="287">
      <c r="A287" s="22" t="n">
        <v>357</v>
      </c>
      <c r="B287" s="22" t="inlineStr">
        <is>
          <t>GSM BLACKBERRY CURVE</t>
        </is>
      </c>
      <c r="C287" s="22" t="n">
        <v>357</v>
      </c>
    </row>
    <row r="288">
      <c r="A288" s="22" t="n">
        <v>359</v>
      </c>
      <c r="B288" s="22" t="inlineStr">
        <is>
          <t>VIRT GSM BLACKBERRY CURVE</t>
        </is>
      </c>
      <c r="C288" s="22" t="n">
        <v>359</v>
      </c>
    </row>
    <row r="289">
      <c r="A289" s="22" t="n">
        <v>360</v>
      </c>
      <c r="B289" s="22" t="inlineStr">
        <is>
          <t>VIRT GSM NOKIA 1208</t>
        </is>
      </c>
      <c r="C289" s="22" t="n">
        <v>360</v>
      </c>
    </row>
    <row r="290">
      <c r="A290" s="22" t="n">
        <v>361</v>
      </c>
      <c r="B290" s="22" t="inlineStr">
        <is>
          <t>LISTO PACK GSM NOKIA 1208</t>
        </is>
      </c>
      <c r="C290" s="22" t="n">
        <v>361</v>
      </c>
    </row>
    <row r="291">
      <c r="A291" s="22" t="n">
        <v>362</v>
      </c>
      <c r="B291" s="22" t="inlineStr">
        <is>
          <t>GSM NOKIA 1208</t>
        </is>
      </c>
      <c r="C291" s="22" t="n">
        <v>362</v>
      </c>
    </row>
    <row r="292">
      <c r="A292" s="22" t="n">
        <v>363</v>
      </c>
      <c r="B292" s="22" t="inlineStr">
        <is>
          <t>VIRT GSM NOKIA N76</t>
        </is>
      </c>
      <c r="C292" s="22" t="n">
        <v>363</v>
      </c>
    </row>
    <row r="293">
      <c r="A293" s="22" t="n">
        <v>365</v>
      </c>
      <c r="B293" s="22" t="inlineStr">
        <is>
          <t>GSM NOKIA N76</t>
        </is>
      </c>
      <c r="C293" s="22" t="n">
        <v>365</v>
      </c>
    </row>
    <row r="294">
      <c r="A294" s="22" t="n">
        <v>366</v>
      </c>
      <c r="B294" s="22" t="inlineStr">
        <is>
          <t>VIRT GSM NOKIA 5700</t>
        </is>
      </c>
      <c r="C294" s="22" t="n">
        <v>366</v>
      </c>
    </row>
    <row r="295">
      <c r="A295" s="22" t="n">
        <v>367</v>
      </c>
      <c r="B295" s="22" t="inlineStr">
        <is>
          <t>LISTO PACK GSM NOKIA 5700</t>
        </is>
      </c>
      <c r="C295" s="22" t="n">
        <v>367</v>
      </c>
    </row>
    <row r="296">
      <c r="A296" s="22" t="n">
        <v>368</v>
      </c>
      <c r="B296" s="22" t="inlineStr">
        <is>
          <t>VIRT GSM LG MG370A LYNX</t>
        </is>
      </c>
      <c r="C296" s="22" t="n">
        <v>368</v>
      </c>
    </row>
    <row r="297">
      <c r="A297" s="22" t="n">
        <v>369</v>
      </c>
      <c r="B297" s="22" t="inlineStr">
        <is>
          <t>GSM NOKIA 5700</t>
        </is>
      </c>
      <c r="C297" s="22" t="n">
        <v>369</v>
      </c>
    </row>
    <row r="298">
      <c r="A298" s="22" t="n">
        <v>370</v>
      </c>
      <c r="B298" s="22" t="inlineStr">
        <is>
          <t>LISTO PACK GSM LG MG370A LYNX</t>
        </is>
      </c>
      <c r="C298" s="22" t="n">
        <v>370</v>
      </c>
    </row>
    <row r="299">
      <c r="A299" s="22" t="n">
        <v>371</v>
      </c>
      <c r="B299" s="22" t="inlineStr">
        <is>
          <t>GSM LG MG370A LYNX</t>
        </is>
      </c>
      <c r="C299" s="22" t="n">
        <v>371</v>
      </c>
    </row>
    <row r="300">
      <c r="A300" s="22" t="n">
        <v>372</v>
      </c>
      <c r="B300" s="22" t="inlineStr">
        <is>
          <t>VIRT GSM LG ME970D SHINE</t>
        </is>
      </c>
      <c r="C300" s="22" t="n">
        <v>372</v>
      </c>
    </row>
    <row r="301">
      <c r="A301" s="22" t="n">
        <v>373</v>
      </c>
      <c r="B301" s="22" t="inlineStr">
        <is>
          <t>LISTO PACK GSM LG ME970D SHINE</t>
        </is>
      </c>
      <c r="C301" s="22" t="n">
        <v>373</v>
      </c>
    </row>
    <row r="302">
      <c r="A302" s="22" t="n">
        <v>374</v>
      </c>
      <c r="B302" s="22" t="inlineStr">
        <is>
          <t>GSM LG ME970D SHINE</t>
        </is>
      </c>
      <c r="C302" s="22" t="n">
        <v>374</v>
      </c>
    </row>
    <row r="303">
      <c r="A303" s="22" t="n">
        <v>375</v>
      </c>
      <c r="B303" s="22" t="inlineStr">
        <is>
          <t>VIRT GSM LG 161A</t>
        </is>
      </c>
      <c r="C303" s="22" t="n">
        <v>375</v>
      </c>
    </row>
    <row r="304">
      <c r="A304" s="22" t="n">
        <v>376</v>
      </c>
      <c r="B304" s="22" t="inlineStr">
        <is>
          <t>LISTO PACK GSM LG 161A</t>
        </is>
      </c>
      <c r="C304" s="22" t="n">
        <v>376</v>
      </c>
    </row>
    <row r="305">
      <c r="A305" s="22" t="n">
        <v>377</v>
      </c>
      <c r="B305" s="22" t="inlineStr">
        <is>
          <t>GSM LG MG 161A</t>
        </is>
      </c>
      <c r="C305" s="22" t="n">
        <v>377</v>
      </c>
    </row>
    <row r="306">
      <c r="A306" s="22" t="n">
        <v>378</v>
      </c>
      <c r="B306" s="22" t="inlineStr">
        <is>
          <t>VIRT GSM MOTOROLA U3</t>
        </is>
      </c>
      <c r="C306" s="22" t="n">
        <v>378</v>
      </c>
    </row>
    <row r="307">
      <c r="A307" s="22" t="n">
        <v>379</v>
      </c>
      <c r="B307" s="22" t="inlineStr">
        <is>
          <t>LISTO PACK GSM MOTOROLA U3</t>
        </is>
      </c>
      <c r="C307" s="22" t="n">
        <v>379</v>
      </c>
    </row>
    <row r="308">
      <c r="A308" s="22" t="n">
        <v>380</v>
      </c>
      <c r="B308" s="22" t="inlineStr">
        <is>
          <t>GSM MOTOROLA U3</t>
        </is>
      </c>
      <c r="C308" s="22" t="n">
        <v>380</v>
      </c>
    </row>
    <row r="309">
      <c r="A309" s="22" t="n">
        <v>381</v>
      </c>
      <c r="B309" s="22" t="inlineStr">
        <is>
          <t>VIRT GSM MOTOROLA Z6</t>
        </is>
      </c>
      <c r="C309" s="22" t="n">
        <v>381</v>
      </c>
    </row>
    <row r="310">
      <c r="A310" s="22" t="n">
        <v>382</v>
      </c>
      <c r="B310" s="22" t="inlineStr">
        <is>
          <t>LISTO PACK GSM MOTOROLA Z6</t>
        </is>
      </c>
      <c r="C310" s="22" t="n">
        <v>382</v>
      </c>
    </row>
    <row r="311">
      <c r="A311" s="22" t="n">
        <v>383</v>
      </c>
      <c r="B311" s="22" t="inlineStr">
        <is>
          <t>GSM MOTOROLA Z6</t>
        </is>
      </c>
      <c r="C311" s="22" t="n">
        <v>383</v>
      </c>
    </row>
    <row r="312">
      <c r="A312" s="22" t="n">
        <v>384</v>
      </c>
      <c r="B312" s="22" t="inlineStr">
        <is>
          <t>VIRT GSM MOTOROLA Q</t>
        </is>
      </c>
      <c r="C312" s="22" t="n">
        <v>384</v>
      </c>
    </row>
    <row r="313">
      <c r="A313" s="22" t="n">
        <v>386</v>
      </c>
      <c r="B313" s="22" t="inlineStr">
        <is>
          <t>GSM MOTOROLA Q</t>
        </is>
      </c>
      <c r="C313" s="22" t="n">
        <v>386</v>
      </c>
    </row>
    <row r="314">
      <c r="A314" s="22" t="n">
        <v>387</v>
      </c>
      <c r="B314" s="22" t="inlineStr">
        <is>
          <t>VIRT GSM MOTOROLA W510</t>
        </is>
      </c>
      <c r="C314" s="22" t="n">
        <v>387</v>
      </c>
    </row>
    <row r="315">
      <c r="A315" s="22" t="n">
        <v>388</v>
      </c>
      <c r="B315" s="22" t="inlineStr">
        <is>
          <t>LISTO PACK GSM MOTOROLA W510</t>
        </is>
      </c>
      <c r="C315" s="22" t="n">
        <v>388</v>
      </c>
    </row>
    <row r="316">
      <c r="A316" s="22" t="n">
        <v>389</v>
      </c>
      <c r="B316" s="22" t="inlineStr">
        <is>
          <t>GSM MOTOROLA W510</t>
        </is>
      </c>
      <c r="C316" s="22" t="n">
        <v>389</v>
      </c>
    </row>
    <row r="317">
      <c r="A317" s="22" t="n">
        <v>390</v>
      </c>
      <c r="B317" s="22" t="inlineStr">
        <is>
          <t>VIRT GSM LG MG295D VIAGGIO</t>
        </is>
      </c>
      <c r="C317" s="22" t="n">
        <v>390</v>
      </c>
    </row>
    <row r="318">
      <c r="A318" s="22" t="n">
        <v>391</v>
      </c>
      <c r="B318" s="22" t="inlineStr">
        <is>
          <t>LISTO PACK GSM LG MG295D VIAGGIO</t>
        </is>
      </c>
      <c r="C318" s="22" t="n">
        <v>391</v>
      </c>
    </row>
    <row r="319">
      <c r="A319" s="22" t="n">
        <v>392</v>
      </c>
      <c r="B319" s="22" t="inlineStr">
        <is>
          <t>GSM LG MG295D VIAGGIO</t>
        </is>
      </c>
      <c r="C319" s="22" t="n">
        <v>392</v>
      </c>
    </row>
    <row r="320">
      <c r="A320" s="22" t="n">
        <v>393</v>
      </c>
      <c r="B320" s="22" t="inlineStr">
        <is>
          <t>VIRT GSM SAMSUNG C506 NEO</t>
        </is>
      </c>
      <c r="C320" s="22" t="n">
        <v>393</v>
      </c>
    </row>
    <row r="321">
      <c r="A321" s="22" t="n">
        <v>394</v>
      </c>
      <c r="B321" s="22" t="inlineStr">
        <is>
          <t>LISTO PACK GSM SAMSUNG C506 NEO</t>
        </is>
      </c>
      <c r="C321" s="22" t="n">
        <v>394</v>
      </c>
    </row>
    <row r="322">
      <c r="A322" s="22" t="n">
        <v>395</v>
      </c>
      <c r="B322" s="22" t="inlineStr">
        <is>
          <t>GSM SAMSUNG C506 NEO</t>
        </is>
      </c>
      <c r="C322" s="22" t="n">
        <v>395</v>
      </c>
    </row>
    <row r="323">
      <c r="A323" s="22" t="n">
        <v>396</v>
      </c>
      <c r="B323" s="22" t="inlineStr">
        <is>
          <t>VIRT GSM SAMSUNG SGH X836 FLICK</t>
        </is>
      </c>
      <c r="C323" s="22" t="n">
        <v>396</v>
      </c>
    </row>
    <row r="324">
      <c r="A324" s="22" t="n">
        <v>397</v>
      </c>
      <c r="B324" s="22" t="inlineStr">
        <is>
          <t>LISTO PACK GSM SAMSUNG SGH X836 FLICK</t>
        </is>
      </c>
      <c r="C324" s="22" t="n">
        <v>397</v>
      </c>
    </row>
    <row r="325">
      <c r="A325" s="22" t="n">
        <v>398</v>
      </c>
      <c r="B325" s="22" t="inlineStr">
        <is>
          <t>GSM SAMSUNG SGH X836 FLICK</t>
        </is>
      </c>
      <c r="C325" s="22" t="n">
        <v>398</v>
      </c>
    </row>
    <row r="326">
      <c r="A326" s="22" t="n">
        <v>399</v>
      </c>
      <c r="B326" s="22" t="inlineStr">
        <is>
          <t>VIRT GSM SONY ERICSSON Z320</t>
        </is>
      </c>
      <c r="C326" s="22" t="n">
        <v>399</v>
      </c>
    </row>
    <row r="327">
      <c r="A327" s="22" t="n">
        <v>400</v>
      </c>
      <c r="B327" s="22" t="inlineStr">
        <is>
          <t>LISTO PACK GSM SONY ERICSSON Z320</t>
        </is>
      </c>
      <c r="C327" s="22" t="n">
        <v>400</v>
      </c>
    </row>
    <row r="328">
      <c r="A328" s="22" t="n">
        <v>401</v>
      </c>
      <c r="B328" s="22" t="inlineStr">
        <is>
          <t>GSM SONY ERICSSON Z320</t>
        </is>
      </c>
      <c r="C328" s="22" t="n">
        <v>401</v>
      </c>
    </row>
    <row r="329">
      <c r="A329" s="22" t="n">
        <v>402</v>
      </c>
      <c r="B329" s="22" t="inlineStr">
        <is>
          <t>VIRT GSM SONY ERICSSON W580</t>
        </is>
      </c>
      <c r="C329" s="22" t="n">
        <v>402</v>
      </c>
    </row>
    <row r="330">
      <c r="A330" s="22" t="n">
        <v>403</v>
      </c>
      <c r="B330" s="22" t="inlineStr">
        <is>
          <t>LISTO PACK GSM SONY ERICSSON W580</t>
        </is>
      </c>
      <c r="C330" s="22" t="n">
        <v>403</v>
      </c>
    </row>
    <row r="331">
      <c r="A331" s="22" t="n">
        <v>404</v>
      </c>
      <c r="B331" s="22" t="inlineStr">
        <is>
          <t>GSM SONY ERICSSON W580 GRIS</t>
        </is>
      </c>
      <c r="C331" s="22" t="n">
        <v>404</v>
      </c>
    </row>
    <row r="332">
      <c r="A332" s="22" t="n">
        <v>408</v>
      </c>
      <c r="B332" s="22" t="inlineStr">
        <is>
          <t>VIRT GSM LG 320</t>
        </is>
      </c>
      <c r="C332" s="22" t="n">
        <v>408</v>
      </c>
    </row>
    <row r="333">
      <c r="A333" s="22" t="n">
        <v>409</v>
      </c>
      <c r="B333" s="22" t="inlineStr">
        <is>
          <t>LISTO PACK GSM NOKIA 5070 MUNDO MOVISTAR</t>
        </is>
      </c>
      <c r="C333" s="22" t="n">
        <v>409</v>
      </c>
    </row>
    <row r="334">
      <c r="A334" s="22" t="n">
        <v>410</v>
      </c>
      <c r="B334" s="22" t="inlineStr">
        <is>
          <t>LISTO PACK LG CHOCOLATE LIGHT MUNDO MOVI</t>
        </is>
      </c>
      <c r="C334" s="22" t="n">
        <v>410</v>
      </c>
    </row>
    <row r="335">
      <c r="A335" s="22" t="n">
        <v>411</v>
      </c>
      <c r="B335" s="22" t="inlineStr">
        <is>
          <t>VIRT GSM ERICSSON G-36</t>
        </is>
      </c>
      <c r="C335" s="22" t="n">
        <v>411</v>
      </c>
    </row>
    <row r="336">
      <c r="A336" s="22" t="n">
        <v>413</v>
      </c>
      <c r="B336" s="22" t="inlineStr">
        <is>
          <t>GSM ERICSSON G-36</t>
        </is>
      </c>
      <c r="C336" s="22" t="n">
        <v>413</v>
      </c>
    </row>
    <row r="337">
      <c r="A337" s="22" t="n">
        <v>414</v>
      </c>
      <c r="B337" s="22" t="inlineStr">
        <is>
          <t>LISTOPACK GSM LGMG161A JUMONG MUNDO MOVI</t>
        </is>
      </c>
      <c r="C337" s="22" t="n">
        <v>414</v>
      </c>
    </row>
    <row r="338">
      <c r="A338" s="22" t="n">
        <v>415</v>
      </c>
      <c r="B338" s="22" t="inlineStr">
        <is>
          <t>TARJETA PREPAGO US $8</t>
        </is>
      </c>
      <c r="C338" s="22" t="n">
        <v>415</v>
      </c>
    </row>
    <row r="339">
      <c r="A339" s="22" t="n">
        <v>416</v>
      </c>
      <c r="B339" s="22" t="inlineStr">
        <is>
          <t>LISTO PACK GSM NOKIA 5200 MUNDO MOVISTAR</t>
        </is>
      </c>
      <c r="C339" s="22" t="n">
        <v>416</v>
      </c>
    </row>
    <row r="340">
      <c r="A340" s="22" t="n">
        <v>417</v>
      </c>
      <c r="B340" s="22" t="inlineStr">
        <is>
          <t>VIRT GSM NOKIA 2760</t>
        </is>
      </c>
      <c r="C340" s="22" t="n">
        <v>417</v>
      </c>
    </row>
    <row r="341">
      <c r="A341" s="22" t="n">
        <v>418</v>
      </c>
      <c r="B341" s="22" t="inlineStr">
        <is>
          <t>LISTO PACK GSM NOKIA 2760</t>
        </is>
      </c>
      <c r="C341" s="22" t="n">
        <v>418</v>
      </c>
    </row>
    <row r="342">
      <c r="A342" s="22" t="n">
        <v>419</v>
      </c>
      <c r="B342" s="22" t="inlineStr">
        <is>
          <t>GSM NOKIA 2760</t>
        </is>
      </c>
      <c r="C342" s="22" t="n">
        <v>419</v>
      </c>
    </row>
    <row r="343">
      <c r="A343" s="22" t="n">
        <v>420</v>
      </c>
      <c r="B343" s="22" t="inlineStr">
        <is>
          <t>VIRT GSM NOKIA 3500</t>
        </is>
      </c>
      <c r="C343" s="22" t="n">
        <v>420</v>
      </c>
    </row>
    <row r="344">
      <c r="A344" s="22" t="n">
        <v>421</v>
      </c>
      <c r="B344" s="22" t="inlineStr">
        <is>
          <t>LISTO PACK GSM NOKIA 3500</t>
        </is>
      </c>
      <c r="C344" s="22" t="n">
        <v>421</v>
      </c>
    </row>
    <row r="345">
      <c r="A345" s="22" t="n">
        <v>422</v>
      </c>
      <c r="B345" s="22" t="inlineStr">
        <is>
          <t>GSM NOKIA 3500</t>
        </is>
      </c>
      <c r="C345" s="22" t="n">
        <v>422</v>
      </c>
    </row>
    <row r="346">
      <c r="A346" s="22" t="n">
        <v>426</v>
      </c>
      <c r="B346" s="22" t="inlineStr">
        <is>
          <t>VIRT GSM NOKIA N95</t>
        </is>
      </c>
      <c r="C346" s="22" t="n">
        <v>426</v>
      </c>
    </row>
    <row r="347">
      <c r="A347" s="22" t="n">
        <v>427</v>
      </c>
      <c r="B347" s="22" t="inlineStr">
        <is>
          <t>LISTO PACK GSM NOKIA N95</t>
        </is>
      </c>
      <c r="C347" s="22" t="n">
        <v>427</v>
      </c>
    </row>
    <row r="348">
      <c r="A348" s="22" t="n">
        <v>428</v>
      </c>
      <c r="B348" s="22" t="inlineStr">
        <is>
          <t>GSM NOKIA N95</t>
        </is>
      </c>
      <c r="C348" s="22" t="n">
        <v>428</v>
      </c>
    </row>
    <row r="349">
      <c r="A349" s="22" t="n">
        <v>429</v>
      </c>
      <c r="B349" s="22" t="inlineStr">
        <is>
          <t>VIRT GSM NOKIA 5310 ROJO</t>
        </is>
      </c>
      <c r="C349" s="22" t="n">
        <v>429</v>
      </c>
    </row>
    <row r="350">
      <c r="A350" s="22" t="n">
        <v>430</v>
      </c>
      <c r="B350" s="22" t="inlineStr">
        <is>
          <t>LISTO PACK GSM NOKIA 5310</t>
        </is>
      </c>
      <c r="C350" s="22" t="n">
        <v>430</v>
      </c>
    </row>
    <row r="351">
      <c r="A351" s="22" t="n">
        <v>431</v>
      </c>
      <c r="B351" s="22" t="inlineStr">
        <is>
          <t>GSM NOKIA 5310 ROJO</t>
        </is>
      </c>
      <c r="C351" s="22" t="n">
        <v>431</v>
      </c>
    </row>
    <row r="352">
      <c r="A352" s="22" t="n">
        <v>432</v>
      </c>
      <c r="B352" s="22" t="inlineStr">
        <is>
          <t>VIRT GSM MOTOROLA U9</t>
        </is>
      </c>
      <c r="C352" s="22" t="n">
        <v>432</v>
      </c>
    </row>
    <row r="353">
      <c r="A353" s="22" t="n">
        <v>433</v>
      </c>
      <c r="B353" s="22" t="inlineStr">
        <is>
          <t>LISTO PACK GSM MOTOROLA U9</t>
        </is>
      </c>
      <c r="C353" s="22" t="n">
        <v>433</v>
      </c>
    </row>
    <row r="354">
      <c r="A354" s="22" t="n">
        <v>434</v>
      </c>
      <c r="B354" s="22" t="inlineStr">
        <is>
          <t>GSM MOTOROLA U9</t>
        </is>
      </c>
      <c r="C354" s="22" t="n">
        <v>434</v>
      </c>
    </row>
    <row r="355">
      <c r="A355" s="22" t="n">
        <v>438</v>
      </c>
      <c r="B355" s="22" t="inlineStr">
        <is>
          <t>VIRT GSM SAMSUNG SGH C-425</t>
        </is>
      </c>
      <c r="C355" s="22" t="n">
        <v>438</v>
      </c>
    </row>
    <row r="356">
      <c r="A356" s="22" t="n">
        <v>439</v>
      </c>
      <c r="B356" s="22" t="inlineStr">
        <is>
          <t>LISTO PACK GSM SAMSUNG SGH C-425</t>
        </is>
      </c>
      <c r="C356" s="22" t="n">
        <v>439</v>
      </c>
    </row>
    <row r="357">
      <c r="A357" s="22" t="n">
        <v>440</v>
      </c>
      <c r="B357" s="22" t="inlineStr">
        <is>
          <t>GSM SAMSUNG SGH C-425</t>
        </is>
      </c>
      <c r="C357" s="22" t="n">
        <v>440</v>
      </c>
    </row>
    <row r="358">
      <c r="A358" s="22" t="n">
        <v>444</v>
      </c>
      <c r="B358" s="22" t="inlineStr">
        <is>
          <t>VIRT GSM BLACKBERRY 8120</t>
        </is>
      </c>
      <c r="C358" s="22" t="n">
        <v>444</v>
      </c>
    </row>
    <row r="359">
      <c r="A359" s="22" t="n">
        <v>446</v>
      </c>
      <c r="B359" s="22" t="inlineStr">
        <is>
          <t>GSM BLACKBERRY 8120</t>
        </is>
      </c>
      <c r="C359" s="22" t="n">
        <v>446</v>
      </c>
    </row>
    <row r="360">
      <c r="A360" s="22" t="n">
        <v>447</v>
      </c>
      <c r="B360" s="22" t="inlineStr">
        <is>
          <t>VIRT GSM BLACKBERRY 8310</t>
        </is>
      </c>
      <c r="C360" s="22" t="n">
        <v>447</v>
      </c>
    </row>
    <row r="361">
      <c r="A361" s="22" t="n">
        <v>449</v>
      </c>
      <c r="B361" s="22" t="inlineStr">
        <is>
          <t>GSM BLACKBERRY 8310</t>
        </is>
      </c>
      <c r="C361" s="22" t="n">
        <v>449</v>
      </c>
    </row>
    <row r="362">
      <c r="A362" s="22" t="n">
        <v>450</v>
      </c>
      <c r="B362" s="22" t="inlineStr">
        <is>
          <t>VIRT GSM BASE INFOSONICS K6270</t>
        </is>
      </c>
      <c r="C362" s="22" t="n">
        <v>450</v>
      </c>
    </row>
    <row r="363">
      <c r="A363" s="22" t="n">
        <v>452</v>
      </c>
      <c r="B363" s="22" t="inlineStr">
        <is>
          <t>GSM BASE INFOSONICS K6270</t>
        </is>
      </c>
      <c r="C363" s="22" t="n">
        <v>452</v>
      </c>
    </row>
    <row r="364">
      <c r="A364" s="22" t="n">
        <v>453</v>
      </c>
      <c r="B364" s="22" t="inlineStr">
        <is>
          <t>VIRT GSM BASE HUAWEI ETS3228</t>
        </is>
      </c>
      <c r="C364" s="22" t="n">
        <v>453</v>
      </c>
    </row>
    <row r="365">
      <c r="A365" s="22" t="n">
        <v>455</v>
      </c>
      <c r="B365" s="22" t="inlineStr">
        <is>
          <t>GSM BASE HUAWEI ETS3228</t>
        </is>
      </c>
      <c r="C365" s="22" t="n">
        <v>455</v>
      </c>
    </row>
    <row r="366">
      <c r="A366" s="22" t="n">
        <v>456</v>
      </c>
      <c r="B366" s="22" t="inlineStr">
        <is>
          <t>VIRT GSM LG ME550D</t>
        </is>
      </c>
      <c r="C366" s="22" t="n">
        <v>456</v>
      </c>
    </row>
    <row r="367">
      <c r="A367" s="22" t="n">
        <v>457</v>
      </c>
      <c r="B367" s="22" t="inlineStr">
        <is>
          <t>LISTO PACK GSM LG ME550D</t>
        </is>
      </c>
      <c r="C367" s="22" t="n">
        <v>457</v>
      </c>
    </row>
    <row r="368">
      <c r="A368" s="22" t="n">
        <v>458</v>
      </c>
      <c r="B368" s="22" t="inlineStr">
        <is>
          <t>GSM LG ME550D</t>
        </is>
      </c>
      <c r="C368" s="22" t="n">
        <v>458</v>
      </c>
    </row>
    <row r="369">
      <c r="A369" s="22" t="n">
        <v>459</v>
      </c>
      <c r="B369" s="22" t="inlineStr">
        <is>
          <t>VIRT GSM BESS SP 500 NEGRO</t>
        </is>
      </c>
      <c r="C369" s="22" t="n">
        <v>459</v>
      </c>
    </row>
    <row r="370">
      <c r="A370" s="22" t="n">
        <v>460</v>
      </c>
      <c r="B370" s="22" t="inlineStr">
        <is>
          <t>LISTO PACK GSM BESS SP 500</t>
        </is>
      </c>
      <c r="C370" s="22" t="n">
        <v>460</v>
      </c>
    </row>
    <row r="371">
      <c r="A371" s="22" t="n">
        <v>461</v>
      </c>
      <c r="B371" s="22" t="inlineStr">
        <is>
          <t>GSM BESS SP 500 NEGRO</t>
        </is>
      </c>
      <c r="C371" s="22" t="n">
        <v>461</v>
      </c>
    </row>
    <row r="372">
      <c r="A372" s="22" t="n">
        <v>462</v>
      </c>
      <c r="B372" s="22" t="inlineStr">
        <is>
          <t>VIRT GSM SONY ERICSSON K850</t>
        </is>
      </c>
      <c r="C372" s="22" t="n">
        <v>462</v>
      </c>
    </row>
    <row r="373">
      <c r="A373" s="22" t="n">
        <v>463</v>
      </c>
      <c r="B373" s="22" t="inlineStr">
        <is>
          <t>LISTO PACK GSM SONY ERICSSON K850</t>
        </is>
      </c>
      <c r="C373" s="22" t="n">
        <v>463</v>
      </c>
    </row>
    <row r="374">
      <c r="A374" s="22" t="n">
        <v>464</v>
      </c>
      <c r="B374" s="22" t="inlineStr">
        <is>
          <t>GSM SONY ERICSSON K850</t>
        </is>
      </c>
      <c r="C374" s="22" t="n">
        <v>464</v>
      </c>
    </row>
    <row r="375">
      <c r="A375" s="22" t="n">
        <v>465</v>
      </c>
      <c r="B375" s="22" t="inlineStr">
        <is>
          <t>VIRT GSM SONY ERICSSON W910</t>
        </is>
      </c>
      <c r="C375" s="22" t="n">
        <v>465</v>
      </c>
    </row>
    <row r="376">
      <c r="A376" s="22" t="n">
        <v>466</v>
      </c>
      <c r="B376" s="22" t="inlineStr">
        <is>
          <t>LISTO PACK GSM SONY ERICSSON W910</t>
        </is>
      </c>
      <c r="C376" s="22" t="n">
        <v>466</v>
      </c>
    </row>
    <row r="377">
      <c r="A377" s="22" t="n">
        <v>467</v>
      </c>
      <c r="B377" s="22" t="inlineStr">
        <is>
          <t>GSM SONY ERICSSON W910</t>
        </is>
      </c>
      <c r="C377" s="22" t="n">
        <v>467</v>
      </c>
    </row>
    <row r="378">
      <c r="A378" s="22" t="n">
        <v>470</v>
      </c>
      <c r="B378" s="22" t="inlineStr">
        <is>
          <t>LISTO PACK GSM SONY ERICSSON W580 MUNDO</t>
        </is>
      </c>
      <c r="C378" s="22" t="n">
        <v>470</v>
      </c>
    </row>
    <row r="379">
      <c r="A379" s="22" t="n">
        <v>471</v>
      </c>
      <c r="B379" s="22" t="inlineStr">
        <is>
          <t>VIRT GSM SAMSUNG F250L</t>
        </is>
      </c>
      <c r="C379" s="22" t="n">
        <v>471</v>
      </c>
    </row>
    <row r="380">
      <c r="A380" s="22" t="n">
        <v>472</v>
      </c>
      <c r="B380" s="22" t="inlineStr">
        <is>
          <t>LISTO PACK GSM SAMSUNG F250L</t>
        </is>
      </c>
      <c r="C380" s="22" t="n">
        <v>472</v>
      </c>
    </row>
    <row r="381">
      <c r="A381" s="22" t="n">
        <v>473</v>
      </c>
      <c r="B381" s="22" t="inlineStr">
        <is>
          <t>GSM SAMSUNG F250L</t>
        </is>
      </c>
      <c r="C381" s="22" t="n">
        <v>473</v>
      </c>
    </row>
    <row r="382">
      <c r="A382" s="22" t="n">
        <v>474</v>
      </c>
      <c r="B382" s="22" t="inlineStr">
        <is>
          <t>VIRT GSM LG KP210 VESTA</t>
        </is>
      </c>
      <c r="C382" s="22" t="n">
        <v>474</v>
      </c>
    </row>
    <row r="383">
      <c r="A383" s="22" t="n">
        <v>475</v>
      </c>
      <c r="B383" s="22" t="inlineStr">
        <is>
          <t>LISTO PACK GSM LG KP210 VESTA</t>
        </is>
      </c>
      <c r="C383" s="22" t="n">
        <v>475</v>
      </c>
    </row>
    <row r="384">
      <c r="A384" s="22" t="n">
        <v>476</v>
      </c>
      <c r="B384" s="22" t="inlineStr">
        <is>
          <t>GSM LG KP210 VESTA</t>
        </is>
      </c>
      <c r="C384" s="22" t="n">
        <v>476</v>
      </c>
    </row>
    <row r="385">
      <c r="A385" s="22" t="n">
        <v>477</v>
      </c>
      <c r="B385" s="22" t="inlineStr">
        <is>
          <t>VIRT GSM LG KP105 RUBY</t>
        </is>
      </c>
      <c r="C385" s="22" t="n">
        <v>477</v>
      </c>
    </row>
    <row r="386">
      <c r="A386" s="22" t="n">
        <v>478</v>
      </c>
      <c r="B386" s="22" t="inlineStr">
        <is>
          <t>LISTO PACK GSM LG KP105 RUBY</t>
        </is>
      </c>
      <c r="C386" s="22" t="n">
        <v>478</v>
      </c>
    </row>
    <row r="387">
      <c r="A387" s="22" t="n">
        <v>480</v>
      </c>
      <c r="B387" s="22" t="inlineStr">
        <is>
          <t>GSM LG KP105 RUBY</t>
        </is>
      </c>
      <c r="C387" s="22" t="n">
        <v>480</v>
      </c>
    </row>
    <row r="388">
      <c r="A388" s="22" t="n">
        <v>481</v>
      </c>
      <c r="B388" s="22" t="inlineStr">
        <is>
          <t>VIRT GSM MOTOROLA W5</t>
        </is>
      </c>
      <c r="C388" s="22" t="n">
        <v>481</v>
      </c>
    </row>
    <row r="389">
      <c r="A389" s="22" t="n">
        <v>482</v>
      </c>
      <c r="B389" s="22" t="inlineStr">
        <is>
          <t>LISTO PACK GSM MOTOROLA W5</t>
        </is>
      </c>
      <c r="C389" s="22" t="n">
        <v>482</v>
      </c>
    </row>
    <row r="390">
      <c r="A390" s="22" t="n">
        <v>483</v>
      </c>
      <c r="B390" s="22" t="inlineStr">
        <is>
          <t>GSM MOTOROLA W5</t>
        </is>
      </c>
      <c r="C390" s="22" t="n">
        <v>483</v>
      </c>
    </row>
    <row r="391">
      <c r="A391" s="22" t="n">
        <v>484</v>
      </c>
      <c r="B391" s="22" t="inlineStr">
        <is>
          <t>VIRT GSM NOKIA 2630 NEGRO</t>
        </is>
      </c>
      <c r="C391" s="22" t="n">
        <v>484</v>
      </c>
    </row>
    <row r="392">
      <c r="A392" s="22" t="n">
        <v>485</v>
      </c>
      <c r="B392" s="22" t="inlineStr">
        <is>
          <t>LISTO PACK GSM NOKIA 2630</t>
        </is>
      </c>
      <c r="C392" s="22" t="n">
        <v>485</v>
      </c>
    </row>
    <row r="393">
      <c r="A393" s="22" t="n">
        <v>486</v>
      </c>
      <c r="B393" s="22" t="inlineStr">
        <is>
          <t>GSM NOKIA 2630 NEGRO</t>
        </is>
      </c>
      <c r="C393" s="22" t="n">
        <v>486</v>
      </c>
    </row>
    <row r="394">
      <c r="A394" s="22" t="n">
        <v>494</v>
      </c>
      <c r="B394" s="22" t="inlineStr">
        <is>
          <t>VIRT GSM SONY ERICSSON W380 GRIS</t>
        </is>
      </c>
      <c r="C394" s="22" t="n">
        <v>494</v>
      </c>
    </row>
    <row r="395">
      <c r="A395" s="22" t="n">
        <v>495</v>
      </c>
      <c r="B395" s="22" t="inlineStr">
        <is>
          <t>LISTO PACK GSM SONY ERICSSON W380</t>
        </is>
      </c>
      <c r="C395" s="22" t="n">
        <v>495</v>
      </c>
    </row>
    <row r="396">
      <c r="A396" s="22" t="n">
        <v>496</v>
      </c>
      <c r="B396" s="22" t="inlineStr">
        <is>
          <t>GSM SONY ERICSSON W380 GRIS</t>
        </is>
      </c>
      <c r="C396" s="22" t="n">
        <v>496</v>
      </c>
    </row>
    <row r="397">
      <c r="A397" s="22" t="n">
        <v>504</v>
      </c>
      <c r="B397" s="22" t="inlineStr">
        <is>
          <t>LISTO PACK GSM NOKIA 1208 ESPAÑA M. M</t>
        </is>
      </c>
      <c r="C397" s="22" t="n">
        <v>504</v>
      </c>
    </row>
    <row r="398">
      <c r="A398" s="22" t="n">
        <v>505</v>
      </c>
      <c r="B398" s="22" t="inlineStr">
        <is>
          <t>LISTO PACK GSM LG VESTA MUNDO MOVISTAR</t>
        </is>
      </c>
      <c r="C398" s="22" t="n">
        <v>505</v>
      </c>
    </row>
    <row r="399">
      <c r="A399" s="22" t="n">
        <v>514</v>
      </c>
      <c r="B399" s="22" t="inlineStr">
        <is>
          <t>VIRT GSM LG VENUS</t>
        </is>
      </c>
      <c r="C399" s="22" t="n">
        <v>514</v>
      </c>
    </row>
    <row r="400">
      <c r="A400" s="22" t="n">
        <v>516</v>
      </c>
      <c r="B400" s="22" t="inlineStr">
        <is>
          <t>GSM LG VENUS</t>
        </is>
      </c>
      <c r="C400" s="22" t="n">
        <v>516</v>
      </c>
    </row>
    <row r="401">
      <c r="A401" s="22" t="n">
        <v>524</v>
      </c>
      <c r="B401" s="22" t="inlineStr">
        <is>
          <t>VIRT GSM LG SHINE SLIM</t>
        </is>
      </c>
      <c r="C401" s="22" t="n">
        <v>524</v>
      </c>
    </row>
    <row r="402">
      <c r="A402" s="22" t="n">
        <v>526</v>
      </c>
      <c r="B402" s="22" t="inlineStr">
        <is>
          <t>GSM LG SHINE SLIM</t>
        </is>
      </c>
      <c r="C402" s="22" t="n">
        <v>526</v>
      </c>
    </row>
    <row r="403">
      <c r="A403" s="22" t="n">
        <v>527</v>
      </c>
      <c r="B403" s="22" t="inlineStr">
        <is>
          <t>VIRT GSM LG VIEWTY</t>
        </is>
      </c>
      <c r="C403" s="22" t="n">
        <v>527</v>
      </c>
    </row>
    <row r="404">
      <c r="A404" s="22" t="n">
        <v>529</v>
      </c>
      <c r="B404" s="22" t="inlineStr">
        <is>
          <t>GSM LG VIEWTY</t>
        </is>
      </c>
      <c r="C404" s="22" t="n">
        <v>529</v>
      </c>
    </row>
    <row r="405">
      <c r="A405" s="22" t="n">
        <v>534</v>
      </c>
      <c r="B405" s="22" t="inlineStr">
        <is>
          <t>VIRT GSM MOTOROLA V8</t>
        </is>
      </c>
      <c r="C405" s="22" t="n">
        <v>534</v>
      </c>
    </row>
    <row r="406">
      <c r="A406" s="22" t="n">
        <v>536</v>
      </c>
      <c r="B406" s="22" t="inlineStr">
        <is>
          <t>GSM MOTOROLA V8</t>
        </is>
      </c>
      <c r="C406" s="22" t="n">
        <v>536</v>
      </c>
    </row>
    <row r="407">
      <c r="A407" s="22" t="n">
        <v>544</v>
      </c>
      <c r="B407" s="22" t="inlineStr">
        <is>
          <t>LISTO PACK GSM LG RUBY MUNDO MOVISTAR</t>
        </is>
      </c>
      <c r="C407" s="22" t="n">
        <v>544</v>
      </c>
    </row>
    <row r="408">
      <c r="A408" s="22" t="n">
        <v>545</v>
      </c>
      <c r="B408" s="22" t="inlineStr">
        <is>
          <t>LISTO PACK GSM NOKIA 2630 USA M. M</t>
        </is>
      </c>
      <c r="C408" s="22" t="n">
        <v>545</v>
      </c>
    </row>
    <row r="409">
      <c r="A409" s="22" t="n">
        <v>546</v>
      </c>
      <c r="B409" s="22" t="inlineStr">
        <is>
          <t>LISTO PACK GSM SONY ERICSSON K550 M.M</t>
        </is>
      </c>
      <c r="C409" s="22" t="n">
        <v>546</v>
      </c>
    </row>
    <row r="410">
      <c r="A410" s="22" t="n">
        <v>554</v>
      </c>
      <c r="B410" s="22" t="inlineStr">
        <is>
          <t>VIRT GSM NOKIA 6120</t>
        </is>
      </c>
      <c r="C410" s="22" t="n">
        <v>554</v>
      </c>
    </row>
    <row r="411">
      <c r="A411" s="22" t="n">
        <v>555</v>
      </c>
      <c r="B411" s="22" t="inlineStr">
        <is>
          <t>GSM NOKIA 6120</t>
        </is>
      </c>
      <c r="C411" s="22" t="n">
        <v>555</v>
      </c>
    </row>
    <row r="412">
      <c r="A412" s="22" t="n">
        <v>564</v>
      </c>
      <c r="B412" s="22" t="inlineStr">
        <is>
          <t>LISTO PACK SONY ERICSSON W200 M.M</t>
        </is>
      </c>
      <c r="C412" s="22" t="n">
        <v>564</v>
      </c>
    </row>
    <row r="413">
      <c r="A413" s="22" t="n">
        <v>574</v>
      </c>
      <c r="B413" s="22" t="inlineStr">
        <is>
          <t>GSM SONY ERICSSON W200 NEGRO</t>
        </is>
      </c>
      <c r="C413" s="22" t="n">
        <v>574</v>
      </c>
    </row>
    <row r="414">
      <c r="A414" s="22" t="n">
        <v>575</v>
      </c>
      <c r="B414" s="22" t="inlineStr">
        <is>
          <t>GSM SONY ERICSSON W200 ROSA</t>
        </is>
      </c>
      <c r="C414" s="22" t="n">
        <v>575</v>
      </c>
    </row>
    <row r="415">
      <c r="A415" s="22" t="n">
        <v>584</v>
      </c>
      <c r="B415" s="22" t="inlineStr">
        <is>
          <t>GSM SONY ERICSSON K550 BLANCO</t>
        </is>
      </c>
      <c r="C415" s="22" t="n">
        <v>584</v>
      </c>
    </row>
    <row r="416">
      <c r="A416" s="22" t="n">
        <v>585</v>
      </c>
      <c r="B416" s="22" t="inlineStr">
        <is>
          <t>GSM SONY ERICSSON W580 BLANCO</t>
        </is>
      </c>
      <c r="C416" s="22" t="n">
        <v>585</v>
      </c>
    </row>
    <row r="417">
      <c r="A417" s="22" t="n">
        <v>594</v>
      </c>
      <c r="B417" s="22" t="inlineStr">
        <is>
          <t>GSM SONY ERICSSON W200 GREY</t>
        </is>
      </c>
      <c r="C417" s="22" t="n">
        <v>594</v>
      </c>
    </row>
    <row r="418">
      <c r="A418" s="22" t="n">
        <v>604</v>
      </c>
      <c r="B418" s="22" t="inlineStr">
        <is>
          <t>VIRT GSM SONY ERICSSON W200 GREY</t>
        </is>
      </c>
      <c r="C418" s="22" t="n">
        <v>604</v>
      </c>
    </row>
    <row r="419">
      <c r="A419" s="22" t="n">
        <v>605</v>
      </c>
      <c r="B419" s="22" t="inlineStr">
        <is>
          <t>VIRT GSM SONY ERICSSON K550 NEGRO</t>
        </is>
      </c>
      <c r="C419" s="22" t="n">
        <v>605</v>
      </c>
    </row>
    <row r="420">
      <c r="A420" s="22" t="n">
        <v>606</v>
      </c>
      <c r="B420" s="22" t="inlineStr">
        <is>
          <t>VIRT GSM SONY ERICSSON K550 BLANCO</t>
        </is>
      </c>
      <c r="C420" s="22" t="n">
        <v>606</v>
      </c>
    </row>
    <row r="421">
      <c r="A421" s="22" t="n">
        <v>607</v>
      </c>
      <c r="B421" s="22" t="inlineStr">
        <is>
          <t>VIRT GSM SONY ERICSSON W580 GRIS</t>
        </is>
      </c>
      <c r="C421" s="22" t="n">
        <v>607</v>
      </c>
    </row>
    <row r="422">
      <c r="A422" s="22" t="n">
        <v>608</v>
      </c>
      <c r="B422" s="22" t="inlineStr">
        <is>
          <t>VIRT GSM SONY ERICSSON W580 BLANCO</t>
        </is>
      </c>
      <c r="C422" s="22" t="n">
        <v>608</v>
      </c>
    </row>
    <row r="423">
      <c r="A423" s="22" t="n">
        <v>609</v>
      </c>
      <c r="B423" s="22" t="inlineStr">
        <is>
          <t>VIRT GSM SONY ERICSSON W200 AZUL</t>
        </is>
      </c>
      <c r="C423" s="22" t="n">
        <v>609</v>
      </c>
    </row>
    <row r="424">
      <c r="A424" s="22" t="n">
        <v>610</v>
      </c>
      <c r="B424" s="22" t="inlineStr">
        <is>
          <t>VIRT GSM IPHONE 8G NEGRO</t>
        </is>
      </c>
      <c r="C424" s="22" t="n">
        <v>610</v>
      </c>
    </row>
    <row r="425">
      <c r="A425" s="22" t="n">
        <v>612</v>
      </c>
      <c r="B425" s="22" t="inlineStr">
        <is>
          <t>VIRT GSM SONY ERICSSON W200 ROSA</t>
        </is>
      </c>
      <c r="C425" s="22" t="n">
        <v>612</v>
      </c>
    </row>
    <row r="426">
      <c r="A426" s="22" t="n">
        <v>613</v>
      </c>
      <c r="B426" s="22" t="inlineStr">
        <is>
          <t>GSM IPHONE 8G NEGRO</t>
        </is>
      </c>
      <c r="C426" s="22" t="n">
        <v>613</v>
      </c>
    </row>
    <row r="427">
      <c r="A427" s="22" t="n">
        <v>614</v>
      </c>
      <c r="B427" s="22" t="inlineStr">
        <is>
          <t>VIRT GSM IPHONE 16G NEGRO</t>
        </is>
      </c>
      <c r="C427" s="22" t="n">
        <v>614</v>
      </c>
    </row>
    <row r="428">
      <c r="A428" s="22" t="n">
        <v>615</v>
      </c>
      <c r="B428" s="22" t="inlineStr">
        <is>
          <t>GSM IPHONE 16G NEGRO</t>
        </is>
      </c>
      <c r="C428" s="22" t="n">
        <v>615</v>
      </c>
    </row>
    <row r="429">
      <c r="A429" s="22" t="n">
        <v>616</v>
      </c>
      <c r="B429" s="22" t="inlineStr">
        <is>
          <t>VIRT GSM IPHONE 16G BLANCO</t>
        </is>
      </c>
      <c r="C429" s="22" t="n">
        <v>616</v>
      </c>
    </row>
    <row r="430">
      <c r="A430" s="22" t="n">
        <v>617</v>
      </c>
      <c r="B430" s="22" t="inlineStr">
        <is>
          <t>GSM IPHONE 16G BLANCO</t>
        </is>
      </c>
      <c r="C430" s="22" t="n">
        <v>617</v>
      </c>
    </row>
    <row r="431">
      <c r="A431" s="22" t="n">
        <v>624</v>
      </c>
      <c r="B431" s="22" t="inlineStr">
        <is>
          <t>VIRT GSM BLACKBERRY BOLD NEGRO</t>
        </is>
      </c>
      <c r="C431" s="22" t="n">
        <v>624</v>
      </c>
    </row>
    <row r="432">
      <c r="A432" s="22" t="n">
        <v>625</v>
      </c>
      <c r="B432" s="22" t="inlineStr">
        <is>
          <t>GSM BLACKBERRY BOLD NEGRO</t>
        </is>
      </c>
      <c r="C432" s="22" t="n">
        <v>625</v>
      </c>
    </row>
    <row r="433">
      <c r="A433" s="22" t="n">
        <v>634</v>
      </c>
      <c r="B433" s="22" t="inlineStr">
        <is>
          <t>GSM SONY ERICSSON W380 PURPURA</t>
        </is>
      </c>
      <c r="C433" s="22" t="n">
        <v>634</v>
      </c>
    </row>
    <row r="434">
      <c r="A434" s="22" t="n">
        <v>635</v>
      </c>
      <c r="B434" s="22" t="inlineStr">
        <is>
          <t>GSM LG CITRINE NEGRO</t>
        </is>
      </c>
      <c r="C434" s="22" t="n">
        <v>635</v>
      </c>
    </row>
    <row r="435">
      <c r="A435" s="22" t="n">
        <v>636</v>
      </c>
      <c r="B435" s="22" t="inlineStr">
        <is>
          <t>VIRT GSM LG CITRINE NEGRO</t>
        </is>
      </c>
      <c r="C435" s="22" t="n">
        <v>636</v>
      </c>
    </row>
    <row r="436">
      <c r="A436" s="22" t="n">
        <v>637</v>
      </c>
      <c r="B436" s="22" t="inlineStr">
        <is>
          <t>VIRT GSM SONY ERICSSON W380 PURPURA</t>
        </is>
      </c>
      <c r="C436" s="22" t="n">
        <v>637</v>
      </c>
    </row>
    <row r="437">
      <c r="A437" s="22" t="n">
        <v>654</v>
      </c>
      <c r="B437" s="22" t="inlineStr">
        <is>
          <t>GSM SAMSUNG F250 AZUL</t>
        </is>
      </c>
      <c r="C437" s="22" t="n">
        <v>654</v>
      </c>
    </row>
    <row r="438">
      <c r="A438" s="22" t="n">
        <v>655</v>
      </c>
      <c r="B438" s="22" t="inlineStr">
        <is>
          <t>VIRT GSM SAMSUNG F250 AZUL</t>
        </is>
      </c>
      <c r="C438" s="22" t="n">
        <v>655</v>
      </c>
    </row>
    <row r="439">
      <c r="A439" s="22" t="n">
        <v>656</v>
      </c>
      <c r="B439" s="22" t="inlineStr">
        <is>
          <t>GSM SAMSUNG E215 AZUL</t>
        </is>
      </c>
      <c r="C439" s="22" t="n">
        <v>656</v>
      </c>
    </row>
    <row r="440">
      <c r="A440" s="22" t="n">
        <v>657</v>
      </c>
      <c r="B440" s="22" t="inlineStr">
        <is>
          <t>VIRT GSM SAMSUNG E215 AZUL</t>
        </is>
      </c>
      <c r="C440" s="22" t="n">
        <v>657</v>
      </c>
    </row>
    <row r="441">
      <c r="A441" s="22" t="n">
        <v>658</v>
      </c>
      <c r="B441" s="22" t="inlineStr">
        <is>
          <t>GSM SAMSUNG M310 NEGRO</t>
        </is>
      </c>
      <c r="C441" s="22" t="n">
        <v>658</v>
      </c>
    </row>
    <row r="442">
      <c r="A442" s="22" t="n">
        <v>659</v>
      </c>
      <c r="B442" s="22" t="inlineStr">
        <is>
          <t>VIRT GSM SAMSUNG M310 NEGRO</t>
        </is>
      </c>
      <c r="C442" s="22" t="n">
        <v>659</v>
      </c>
    </row>
    <row r="443">
      <c r="A443" s="22" t="n">
        <v>660</v>
      </c>
      <c r="B443" s="22" t="inlineStr">
        <is>
          <t>GSM NOKIA 5610 BLUE</t>
        </is>
      </c>
      <c r="C443" s="22" t="n">
        <v>660</v>
      </c>
    </row>
    <row r="444">
      <c r="A444" s="22" t="n">
        <v>661</v>
      </c>
      <c r="B444" s="22" t="inlineStr">
        <is>
          <t>VIRT GSM NOKIA 5610 BLUE</t>
        </is>
      </c>
      <c r="C444" s="22" t="n">
        <v>661</v>
      </c>
    </row>
    <row r="445">
      <c r="A445" s="22" t="n">
        <v>664</v>
      </c>
      <c r="B445" s="22" t="inlineStr">
        <is>
          <t>GSM NOKIA 5310 AZUL</t>
        </is>
      </c>
      <c r="C445" s="22" t="n">
        <v>664</v>
      </c>
    </row>
    <row r="446">
      <c r="A446" s="22" t="n">
        <v>665</v>
      </c>
      <c r="B446" s="22" t="inlineStr">
        <is>
          <t>VIRT GSM NOKIA 5310 AZUL</t>
        </is>
      </c>
      <c r="C446" s="22" t="n">
        <v>665</v>
      </c>
    </row>
    <row r="447">
      <c r="A447" s="22" t="n">
        <v>666</v>
      </c>
      <c r="B447" s="22" t="inlineStr">
        <is>
          <t>GSM NOKIA 2630 BLANCO</t>
        </is>
      </c>
      <c r="C447" s="22" t="n">
        <v>666</v>
      </c>
    </row>
    <row r="448">
      <c r="A448" s="22" t="n">
        <v>667</v>
      </c>
      <c r="B448" s="22" t="inlineStr">
        <is>
          <t>VIRT GSM NOKIA 2630 BLANCO</t>
        </is>
      </c>
      <c r="C448" s="22" t="n">
        <v>667</v>
      </c>
    </row>
    <row r="449">
      <c r="A449" s="22" t="n">
        <v>674</v>
      </c>
      <c r="B449" s="22" t="inlineStr">
        <is>
          <t>GSM NOKIA 5000 VERDE</t>
        </is>
      </c>
      <c r="C449" s="22" t="n">
        <v>674</v>
      </c>
    </row>
    <row r="450">
      <c r="A450" s="22" t="n">
        <v>675</v>
      </c>
      <c r="B450" s="22" t="inlineStr">
        <is>
          <t>VIRT GSM NOKIA 5000 VERDE</t>
        </is>
      </c>
      <c r="C450" s="22" t="n">
        <v>675</v>
      </c>
    </row>
    <row r="451">
      <c r="A451" s="22" t="n">
        <v>676</v>
      </c>
      <c r="B451" s="22" t="inlineStr">
        <is>
          <t>GSM SONY ERICSSON W980 NEGRO</t>
        </is>
      </c>
      <c r="C451" s="22" t="n">
        <v>676</v>
      </c>
    </row>
    <row r="452">
      <c r="A452" s="22" t="n">
        <v>677</v>
      </c>
      <c r="B452" s="22" t="inlineStr">
        <is>
          <t>VIRT GSM SONY ERICSSON W980 NEGRO</t>
        </is>
      </c>
      <c r="C452" s="22" t="n">
        <v>677</v>
      </c>
    </row>
    <row r="453">
      <c r="A453" s="22" t="n">
        <v>678</v>
      </c>
      <c r="B453" s="22" t="inlineStr">
        <is>
          <t>GSM SONY ERICSSON W890 PLATA</t>
        </is>
      </c>
      <c r="C453" s="22" t="n">
        <v>678</v>
      </c>
    </row>
    <row r="454">
      <c r="A454" s="22" t="n">
        <v>679</v>
      </c>
      <c r="B454" s="22" t="inlineStr">
        <is>
          <t>VIRT GSM SONY ERICSSON W890 PLATA</t>
        </is>
      </c>
      <c r="C454" s="22" t="n">
        <v>679</v>
      </c>
    </row>
    <row r="455">
      <c r="A455" s="22" t="n">
        <v>680</v>
      </c>
      <c r="B455" s="22" t="inlineStr">
        <is>
          <t>GSM NOKIA 5220 AZUL</t>
        </is>
      </c>
      <c r="C455" s="22" t="n">
        <v>680</v>
      </c>
    </row>
    <row r="456">
      <c r="A456" s="22" t="n">
        <v>683</v>
      </c>
      <c r="B456" s="22" t="inlineStr">
        <is>
          <t>VIRT GSM NOKIA 5220 AZUL</t>
        </is>
      </c>
      <c r="C456" s="22" t="n">
        <v>683</v>
      </c>
    </row>
    <row r="457">
      <c r="A457" s="22" t="n">
        <v>705</v>
      </c>
      <c r="B457" s="22" t="inlineStr">
        <is>
          <t>LISTO PACK GSM NOKIA 2630 ESPAÑA M.M</t>
        </is>
      </c>
      <c r="C457" s="22" t="n">
        <v>705</v>
      </c>
    </row>
    <row r="458">
      <c r="A458" s="22" t="n">
        <v>707</v>
      </c>
      <c r="B458" s="22" t="inlineStr">
        <is>
          <t>LISTO PACK GSM NOKIA 3500 ESPAÑA M.M</t>
        </is>
      </c>
      <c r="C458" s="22" t="n">
        <v>707</v>
      </c>
    </row>
    <row r="459">
      <c r="A459" s="22" t="n">
        <v>714</v>
      </c>
      <c r="B459" s="22" t="inlineStr">
        <is>
          <t>SIMCARD 2FF PREPAGO 128K</t>
        </is>
      </c>
      <c r="C459" s="22" t="n">
        <v>714</v>
      </c>
    </row>
    <row r="460">
      <c r="A460" s="22" t="n">
        <v>724</v>
      </c>
      <c r="B460" s="22" t="inlineStr">
        <is>
          <t>GSM BESS SP 500 BLANCO</t>
        </is>
      </c>
      <c r="C460" s="22" t="n">
        <v>724</v>
      </c>
    </row>
    <row r="461">
      <c r="A461" s="22" t="n">
        <v>725</v>
      </c>
      <c r="B461" s="22" t="inlineStr">
        <is>
          <t>VIRT GSM BESS SP 500 BLANCO</t>
        </is>
      </c>
      <c r="C461" s="22" t="n">
        <v>725</v>
      </c>
    </row>
    <row r="462">
      <c r="A462" s="22" t="n">
        <v>844</v>
      </c>
      <c r="B462" s="22" t="inlineStr">
        <is>
          <t>GSM SONY ERICSSON T303 NEGRO</t>
        </is>
      </c>
      <c r="C462" s="22" t="n">
        <v>844</v>
      </c>
    </row>
    <row r="463">
      <c r="A463" s="22" t="n">
        <v>845</v>
      </c>
      <c r="B463" s="22" t="inlineStr">
        <is>
          <t>VIRT GSM SONY ERICSSON T303 NEGRO</t>
        </is>
      </c>
      <c r="C463" s="22" t="n">
        <v>845</v>
      </c>
    </row>
    <row r="464">
      <c r="A464" s="22" t="n">
        <v>846</v>
      </c>
      <c r="B464" s="22" t="inlineStr">
        <is>
          <t>GSM SONY ERICSSON R306 NEGRO</t>
        </is>
      </c>
      <c r="C464" s="22" t="n">
        <v>846</v>
      </c>
    </row>
    <row r="465">
      <c r="A465" s="22" t="n">
        <v>847</v>
      </c>
      <c r="B465" s="22" t="inlineStr">
        <is>
          <t>VIRT GSM SONY ERICSSON R306 NEGRO</t>
        </is>
      </c>
      <c r="C465" s="22" t="n">
        <v>847</v>
      </c>
    </row>
    <row r="466">
      <c r="A466" s="22" t="n">
        <v>850</v>
      </c>
      <c r="B466" s="22" t="inlineStr">
        <is>
          <t>GSM NOKIA E51 NEGRO</t>
        </is>
      </c>
      <c r="C466" s="22" t="n">
        <v>850</v>
      </c>
    </row>
    <row r="467">
      <c r="A467" s="22" t="n">
        <v>851</v>
      </c>
      <c r="B467" s="22" t="inlineStr">
        <is>
          <t>VIRT GSM NOKIA E51 NEGRO</t>
        </is>
      </c>
      <c r="C467" s="22" t="n">
        <v>851</v>
      </c>
    </row>
    <row r="468">
      <c r="A468" s="22" t="n">
        <v>852</v>
      </c>
      <c r="B468" s="22" t="inlineStr">
        <is>
          <t>GSM NOKIA E71 PLATA</t>
        </is>
      </c>
      <c r="C468" s="22" t="n">
        <v>852</v>
      </c>
    </row>
    <row r="469">
      <c r="A469" s="22" t="n">
        <v>853</v>
      </c>
      <c r="B469" s="22" t="inlineStr">
        <is>
          <t>VIRT GSM NOKIA E71 PLATA</t>
        </is>
      </c>
      <c r="C469" s="22" t="n">
        <v>853</v>
      </c>
    </row>
    <row r="470">
      <c r="A470" s="22" t="n">
        <v>854</v>
      </c>
      <c r="B470" s="22" t="inlineStr">
        <is>
          <t>GSM NOKIA 3600 NEGRO</t>
        </is>
      </c>
      <c r="C470" s="22" t="n">
        <v>854</v>
      </c>
    </row>
    <row r="471">
      <c r="A471" s="22" t="n">
        <v>855</v>
      </c>
      <c r="B471" s="22" t="inlineStr">
        <is>
          <t>VIRT GSM NOKIA 3600 NEGRO</t>
        </is>
      </c>
      <c r="C471" s="22" t="n">
        <v>855</v>
      </c>
    </row>
    <row r="472">
      <c r="A472" s="22" t="n">
        <v>856</v>
      </c>
      <c r="B472" s="22" t="inlineStr">
        <is>
          <t>GSM NOKIA 1680</t>
        </is>
      </c>
      <c r="C472" s="22" t="n">
        <v>856</v>
      </c>
    </row>
    <row r="473">
      <c r="A473" s="22" t="n">
        <v>857</v>
      </c>
      <c r="B473" s="22" t="inlineStr">
        <is>
          <t>VIRT GSM NOKIA 1680</t>
        </is>
      </c>
      <c r="C473" s="22" t="n">
        <v>857</v>
      </c>
    </row>
    <row r="474">
      <c r="A474" s="22" t="n">
        <v>858</v>
      </c>
      <c r="B474" s="22" t="inlineStr">
        <is>
          <t>GSM NOKIA 5220 ROJO</t>
        </is>
      </c>
      <c r="C474" s="22" t="n">
        <v>858</v>
      </c>
    </row>
    <row r="475">
      <c r="A475" s="22" t="n">
        <v>859</v>
      </c>
      <c r="B475" s="22" t="inlineStr">
        <is>
          <t>VIRT GSM NOKIA 5220 ROJO</t>
        </is>
      </c>
      <c r="C475" s="22" t="n">
        <v>859</v>
      </c>
    </row>
    <row r="476">
      <c r="A476" s="22" t="n">
        <v>864</v>
      </c>
      <c r="B476" s="22" t="inlineStr">
        <is>
          <t>GSM SONY ERICSSON W760 NEGRO</t>
        </is>
      </c>
      <c r="C476" s="22" t="n">
        <v>864</v>
      </c>
    </row>
    <row r="477">
      <c r="A477" s="22" t="n">
        <v>865</v>
      </c>
      <c r="B477" s="22" t="inlineStr">
        <is>
          <t>VIRT GSM SONY ERICSSON W760 NEGRO</t>
        </is>
      </c>
      <c r="C477" s="22" t="n">
        <v>865</v>
      </c>
    </row>
    <row r="478">
      <c r="A478" s="22" t="n">
        <v>884</v>
      </c>
      <c r="B478" s="22" t="inlineStr">
        <is>
          <t>GSM MOTOROLA MC35L</t>
        </is>
      </c>
      <c r="C478" s="22" t="n">
        <v>884</v>
      </c>
    </row>
    <row r="479">
      <c r="A479" s="22" t="n">
        <v>885</v>
      </c>
      <c r="B479" s="22" t="inlineStr">
        <is>
          <t>VIRT GSM MOTOROLA MC35L</t>
        </is>
      </c>
      <c r="C479" s="22" t="n">
        <v>885</v>
      </c>
    </row>
    <row r="480">
      <c r="A480" s="22" t="n">
        <v>894</v>
      </c>
      <c r="B480" s="22" t="inlineStr">
        <is>
          <t>GSM SONY ERICSSON W302</t>
        </is>
      </c>
      <c r="C480" s="22" t="n">
        <v>894</v>
      </c>
    </row>
    <row r="481">
      <c r="A481" s="22" t="n">
        <v>895</v>
      </c>
      <c r="B481" s="22" t="inlineStr">
        <is>
          <t>VIRT GSM SONY ERICSSON W302</t>
        </is>
      </c>
      <c r="C481" s="22" t="n">
        <v>895</v>
      </c>
    </row>
    <row r="482">
      <c r="A482" s="22" t="n">
        <v>904</v>
      </c>
      <c r="B482" s="22" t="inlineStr">
        <is>
          <t>GSM MODEM HUAWEI E226</t>
        </is>
      </c>
      <c r="C482" s="22" t="n">
        <v>904</v>
      </c>
    </row>
    <row r="483">
      <c r="A483" s="22" t="n">
        <v>905</v>
      </c>
      <c r="B483" s="22" t="inlineStr">
        <is>
          <t>VIRT GSM MODEM HUAWEI E226</t>
        </is>
      </c>
      <c r="C483" s="22" t="n">
        <v>905</v>
      </c>
    </row>
    <row r="484">
      <c r="A484" s="22" t="n">
        <v>914</v>
      </c>
      <c r="B484" s="22" t="inlineStr">
        <is>
          <t>GSM BLACKBERRY 8220</t>
        </is>
      </c>
      <c r="C484" s="22" t="n">
        <v>914</v>
      </c>
    </row>
    <row r="485">
      <c r="A485" s="22" t="n">
        <v>915</v>
      </c>
      <c r="B485" s="22" t="inlineStr">
        <is>
          <t>VIRT GSM BLACKBERRY 8220</t>
        </is>
      </c>
      <c r="C485" s="22" t="n">
        <v>915</v>
      </c>
    </row>
    <row r="486">
      <c r="A486" s="22" t="n">
        <v>924</v>
      </c>
      <c r="B486" s="22" t="inlineStr">
        <is>
          <t>GSM HUAWEI T211</t>
        </is>
      </c>
      <c r="C486" s="22" t="n">
        <v>924</v>
      </c>
    </row>
    <row r="487">
      <c r="A487" s="22" t="n">
        <v>925</v>
      </c>
      <c r="B487" s="22" t="inlineStr">
        <is>
          <t>VIRT GSM HUAWEI T211</t>
        </is>
      </c>
      <c r="C487" s="22" t="n">
        <v>925</v>
      </c>
    </row>
    <row r="488">
      <c r="A488" s="22" t="n">
        <v>934</v>
      </c>
      <c r="B488" s="22" t="inlineStr">
        <is>
          <t>GSM LG SECRET NEGRO</t>
        </is>
      </c>
      <c r="C488" s="22" t="n">
        <v>934</v>
      </c>
    </row>
    <row r="489">
      <c r="A489" s="22" t="n">
        <v>935</v>
      </c>
      <c r="B489" s="22" t="inlineStr">
        <is>
          <t>VIRT GSM LG SECRET NEGRO</t>
        </is>
      </c>
      <c r="C489" s="22" t="n">
        <v>935</v>
      </c>
    </row>
    <row r="490">
      <c r="A490" s="22" t="n">
        <v>944</v>
      </c>
      <c r="B490" s="22" t="inlineStr">
        <is>
          <t>GSM NOKIA 3120</t>
        </is>
      </c>
      <c r="C490" s="22" t="n">
        <v>944</v>
      </c>
    </row>
    <row r="491">
      <c r="A491" s="22" t="n">
        <v>945</v>
      </c>
      <c r="B491" s="22" t="inlineStr">
        <is>
          <t>VIRT GSM NOKIA 3120</t>
        </is>
      </c>
      <c r="C491" s="22" t="n">
        <v>945</v>
      </c>
    </row>
    <row r="492">
      <c r="A492" s="22" t="n">
        <v>946</v>
      </c>
      <c r="B492" s="22" t="inlineStr">
        <is>
          <t>GSM NOKIA 5320</t>
        </is>
      </c>
      <c r="C492" s="22" t="n">
        <v>946</v>
      </c>
    </row>
    <row r="493">
      <c r="A493" s="22" t="n">
        <v>947</v>
      </c>
      <c r="B493" s="22" t="inlineStr">
        <is>
          <t>VIRT GSM NOKIA 5320</t>
        </is>
      </c>
      <c r="C493" s="22" t="n">
        <v>947</v>
      </c>
    </row>
    <row r="494">
      <c r="A494" s="22" t="n">
        <v>964</v>
      </c>
      <c r="B494" s="22" t="inlineStr">
        <is>
          <t>LISTO PACK GSM SAMSUNG M310 ESPAÑA M. M</t>
        </is>
      </c>
      <c r="C494" s="22" t="n">
        <v>964</v>
      </c>
    </row>
    <row r="495">
      <c r="A495" s="22" t="n">
        <v>965</v>
      </c>
      <c r="B495" s="22" t="inlineStr">
        <is>
          <t>LISTO PACK GSM SAMSUNG E215 ESPAÑA M. M</t>
        </is>
      </c>
      <c r="C495" s="22" t="n">
        <v>965</v>
      </c>
    </row>
    <row r="496">
      <c r="A496" s="22" t="n">
        <v>974</v>
      </c>
      <c r="B496" s="22" t="inlineStr">
        <is>
          <t>GSM MODEM ZTE MF-626</t>
        </is>
      </c>
      <c r="C496" s="22" t="n">
        <v>974</v>
      </c>
    </row>
    <row r="497">
      <c r="A497" s="22" t="n">
        <v>975</v>
      </c>
      <c r="B497" s="22" t="inlineStr">
        <is>
          <t>VIRT GSM MODEM ZTE MF-626</t>
        </is>
      </c>
      <c r="C497" s="22" t="n">
        <v>975</v>
      </c>
    </row>
    <row r="498">
      <c r="A498" s="22" t="n">
        <v>984</v>
      </c>
      <c r="B498" s="22" t="inlineStr">
        <is>
          <t>GSM BLACKBERRY JAVELINE</t>
        </is>
      </c>
      <c r="C498" s="22" t="n">
        <v>984</v>
      </c>
    </row>
    <row r="499">
      <c r="A499" s="22" t="n">
        <v>985</v>
      </c>
      <c r="B499" s="22" t="inlineStr">
        <is>
          <t>VIRT GSM BLACKBERRY JAVELINE</t>
        </is>
      </c>
      <c r="C499" s="22" t="n">
        <v>985</v>
      </c>
    </row>
    <row r="500">
      <c r="A500" s="22" t="n">
        <v>994</v>
      </c>
      <c r="B500" s="22" t="inlineStr">
        <is>
          <t>GSM SONY ERICSSON F305</t>
        </is>
      </c>
      <c r="C500" s="22" t="n">
        <v>994</v>
      </c>
    </row>
    <row r="501">
      <c r="A501" s="22" t="n">
        <v>995</v>
      </c>
      <c r="B501" s="22" t="inlineStr">
        <is>
          <t>VIRT GSM SONY ERICSSON F305</t>
        </is>
      </c>
      <c r="C501" s="22" t="n">
        <v>995</v>
      </c>
    </row>
    <row r="502">
      <c r="A502" s="22" t="n">
        <v>1004</v>
      </c>
      <c r="B502" s="22" t="inlineStr">
        <is>
          <t>GSM NOKIA 2680</t>
        </is>
      </c>
      <c r="C502" s="22" t="n">
        <v>1004</v>
      </c>
    </row>
    <row r="503">
      <c r="A503" s="22" t="n">
        <v>1005</v>
      </c>
      <c r="B503" s="22" t="inlineStr">
        <is>
          <t>VIRT GSM NOKIA 2680</t>
        </is>
      </c>
      <c r="C503" s="22" t="n">
        <v>1005</v>
      </c>
    </row>
    <row r="504">
      <c r="A504" s="22" t="n">
        <v>1024</v>
      </c>
      <c r="B504" s="22" t="inlineStr">
        <is>
          <t>GSM NOKIA 5800 NEGRO</t>
        </is>
      </c>
      <c r="C504" s="22" t="n">
        <v>1024</v>
      </c>
    </row>
    <row r="505">
      <c r="A505" s="22" t="n">
        <v>1025</v>
      </c>
      <c r="B505" s="22" t="inlineStr">
        <is>
          <t>VIRT GSM NOKIA 5800 NEGRO</t>
        </is>
      </c>
      <c r="C505" s="22" t="n">
        <v>1025</v>
      </c>
    </row>
    <row r="506">
      <c r="A506" s="22" t="n">
        <v>1034</v>
      </c>
      <c r="B506" s="22" t="inlineStr">
        <is>
          <t>GSM BLACKBERRY STORM NEGRO</t>
        </is>
      </c>
      <c r="C506" s="22" t="n">
        <v>1034</v>
      </c>
    </row>
    <row r="507">
      <c r="A507" s="22" t="n">
        <v>1035</v>
      </c>
      <c r="B507" s="22" t="inlineStr">
        <is>
          <t>VIRT GSM BLACKBERRY STORM NEGRO</t>
        </is>
      </c>
      <c r="C507" s="22" t="n">
        <v>1035</v>
      </c>
    </row>
    <row r="508">
      <c r="A508" s="22" t="n">
        <v>1044</v>
      </c>
      <c r="B508" s="22" t="inlineStr">
        <is>
          <t>GSM SONY ERICSSON W302 PARLANTES</t>
        </is>
      </c>
      <c r="C508" s="22" t="n">
        <v>1044</v>
      </c>
    </row>
    <row r="509">
      <c r="A509" s="22" t="n">
        <v>1045</v>
      </c>
      <c r="B509" s="22" t="inlineStr">
        <is>
          <t>VIRT GSM SONY ERICSSON W302 PARLANTES</t>
        </is>
      </c>
      <c r="C509" s="22" t="n">
        <v>1045</v>
      </c>
    </row>
    <row r="510">
      <c r="A510" s="22" t="n">
        <v>1064</v>
      </c>
      <c r="B510" s="22" t="inlineStr">
        <is>
          <t>GSM MODEM ZTE X636</t>
        </is>
      </c>
      <c r="C510" s="22" t="n">
        <v>1064</v>
      </c>
    </row>
    <row r="511">
      <c r="A511" s="22" t="n">
        <v>1065</v>
      </c>
      <c r="B511" s="22" t="inlineStr">
        <is>
          <t>VIRT GSM MODEM ZTE X636</t>
        </is>
      </c>
      <c r="C511" s="22" t="n">
        <v>1065</v>
      </c>
    </row>
    <row r="512">
      <c r="A512" s="22" t="n">
        <v>1074</v>
      </c>
      <c r="B512" s="22" t="inlineStr">
        <is>
          <t>GSM NOKIA E63</t>
        </is>
      </c>
      <c r="C512" s="22" t="n">
        <v>1074</v>
      </c>
    </row>
    <row r="513">
      <c r="A513" s="22" t="n">
        <v>1075</v>
      </c>
      <c r="B513" s="22" t="inlineStr">
        <is>
          <t>VIRT GSM NOKIA E63</t>
        </is>
      </c>
      <c r="C513" s="22" t="n">
        <v>1075</v>
      </c>
    </row>
    <row r="514">
      <c r="A514" s="22" t="n">
        <v>1084</v>
      </c>
      <c r="B514" s="22" t="inlineStr">
        <is>
          <t>GSM SYMBOL MC35C</t>
        </is>
      </c>
      <c r="C514" s="22" t="n">
        <v>1084</v>
      </c>
    </row>
    <row r="515">
      <c r="A515" s="22" t="n">
        <v>1085</v>
      </c>
      <c r="B515" s="22" t="inlineStr">
        <is>
          <t>GSM BLACKBERRY 8220 H</t>
        </is>
      </c>
      <c r="C515" s="22" t="n">
        <v>1085</v>
      </c>
    </row>
    <row r="516">
      <c r="A516" s="22" t="n">
        <v>1094</v>
      </c>
      <c r="B516" s="22" t="inlineStr">
        <is>
          <t>GSM MOTOROLA Q11 NEGRO</t>
        </is>
      </c>
      <c r="C516" s="22" t="n">
        <v>1094</v>
      </c>
    </row>
    <row r="517">
      <c r="A517" s="22" t="n">
        <v>1114</v>
      </c>
      <c r="B517" s="22" t="inlineStr">
        <is>
          <t>GSM SAMSUNG M2310</t>
        </is>
      </c>
      <c r="C517" s="22" t="n">
        <v>1114</v>
      </c>
    </row>
    <row r="518">
      <c r="A518" s="22" t="n">
        <v>1115</v>
      </c>
      <c r="B518" s="22" t="inlineStr">
        <is>
          <t>VIRT GSM SAMSUNG M2310</t>
        </is>
      </c>
      <c r="C518" s="22" t="n">
        <v>1115</v>
      </c>
    </row>
    <row r="519">
      <c r="A519" s="22" t="n">
        <v>1116</v>
      </c>
      <c r="B519" s="22" t="inlineStr">
        <is>
          <t>GSM NOKIA 1661 NEGRO</t>
        </is>
      </c>
      <c r="C519" s="22" t="n">
        <v>1116</v>
      </c>
    </row>
    <row r="520">
      <c r="A520" s="22" t="n">
        <v>1117</v>
      </c>
      <c r="B520" s="22" t="inlineStr">
        <is>
          <t>VIRT GSM NOKIA 1661 NEGRO</t>
        </is>
      </c>
      <c r="C520" s="22" t="n">
        <v>1117</v>
      </c>
    </row>
    <row r="521">
      <c r="A521" s="22" t="n">
        <v>1118</v>
      </c>
      <c r="B521" s="22" t="inlineStr">
        <is>
          <t>GSM NOKIA 5130 ROJO</t>
        </is>
      </c>
      <c r="C521" s="22" t="n">
        <v>1118</v>
      </c>
    </row>
    <row r="522">
      <c r="A522" s="22" t="n">
        <v>1119</v>
      </c>
      <c r="B522" s="22" t="inlineStr">
        <is>
          <t>VIRT GSM NOKIA 5130 ROJO</t>
        </is>
      </c>
      <c r="C522" s="22" t="n">
        <v>1119</v>
      </c>
    </row>
    <row r="523">
      <c r="A523" s="22" t="n">
        <v>1120</v>
      </c>
      <c r="B523" s="22" t="inlineStr">
        <is>
          <t>GSM MOTOROLA EM28 NEGRO</t>
        </is>
      </c>
      <c r="C523" s="22" t="n">
        <v>1120</v>
      </c>
    </row>
    <row r="524">
      <c r="A524" s="22" t="n">
        <v>1121</v>
      </c>
      <c r="B524" s="22" t="inlineStr">
        <is>
          <t>VIRT GSM MOTOROLA EM28 NEGRO</t>
        </is>
      </c>
      <c r="C524" s="22" t="n">
        <v>1121</v>
      </c>
    </row>
    <row r="525">
      <c r="A525" s="22" t="n">
        <v>1122</v>
      </c>
      <c r="B525" s="22" t="inlineStr">
        <is>
          <t>GSM HUAWEI G5720 NEGRO</t>
        </is>
      </c>
      <c r="C525" s="22" t="n">
        <v>1122</v>
      </c>
    </row>
    <row r="526">
      <c r="A526" s="22" t="n">
        <v>1123</v>
      </c>
      <c r="B526" s="22" t="inlineStr">
        <is>
          <t>VIRT GSM HUAWEI G5720 NEGRO</t>
        </is>
      </c>
      <c r="C526" s="22" t="n">
        <v>1123</v>
      </c>
    </row>
    <row r="527">
      <c r="A527" s="22" t="n">
        <v>1124</v>
      </c>
      <c r="B527" s="22" t="inlineStr">
        <is>
          <t>GSM ROUTER HUAWEI E968</t>
        </is>
      </c>
      <c r="C527" s="22" t="n">
        <v>1124</v>
      </c>
    </row>
    <row r="528">
      <c r="A528" s="22" t="n">
        <v>1144</v>
      </c>
      <c r="B528" s="22" t="inlineStr">
        <is>
          <t>GSM ALCATEL I650 NEGRO</t>
        </is>
      </c>
      <c r="C528" s="22" t="n">
        <v>1144</v>
      </c>
    </row>
    <row r="529">
      <c r="A529" s="22" t="n">
        <v>1145</v>
      </c>
      <c r="B529" s="22" t="inlineStr">
        <is>
          <t>VIRT GSM ALCATEL I650 NEGRO</t>
        </is>
      </c>
      <c r="C529" s="22" t="n">
        <v>1145</v>
      </c>
    </row>
    <row r="530">
      <c r="A530" s="22" t="n">
        <v>1154</v>
      </c>
      <c r="B530" s="22" t="inlineStr">
        <is>
          <t>GSM SAMSUNG S5230 NEGRO</t>
        </is>
      </c>
      <c r="C530" s="22" t="n">
        <v>1154</v>
      </c>
    </row>
    <row r="531">
      <c r="A531" s="22" t="n">
        <v>1155</v>
      </c>
      <c r="B531" s="22" t="inlineStr">
        <is>
          <t>VIRT GSM SAMSUNG S5230 NEGRO</t>
        </is>
      </c>
      <c r="C531" s="22" t="n">
        <v>1155</v>
      </c>
    </row>
    <row r="532">
      <c r="A532" s="22" t="n">
        <v>1164</v>
      </c>
      <c r="B532" s="22" t="inlineStr">
        <is>
          <t>GSM NOKIA 5030 NEGRO</t>
        </is>
      </c>
      <c r="C532" s="22" t="n">
        <v>1164</v>
      </c>
    </row>
    <row r="533">
      <c r="A533" s="22" t="n">
        <v>1165</v>
      </c>
      <c r="B533" s="22" t="inlineStr">
        <is>
          <t>VIRT GSM NOKIA 5030 NEGRO</t>
        </is>
      </c>
      <c r="C533" s="22" t="n">
        <v>1165</v>
      </c>
    </row>
    <row r="534">
      <c r="A534" s="22" t="n">
        <v>1166</v>
      </c>
      <c r="B534" s="22" t="inlineStr">
        <is>
          <t>GSM NOKIA 6790 NEGRO</t>
        </is>
      </c>
      <c r="C534" s="22" t="n">
        <v>1166</v>
      </c>
    </row>
    <row r="535">
      <c r="A535" s="22" t="n">
        <v>1167</v>
      </c>
      <c r="B535" s="22" t="inlineStr">
        <is>
          <t>VIRT GSM NOKIA 6790 NEGRO</t>
        </is>
      </c>
      <c r="C535" s="22" t="n">
        <v>1167</v>
      </c>
    </row>
    <row r="536">
      <c r="A536" s="22" t="n">
        <v>1168</v>
      </c>
      <c r="B536" s="22" t="inlineStr">
        <is>
          <t>GSM NOKIA 2330 NEGRO</t>
        </is>
      </c>
      <c r="C536" s="22" t="n">
        <v>1168</v>
      </c>
    </row>
    <row r="537">
      <c r="A537" s="22" t="n">
        <v>1169</v>
      </c>
      <c r="B537" s="22" t="inlineStr">
        <is>
          <t>VIRT GSM NOKIA 2330 NEGRO</t>
        </is>
      </c>
      <c r="C537" s="22" t="n">
        <v>1169</v>
      </c>
    </row>
    <row r="538">
      <c r="A538" s="22" t="n">
        <v>1170</v>
      </c>
      <c r="B538" s="22" t="inlineStr">
        <is>
          <t>GSM ALCATEL TRIBE NEGRO</t>
        </is>
      </c>
      <c r="C538" s="22" t="n">
        <v>1170</v>
      </c>
    </row>
    <row r="539">
      <c r="A539" s="22" t="n">
        <v>1171</v>
      </c>
      <c r="B539" s="22" t="inlineStr">
        <is>
          <t>VIRT GSM ALCATEL TRIBE NEGRO</t>
        </is>
      </c>
      <c r="C539" s="22" t="n">
        <v>1171</v>
      </c>
    </row>
    <row r="540">
      <c r="A540" s="22" t="n">
        <v>1172</v>
      </c>
      <c r="B540" s="22" t="inlineStr">
        <is>
          <t>GSM LG ETNA NEGRO</t>
        </is>
      </c>
      <c r="C540" s="22" t="n">
        <v>1172</v>
      </c>
    </row>
    <row r="541">
      <c r="A541" s="22" t="n">
        <v>1173</v>
      </c>
      <c r="B541" s="22" t="inlineStr">
        <is>
          <t>VIRT GSM LG ETNA NEGRO</t>
        </is>
      </c>
      <c r="C541" s="22" t="n">
        <v>1173</v>
      </c>
    </row>
    <row r="542">
      <c r="A542" s="22" t="n">
        <v>1174</v>
      </c>
      <c r="B542" s="22" t="inlineStr">
        <is>
          <t>GSM LG ADAGIO NEGRO</t>
        </is>
      </c>
      <c r="C542" s="22" t="n">
        <v>1174</v>
      </c>
    </row>
    <row r="543">
      <c r="A543" s="22" t="n">
        <v>1175</v>
      </c>
      <c r="B543" s="22" t="inlineStr">
        <is>
          <t>VIRT GSM LG ADAGIO NEGRO</t>
        </is>
      </c>
      <c r="C543" s="22" t="n">
        <v>1175</v>
      </c>
    </row>
    <row r="544">
      <c r="A544" s="22" t="n">
        <v>1176</v>
      </c>
      <c r="B544" s="22" t="inlineStr">
        <is>
          <t>GSM BIRD S160 NEGRO</t>
        </is>
      </c>
      <c r="C544" s="22" t="n">
        <v>1176</v>
      </c>
    </row>
    <row r="545">
      <c r="A545" s="22" t="n">
        <v>1177</v>
      </c>
      <c r="B545" s="22" t="inlineStr">
        <is>
          <t>VIRT GSM BIRD S160 NEGRO</t>
        </is>
      </c>
      <c r="C545" s="22" t="n">
        <v>1177</v>
      </c>
    </row>
    <row r="546">
      <c r="A546" s="22" t="n">
        <v>1178</v>
      </c>
      <c r="B546" s="22" t="inlineStr">
        <is>
          <t>GSM SAMSUNG DISCO NEGRO</t>
        </is>
      </c>
      <c r="C546" s="22" t="n">
        <v>1178</v>
      </c>
    </row>
    <row r="547">
      <c r="A547" s="22" t="n">
        <v>1179</v>
      </c>
      <c r="B547" s="22" t="inlineStr">
        <is>
          <t>VIRT GSM SAMSUNG DISCO NEGRO</t>
        </is>
      </c>
      <c r="C547" s="22" t="n">
        <v>1179</v>
      </c>
    </row>
    <row r="548">
      <c r="A548" s="22" t="n">
        <v>1180</v>
      </c>
      <c r="B548" s="22" t="inlineStr">
        <is>
          <t>GSM SAMSUNG E2120 NEGRO</t>
        </is>
      </c>
      <c r="C548" s="22" t="n">
        <v>1180</v>
      </c>
    </row>
    <row r="549">
      <c r="A549" s="22" t="n">
        <v>1181</v>
      </c>
      <c r="B549" s="22" t="inlineStr">
        <is>
          <t>VIRT GSM SAMSUNG E2120 NEGRO</t>
        </is>
      </c>
      <c r="C549" s="22" t="n">
        <v>1181</v>
      </c>
    </row>
    <row r="550">
      <c r="A550" s="22" t="n">
        <v>1182</v>
      </c>
      <c r="B550" s="22" t="inlineStr">
        <is>
          <t>GSM SONY ERICSSON W205 NEGRO</t>
        </is>
      </c>
      <c r="C550" s="22" t="n">
        <v>1182</v>
      </c>
    </row>
    <row r="551">
      <c r="A551" s="22" t="n">
        <v>1183</v>
      </c>
      <c r="B551" s="22" t="inlineStr">
        <is>
          <t>VIRT GSM SONY ERICSSON W205 NEGRO</t>
        </is>
      </c>
      <c r="C551" s="22" t="n">
        <v>1183</v>
      </c>
    </row>
    <row r="552">
      <c r="A552" s="22" t="n">
        <v>1184</v>
      </c>
      <c r="B552" s="22" t="inlineStr">
        <is>
          <t>GSM SONY ERICSSON W508</t>
        </is>
      </c>
      <c r="C552" s="22" t="n">
        <v>1184</v>
      </c>
    </row>
    <row r="553">
      <c r="A553" s="22" t="n">
        <v>1185</v>
      </c>
      <c r="B553" s="22" t="inlineStr">
        <is>
          <t>VIRT GSM SONY ERICSSON W508</t>
        </is>
      </c>
      <c r="C553" s="22" t="n">
        <v>1185</v>
      </c>
    </row>
    <row r="554">
      <c r="A554" s="22" t="n">
        <v>1194</v>
      </c>
      <c r="B554" s="22" t="inlineStr">
        <is>
          <t>GSM BASE AXESSTEL TG130</t>
        </is>
      </c>
      <c r="C554" s="22" t="n">
        <v>1194</v>
      </c>
    </row>
    <row r="555">
      <c r="A555" s="22" t="n">
        <v>1195</v>
      </c>
      <c r="B555" s="22" t="inlineStr">
        <is>
          <t>VIRT GSM BASE AXESSTEL TG130</t>
        </is>
      </c>
      <c r="C555" s="22" t="n">
        <v>1195</v>
      </c>
    </row>
    <row r="556">
      <c r="A556" s="22" t="n">
        <v>1204</v>
      </c>
      <c r="B556" s="22" t="inlineStr">
        <is>
          <t>GSM MODEM HUAWEI E176</t>
        </is>
      </c>
      <c r="C556" s="22" t="n">
        <v>1204</v>
      </c>
    </row>
    <row r="557">
      <c r="A557" s="22" t="n">
        <v>1205</v>
      </c>
      <c r="B557" s="22" t="inlineStr">
        <is>
          <t>VIRT GSM MODEM HUAWEI E176</t>
        </is>
      </c>
      <c r="C557" s="22" t="n">
        <v>1205</v>
      </c>
    </row>
    <row r="558">
      <c r="A558" s="22" t="n">
        <v>1206</v>
      </c>
      <c r="B558" s="22" t="inlineStr">
        <is>
          <t>GSM BLACKBERRY 8520 GEMINI NEGRO</t>
        </is>
      </c>
      <c r="C558" s="22" t="n">
        <v>1206</v>
      </c>
    </row>
    <row r="559">
      <c r="A559" s="22" t="n">
        <v>1207</v>
      </c>
      <c r="B559" s="22" t="inlineStr">
        <is>
          <t>VIRT GSM BLACKBERRY 8520 GEMINI NEGRO</t>
        </is>
      </c>
      <c r="C559" s="22" t="n">
        <v>1207</v>
      </c>
    </row>
    <row r="560">
      <c r="A560" s="22" t="n">
        <v>1208</v>
      </c>
      <c r="B560" s="22" t="inlineStr">
        <is>
          <t>GSM NETBOOK DELL 10T50</t>
        </is>
      </c>
      <c r="C560" s="22" t="n">
        <v>1208</v>
      </c>
    </row>
    <row r="561">
      <c r="A561" s="22" t="n">
        <v>1209</v>
      </c>
      <c r="B561" s="22" t="inlineStr">
        <is>
          <t>VIRT GSM NETBOOK DELL 10T50</t>
        </is>
      </c>
      <c r="C561" s="22" t="n">
        <v>1209</v>
      </c>
    </row>
    <row r="562">
      <c r="A562" s="22" t="n">
        <v>1214</v>
      </c>
      <c r="B562" s="22" t="inlineStr">
        <is>
          <t>LISTO PACK GSM SAMSUNG M2310 ESPAÑA M.M.</t>
        </is>
      </c>
      <c r="C562" s="22" t="n">
        <v>1214</v>
      </c>
    </row>
    <row r="563">
      <c r="A563" s="22" t="n">
        <v>1224</v>
      </c>
      <c r="B563" s="22" t="inlineStr">
        <is>
          <t>GSM HTC SNAP</t>
        </is>
      </c>
      <c r="C563" s="22" t="n">
        <v>1224</v>
      </c>
    </row>
    <row r="564">
      <c r="A564" s="22" t="n">
        <v>1225</v>
      </c>
      <c r="B564" s="22" t="inlineStr">
        <is>
          <t>VIRT GSM HTC SNAP</t>
        </is>
      </c>
      <c r="C564" s="22" t="n">
        <v>1225</v>
      </c>
    </row>
    <row r="565">
      <c r="A565" s="22" t="n">
        <v>1226</v>
      </c>
      <c r="B565" s="22" t="inlineStr">
        <is>
          <t>GSM LG COOKIE</t>
        </is>
      </c>
      <c r="C565" s="22" t="n">
        <v>1226</v>
      </c>
    </row>
    <row r="566">
      <c r="A566" s="22" t="n">
        <v>1227</v>
      </c>
      <c r="B566" s="22" t="inlineStr">
        <is>
          <t>VIRT GSM LG COOKIE</t>
        </is>
      </c>
      <c r="C566" s="22" t="n">
        <v>1227</v>
      </c>
    </row>
    <row r="567">
      <c r="A567" s="22" t="n">
        <v>1228</v>
      </c>
      <c r="B567" s="22" t="inlineStr">
        <is>
          <t>GSM SAMSUNG CORBY S3650</t>
        </is>
      </c>
      <c r="C567" s="22" t="n">
        <v>1228</v>
      </c>
    </row>
    <row r="568">
      <c r="A568" s="22" t="n">
        <v>1229</v>
      </c>
      <c r="B568" s="22" t="inlineStr">
        <is>
          <t>VIRT GSM SAMSUNG CORBY S3650</t>
        </is>
      </c>
      <c r="C568" s="22" t="n">
        <v>1229</v>
      </c>
    </row>
    <row r="569">
      <c r="A569" s="22" t="n">
        <v>1230</v>
      </c>
      <c r="B569" s="22" t="inlineStr">
        <is>
          <t>GSM SAMSUNG B3310</t>
        </is>
      </c>
      <c r="C569" s="22" t="n">
        <v>1230</v>
      </c>
    </row>
    <row r="570">
      <c r="A570" s="22" t="n">
        <v>1231</v>
      </c>
      <c r="B570" s="22" t="inlineStr">
        <is>
          <t>VIRT GSM SAMSUNG B3310</t>
        </is>
      </c>
      <c r="C570" s="22" t="n">
        <v>1231</v>
      </c>
    </row>
    <row r="571">
      <c r="A571" s="22" t="n">
        <v>1232</v>
      </c>
      <c r="B571" s="22" t="inlineStr">
        <is>
          <t>GSM ZTE R630</t>
        </is>
      </c>
      <c r="C571" s="22" t="n">
        <v>1232</v>
      </c>
    </row>
    <row r="572">
      <c r="A572" s="22" t="n">
        <v>1233</v>
      </c>
      <c r="B572" s="22" t="inlineStr">
        <is>
          <t>VIRT GSM ZTE R630</t>
        </is>
      </c>
      <c r="C572" s="22" t="n">
        <v>1233</v>
      </c>
    </row>
    <row r="573">
      <c r="A573" s="22" t="n">
        <v>1234</v>
      </c>
      <c r="B573" s="22" t="inlineStr">
        <is>
          <t>GSM NOKIA 2720</t>
        </is>
      </c>
      <c r="C573" s="22" t="n">
        <v>1234</v>
      </c>
    </row>
    <row r="574">
      <c r="A574" s="22" t="n">
        <v>1235</v>
      </c>
      <c r="B574" s="22" t="inlineStr">
        <is>
          <t>VIRT GSM NOKIA 2720</t>
        </is>
      </c>
      <c r="C574" s="22" t="n">
        <v>1235</v>
      </c>
    </row>
    <row r="575">
      <c r="A575" s="22" t="n">
        <v>1236</v>
      </c>
      <c r="B575" s="22" t="inlineStr">
        <is>
          <t>GSM NOKIA 7020</t>
        </is>
      </c>
      <c r="C575" s="22" t="n">
        <v>1236</v>
      </c>
    </row>
    <row r="576">
      <c r="A576" s="22" t="n">
        <v>1237</v>
      </c>
      <c r="B576" s="22" t="inlineStr">
        <is>
          <t>VIRT GSM NOKIA 7020</t>
        </is>
      </c>
      <c r="C576" s="22" t="n">
        <v>1237</v>
      </c>
    </row>
    <row r="577">
      <c r="A577" s="22" t="n">
        <v>1238</v>
      </c>
      <c r="B577" s="22" t="inlineStr">
        <is>
          <t>GSM NOKIA 5530</t>
        </is>
      </c>
      <c r="C577" s="22" t="n">
        <v>1238</v>
      </c>
    </row>
    <row r="578">
      <c r="A578" s="22" t="n">
        <v>1239</v>
      </c>
      <c r="B578" s="22" t="inlineStr">
        <is>
          <t>VIRT GSM NOKIA 5530</t>
        </is>
      </c>
      <c r="C578" s="22" t="n">
        <v>1239</v>
      </c>
    </row>
    <row r="579">
      <c r="A579" s="22" t="n">
        <v>1240</v>
      </c>
      <c r="B579" s="22" t="inlineStr">
        <is>
          <t>GSM SAMSUNG B2100</t>
        </is>
      </c>
      <c r="C579" s="22" t="n">
        <v>1240</v>
      </c>
    </row>
    <row r="580">
      <c r="A580" s="22" t="n">
        <v>1241</v>
      </c>
      <c r="B580" s="22" t="inlineStr">
        <is>
          <t>VIRT GSM SAMSUNG B2100</t>
        </is>
      </c>
      <c r="C580" s="22" t="n">
        <v>1241</v>
      </c>
    </row>
    <row r="581">
      <c r="A581" s="22" t="n">
        <v>1244</v>
      </c>
      <c r="B581" s="22" t="inlineStr">
        <is>
          <t>GSM PACK MODEM PREPAGO ZTE MF 636 PROMOC</t>
        </is>
      </c>
      <c r="C581" s="22" t="n">
        <v>1244</v>
      </c>
    </row>
    <row r="582">
      <c r="A582" s="22" t="n">
        <v>1246</v>
      </c>
      <c r="B582" s="22" t="inlineStr">
        <is>
          <t>GSM NETBOOK DELL 10T50 PROMOCION</t>
        </is>
      </c>
      <c r="C582" s="22" t="n">
        <v>1246</v>
      </c>
    </row>
    <row r="583">
      <c r="A583" s="22" t="n">
        <v>1247</v>
      </c>
      <c r="B583" s="22" t="inlineStr">
        <is>
          <t>VIRT GSM NETBOOK DELL 10T50 PROMOCION</t>
        </is>
      </c>
      <c r="C583" s="22" t="n">
        <v>1247</v>
      </c>
    </row>
    <row r="584">
      <c r="A584" s="22" t="n">
        <v>1248</v>
      </c>
      <c r="B584" s="22" t="inlineStr">
        <is>
          <t>GSM NETBOOK HP MINI 110-1150 LA</t>
        </is>
      </c>
      <c r="C584" s="22" t="n">
        <v>1248</v>
      </c>
    </row>
    <row r="585">
      <c r="A585" s="22" t="n">
        <v>1249</v>
      </c>
      <c r="B585" s="22" t="inlineStr">
        <is>
          <t>VIRT GSM NETBOOK HP MINI 110-1150 LA</t>
        </is>
      </c>
      <c r="C585" s="22" t="n">
        <v>1249</v>
      </c>
    </row>
    <row r="586">
      <c r="A586" s="22" t="n">
        <v>1254</v>
      </c>
      <c r="B586" s="22" t="inlineStr">
        <is>
          <t>GSM SONY ERICSSON J105</t>
        </is>
      </c>
      <c r="C586" s="22" t="n">
        <v>1254</v>
      </c>
    </row>
    <row r="587">
      <c r="A587" s="22" t="n">
        <v>1255</v>
      </c>
      <c r="B587" s="22" t="inlineStr">
        <is>
          <t>VIRT GSM SONY ERICSSON J105</t>
        </is>
      </c>
      <c r="C587" s="22" t="n">
        <v>1255</v>
      </c>
    </row>
    <row r="588">
      <c r="A588" s="22" t="n">
        <v>1264</v>
      </c>
      <c r="B588" s="22" t="inlineStr">
        <is>
          <t>VIRT GSM MODEM PREPAGO ZTE MF 636 PROMO</t>
        </is>
      </c>
      <c r="C588" s="22" t="n">
        <v>1264</v>
      </c>
    </row>
    <row r="589">
      <c r="A589" s="22" t="n">
        <v>1274</v>
      </c>
      <c r="B589" s="22" t="inlineStr">
        <is>
          <t>GSM IPHONE 3GS 16G</t>
        </is>
      </c>
      <c r="C589" s="22" t="n">
        <v>1274</v>
      </c>
    </row>
    <row r="590">
      <c r="A590" s="22" t="n">
        <v>1275</v>
      </c>
      <c r="B590" s="22" t="inlineStr">
        <is>
          <t>VIRT GSM IPHONE 3GS 16G</t>
        </is>
      </c>
      <c r="C590" s="22" t="n">
        <v>1275</v>
      </c>
    </row>
    <row r="591">
      <c r="A591" s="22" t="n">
        <v>1276</v>
      </c>
      <c r="B591" s="22" t="inlineStr">
        <is>
          <t>GSM IPHONE 3GS 32G</t>
        </is>
      </c>
      <c r="C591" s="22" t="n">
        <v>1276</v>
      </c>
    </row>
    <row r="592">
      <c r="A592" s="22" t="n">
        <v>1277</v>
      </c>
      <c r="B592" s="22" t="inlineStr">
        <is>
          <t>VIRT GSM IPHONE 3GS 32G</t>
        </is>
      </c>
      <c r="C592" s="22" t="n">
        <v>1277</v>
      </c>
    </row>
    <row r="593">
      <c r="A593" s="22" t="n">
        <v>1284</v>
      </c>
      <c r="B593" s="22" t="inlineStr">
        <is>
          <t>GSM NETBOOK DELL 10T40</t>
        </is>
      </c>
      <c r="C593" s="22" t="n">
        <v>1284</v>
      </c>
    </row>
    <row r="594">
      <c r="A594" s="22" t="n">
        <v>1285</v>
      </c>
      <c r="B594" s="22" t="inlineStr">
        <is>
          <t>VIRT GSM NETBOOK DELL 10T40</t>
        </is>
      </c>
      <c r="C594" s="22" t="n">
        <v>1285</v>
      </c>
    </row>
    <row r="595">
      <c r="A595" s="22" t="n">
        <v>1294</v>
      </c>
      <c r="B595" s="22" t="inlineStr">
        <is>
          <t>GSM MODEM ZTE MF 110</t>
        </is>
      </c>
      <c r="C595" s="22" t="n">
        <v>1294</v>
      </c>
    </row>
    <row r="596">
      <c r="A596" s="22" t="n">
        <v>1295</v>
      </c>
      <c r="B596" s="22" t="inlineStr">
        <is>
          <t>VIRT GSM MODEM ZTE MF 110</t>
        </is>
      </c>
      <c r="C596" s="22" t="n">
        <v>1295</v>
      </c>
    </row>
    <row r="597">
      <c r="A597" s="22" t="n">
        <v>1296</v>
      </c>
      <c r="B597" s="22" t="inlineStr">
        <is>
          <t>GSM HUAWEI U7515</t>
        </is>
      </c>
      <c r="C597" s="22" t="n">
        <v>1296</v>
      </c>
    </row>
    <row r="598">
      <c r="A598" s="22" t="n">
        <v>1297</v>
      </c>
      <c r="B598" s="22" t="inlineStr">
        <is>
          <t>VIRT GSM HUAWEI U7515</t>
        </is>
      </c>
      <c r="C598" s="22" t="n">
        <v>1297</v>
      </c>
    </row>
    <row r="599">
      <c r="A599" s="22" t="n">
        <v>1304</v>
      </c>
      <c r="B599" s="22" t="inlineStr">
        <is>
          <t>GSM HUAWEI E1756</t>
        </is>
      </c>
      <c r="C599" s="22" t="n">
        <v>1304</v>
      </c>
    </row>
    <row r="600">
      <c r="A600" s="22" t="n">
        <v>1305</v>
      </c>
      <c r="B600" s="22" t="inlineStr">
        <is>
          <t>VIRT GSM HUAWEI E1756</t>
        </is>
      </c>
      <c r="C600" s="22" t="n">
        <v>1305</v>
      </c>
    </row>
    <row r="601">
      <c r="A601" s="22" t="n">
        <v>1314</v>
      </c>
      <c r="B601" s="22" t="inlineStr">
        <is>
          <t>GSM BLACKBERRY 9700 ONYX</t>
        </is>
      </c>
      <c r="C601" s="22" t="n">
        <v>1314</v>
      </c>
    </row>
    <row r="602">
      <c r="A602" s="22" t="n">
        <v>1315</v>
      </c>
      <c r="B602" s="22" t="inlineStr">
        <is>
          <t>VIRT GSM BLACKBERRY 9700 ONYX</t>
        </is>
      </c>
      <c r="C602" s="22" t="n">
        <v>1315</v>
      </c>
    </row>
    <row r="603">
      <c r="A603" s="22" t="n">
        <v>1324</v>
      </c>
      <c r="B603" s="22" t="inlineStr">
        <is>
          <t>GSM ZTE S315</t>
        </is>
      </c>
      <c r="C603" s="22" t="n">
        <v>1324</v>
      </c>
    </row>
    <row r="604">
      <c r="A604" s="22" t="n">
        <v>1325</v>
      </c>
      <c r="B604" s="22" t="inlineStr">
        <is>
          <t>VIRT GSM ZTE S315</t>
        </is>
      </c>
      <c r="C604" s="22" t="n">
        <v>1325</v>
      </c>
    </row>
    <row r="605">
      <c r="A605" s="22" t="n">
        <v>1334</v>
      </c>
      <c r="B605" s="22" t="inlineStr">
        <is>
          <t>GSM BLACKBERRY BOLD 9700 EVENTOS</t>
        </is>
      </c>
      <c r="C605" s="22" t="n">
        <v>1334</v>
      </c>
    </row>
    <row r="606">
      <c r="A606" s="22" t="n">
        <v>1344</v>
      </c>
      <c r="B606" s="22" t="inlineStr">
        <is>
          <t>GSM LOCALIZADOR GL-100</t>
        </is>
      </c>
      <c r="C606" s="22" t="n">
        <v>1344</v>
      </c>
    </row>
    <row r="607">
      <c r="A607" s="22" t="n">
        <v>1345</v>
      </c>
      <c r="B607" s="22" t="inlineStr">
        <is>
          <t>VIRT GSM LOCALIZADOR GL-100</t>
        </is>
      </c>
      <c r="C607" s="22" t="n">
        <v>1345</v>
      </c>
    </row>
    <row r="608">
      <c r="A608" s="22" t="n">
        <v>1350</v>
      </c>
      <c r="B608" s="22" t="inlineStr">
        <is>
          <t>GSM NOKIA 5230</t>
        </is>
      </c>
      <c r="C608" s="22" t="n">
        <v>1350</v>
      </c>
    </row>
    <row r="609">
      <c r="A609" s="22" t="n">
        <v>1351</v>
      </c>
      <c r="B609" s="22" t="inlineStr">
        <is>
          <t>VIRT GSM NOKIA 5230</t>
        </is>
      </c>
      <c r="C609" s="22" t="n">
        <v>1351</v>
      </c>
    </row>
    <row r="610">
      <c r="A610" s="22" t="n">
        <v>1354</v>
      </c>
      <c r="B610" s="22" t="inlineStr">
        <is>
          <t>GSM LG GW525</t>
        </is>
      </c>
      <c r="C610" s="22" t="n">
        <v>1354</v>
      </c>
    </row>
    <row r="611">
      <c r="A611" s="22" t="n">
        <v>1355</v>
      </c>
      <c r="B611" s="22" t="inlineStr">
        <is>
          <t>VIRT GSM LG GW525</t>
        </is>
      </c>
      <c r="C611" s="22" t="n">
        <v>1355</v>
      </c>
    </row>
    <row r="612">
      <c r="A612" s="22" t="n">
        <v>1364</v>
      </c>
      <c r="B612" s="22" t="inlineStr">
        <is>
          <t>GSM NOKIA N97 MINI</t>
        </is>
      </c>
      <c r="C612" s="22" t="n">
        <v>1364</v>
      </c>
    </row>
    <row r="613">
      <c r="A613" s="22" t="n">
        <v>1365</v>
      </c>
      <c r="B613" s="22" t="inlineStr">
        <is>
          <t>VIRT GSM NOKIA N97 MINI</t>
        </is>
      </c>
      <c r="C613" s="22" t="n">
        <v>1365</v>
      </c>
    </row>
    <row r="614">
      <c r="A614" s="22" t="n">
        <v>1366</v>
      </c>
      <c r="B614" s="22" t="inlineStr">
        <is>
          <t>GSM BLACKBERRY 9100</t>
        </is>
      </c>
      <c r="C614" s="22" t="n">
        <v>1366</v>
      </c>
    </row>
    <row r="615">
      <c r="A615" s="22" t="n">
        <v>1367</v>
      </c>
      <c r="B615" s="22" t="inlineStr">
        <is>
          <t>VIRT GSM BLACKBERRY 9100</t>
        </is>
      </c>
      <c r="C615" s="22" t="n">
        <v>1367</v>
      </c>
    </row>
    <row r="616">
      <c r="A616" s="22" t="n">
        <v>1368</v>
      </c>
      <c r="B616" s="22" t="inlineStr">
        <is>
          <t>GSM LG GW550 TIMES</t>
        </is>
      </c>
      <c r="C616" s="22" t="n">
        <v>1368</v>
      </c>
    </row>
    <row r="617">
      <c r="A617" s="22" t="n">
        <v>1369</v>
      </c>
      <c r="B617" s="22" t="inlineStr">
        <is>
          <t>VIRT GSM LG GW550 TIMES</t>
        </is>
      </c>
      <c r="C617" s="22" t="n">
        <v>1369</v>
      </c>
    </row>
    <row r="618">
      <c r="A618" s="22" t="n">
        <v>1370</v>
      </c>
      <c r="B618" s="22" t="inlineStr">
        <is>
          <t>GSM NOKIA 2710</t>
        </is>
      </c>
      <c r="C618" s="22" t="n">
        <v>1370</v>
      </c>
    </row>
    <row r="619">
      <c r="A619" s="22" t="n">
        <v>1371</v>
      </c>
      <c r="B619" s="22" t="inlineStr">
        <is>
          <t>VIRT GSM NOKIA 2710</t>
        </is>
      </c>
      <c r="C619" s="22" t="n">
        <v>1371</v>
      </c>
    </row>
    <row r="620">
      <c r="A620" s="22" t="n">
        <v>1372</v>
      </c>
      <c r="B620" s="22" t="inlineStr">
        <is>
          <t>GSM NOKIA 2690</t>
        </is>
      </c>
      <c r="C620" s="22" t="n">
        <v>1372</v>
      </c>
    </row>
    <row r="621">
      <c r="A621" s="22" t="n">
        <v>1373</v>
      </c>
      <c r="B621" s="22" t="inlineStr">
        <is>
          <t>VIRT GSM NOKIA 2690</t>
        </is>
      </c>
      <c r="C621" s="22" t="n">
        <v>1373</v>
      </c>
    </row>
    <row r="622">
      <c r="A622" s="22" t="n">
        <v>1374</v>
      </c>
      <c r="B622" s="22" t="inlineStr">
        <is>
          <t>GSM SAMSUNG S5233T STAR TV</t>
        </is>
      </c>
      <c r="C622" s="22" t="n">
        <v>1374</v>
      </c>
    </row>
    <row r="623">
      <c r="A623" s="22" t="n">
        <v>1375</v>
      </c>
      <c r="B623" s="22" t="inlineStr">
        <is>
          <t>VIRT GSM SAMSUNG S5233T STAR TV</t>
        </is>
      </c>
      <c r="C623" s="22" t="n">
        <v>1375</v>
      </c>
    </row>
    <row r="624">
      <c r="A624" s="22" t="n">
        <v>1376</v>
      </c>
      <c r="B624" s="22" t="inlineStr">
        <is>
          <t>GSM SAMSUNG M2520 VIOLIN</t>
        </is>
      </c>
      <c r="C624" s="22" t="n">
        <v>1376</v>
      </c>
    </row>
    <row r="625">
      <c r="A625" s="22" t="n">
        <v>1377</v>
      </c>
      <c r="B625" s="22" t="inlineStr">
        <is>
          <t>VIRT GSM SAMSUNG M2520 VIOLIN</t>
        </is>
      </c>
      <c r="C625" s="22" t="n">
        <v>1377</v>
      </c>
    </row>
    <row r="626">
      <c r="A626" s="22" t="n">
        <v>1384</v>
      </c>
      <c r="B626" s="22" t="inlineStr">
        <is>
          <t>VIRT GSM ROUTER HUAWEI E968</t>
        </is>
      </c>
      <c r="C626" s="22" t="n">
        <v>1384</v>
      </c>
    </row>
    <row r="627">
      <c r="A627" s="22" t="n">
        <v>1394</v>
      </c>
      <c r="B627" s="22" t="inlineStr">
        <is>
          <t>GSM NOKIA E72</t>
        </is>
      </c>
      <c r="C627" s="22" t="n">
        <v>1394</v>
      </c>
    </row>
    <row r="628">
      <c r="A628" s="22" t="n">
        <v>1395</v>
      </c>
      <c r="B628" s="22" t="inlineStr">
        <is>
          <t>VIRT GSM NOKIA E72</t>
        </is>
      </c>
      <c r="C628" s="22" t="n">
        <v>1395</v>
      </c>
    </row>
    <row r="629">
      <c r="A629" s="22" t="n">
        <v>1396</v>
      </c>
      <c r="B629" s="22" t="inlineStr">
        <is>
          <t>GSM SAMSUNG 1086 KEYSTONE</t>
        </is>
      </c>
      <c r="C629" s="22" t="n">
        <v>1396</v>
      </c>
    </row>
    <row r="630">
      <c r="A630" s="22" t="n">
        <v>1397</v>
      </c>
      <c r="B630" s="22" t="inlineStr">
        <is>
          <t>VIRT GSM SAMSUNG 1086 KEYSTONE</t>
        </is>
      </c>
      <c r="C630" s="22" t="n">
        <v>1397</v>
      </c>
    </row>
    <row r="631">
      <c r="A631" s="22" t="n">
        <v>1398</v>
      </c>
      <c r="B631" s="22" t="inlineStr">
        <is>
          <t>GSM ALCATEL OT-508</t>
        </is>
      </c>
      <c r="C631" s="22" t="n">
        <v>1398</v>
      </c>
    </row>
    <row r="632">
      <c r="A632" s="22" t="n">
        <v>1399</v>
      </c>
      <c r="B632" s="22" t="inlineStr">
        <is>
          <t>VIRT GSM ALCATEL OT-508</t>
        </is>
      </c>
      <c r="C632" s="22" t="n">
        <v>1399</v>
      </c>
    </row>
    <row r="633">
      <c r="A633" s="22" t="n">
        <v>1400</v>
      </c>
      <c r="B633" s="22" t="inlineStr">
        <is>
          <t>GSM NOKIA X3</t>
        </is>
      </c>
      <c r="C633" s="22" t="n">
        <v>1400</v>
      </c>
    </row>
    <row r="634">
      <c r="A634" s="22" t="n">
        <v>1401</v>
      </c>
      <c r="B634" s="22" t="inlineStr">
        <is>
          <t>VIRT GSM NOKIA X3</t>
        </is>
      </c>
      <c r="C634" s="22" t="n">
        <v>1401</v>
      </c>
    </row>
    <row r="635">
      <c r="A635" s="22" t="n">
        <v>1402</v>
      </c>
      <c r="B635" s="22" t="inlineStr">
        <is>
          <t>GSM HUAWEI U8220</t>
        </is>
      </c>
      <c r="C635" s="22" t="n">
        <v>1402</v>
      </c>
    </row>
    <row r="636">
      <c r="A636" s="22" t="n">
        <v>1403</v>
      </c>
      <c r="B636" s="22" t="inlineStr">
        <is>
          <t>VIRT GSM HUAWEI U8220</t>
        </is>
      </c>
      <c r="C636" s="22" t="n">
        <v>1403</v>
      </c>
    </row>
    <row r="637">
      <c r="A637" s="22" t="n">
        <v>1404</v>
      </c>
      <c r="B637" s="22" t="inlineStr">
        <is>
          <t>GSM NOKIA C3</t>
        </is>
      </c>
      <c r="C637" s="22" t="n">
        <v>1404</v>
      </c>
    </row>
    <row r="638">
      <c r="A638" s="22" t="n">
        <v>1405</v>
      </c>
      <c r="B638" s="22" t="inlineStr">
        <is>
          <t>VIRT GSM NOKIA C3</t>
        </is>
      </c>
      <c r="C638" s="22" t="n">
        <v>1405</v>
      </c>
    </row>
    <row r="639">
      <c r="A639" s="22" t="n">
        <v>1414</v>
      </c>
      <c r="B639" s="22" t="inlineStr">
        <is>
          <t>GSM HUAWEI E1756C</t>
        </is>
      </c>
      <c r="C639" s="22" t="n">
        <v>1414</v>
      </c>
    </row>
    <row r="640">
      <c r="A640" s="22" t="n">
        <v>1415</v>
      </c>
      <c r="B640" s="22" t="inlineStr">
        <is>
          <t>VIRT GSM HUAWEI E1756C</t>
        </is>
      </c>
      <c r="C640" s="22" t="n">
        <v>1415</v>
      </c>
    </row>
    <row r="641">
      <c r="A641" s="22" t="n">
        <v>1416</v>
      </c>
      <c r="B641" s="22" t="inlineStr">
        <is>
          <t>MICROSIM 3FF_PRUEBAS PRE</t>
        </is>
      </c>
      <c r="C641" s="22" t="n">
        <v>1416</v>
      </c>
    </row>
    <row r="642">
      <c r="A642" s="22" t="n">
        <v>1417</v>
      </c>
      <c r="B642" s="22" t="inlineStr">
        <is>
          <t>MICROSIM 3FF POSPAGO</t>
        </is>
      </c>
      <c r="C642" s="22" t="n">
        <v>1417</v>
      </c>
    </row>
    <row r="643">
      <c r="A643" s="22" t="n">
        <v>1424</v>
      </c>
      <c r="B643" s="22" t="inlineStr">
        <is>
          <t>GSM SONY ERICSSON X10 MINI</t>
        </is>
      </c>
      <c r="C643" s="22" t="n">
        <v>1424</v>
      </c>
    </row>
    <row r="644">
      <c r="A644" s="22" t="n">
        <v>1425</v>
      </c>
      <c r="B644" s="22" t="inlineStr">
        <is>
          <t>VIRT GSM SONY ERICSSON X10 MINI</t>
        </is>
      </c>
      <c r="C644" s="22" t="n">
        <v>1425</v>
      </c>
    </row>
    <row r="645">
      <c r="A645" s="22" t="n">
        <v>1434</v>
      </c>
      <c r="B645" s="22" t="inlineStr">
        <is>
          <t>GSM LG GS155 ANGELA</t>
        </is>
      </c>
      <c r="C645" s="22" t="n">
        <v>1434</v>
      </c>
    </row>
    <row r="646">
      <c r="A646" s="22" t="n">
        <v>1435</v>
      </c>
      <c r="B646" s="22" t="inlineStr">
        <is>
          <t>VIRT GSM LG GS155 ANGELA</t>
        </is>
      </c>
      <c r="C646" s="22" t="n">
        <v>1435</v>
      </c>
    </row>
    <row r="647">
      <c r="A647" s="22" t="n">
        <v>1436</v>
      </c>
      <c r="B647" s="22" t="inlineStr">
        <is>
          <t>GSM SAMSUNG C3300 CHAMP</t>
        </is>
      </c>
      <c r="C647" s="22" t="n">
        <v>1436</v>
      </c>
    </row>
    <row r="648">
      <c r="A648" s="22" t="n">
        <v>1437</v>
      </c>
      <c r="B648" s="22" t="inlineStr">
        <is>
          <t>VIRT GSM SAMSUNG C3300 CHAMP</t>
        </is>
      </c>
      <c r="C648" s="22" t="n">
        <v>1437</v>
      </c>
    </row>
    <row r="649">
      <c r="A649" s="22" t="n">
        <v>1440</v>
      </c>
      <c r="B649" s="22" t="inlineStr">
        <is>
          <t>GSM BLACKBERRY 9300</t>
        </is>
      </c>
      <c r="C649" s="22" t="n">
        <v>1440</v>
      </c>
    </row>
    <row r="650">
      <c r="A650" s="22" t="n">
        <v>1441</v>
      </c>
      <c r="B650" s="22" t="inlineStr">
        <is>
          <t>VIRT GSM BLACKBERRY 9300</t>
        </is>
      </c>
      <c r="C650" s="22" t="n">
        <v>1441</v>
      </c>
    </row>
    <row r="651">
      <c r="A651" s="22" t="n">
        <v>1444</v>
      </c>
      <c r="B651" s="22" t="inlineStr">
        <is>
          <t>GSM NOKIA 1616</t>
        </is>
      </c>
      <c r="C651" s="22" t="n">
        <v>1444</v>
      </c>
    </row>
    <row r="652">
      <c r="A652" s="22" t="n">
        <v>1445</v>
      </c>
      <c r="B652" s="22" t="inlineStr">
        <is>
          <t>VIRT GSM NOKIA 1616</t>
        </is>
      </c>
      <c r="C652" s="22" t="n">
        <v>1445</v>
      </c>
    </row>
    <row r="653">
      <c r="A653" s="22" t="n">
        <v>1454</v>
      </c>
      <c r="B653" s="22" t="inlineStr">
        <is>
          <t>GSM IPHONE 4 16G</t>
        </is>
      </c>
      <c r="C653" s="22" t="n">
        <v>1454</v>
      </c>
    </row>
    <row r="654">
      <c r="A654" s="22" t="n">
        <v>1455</v>
      </c>
      <c r="B654" s="22" t="inlineStr">
        <is>
          <t>VIRT GSM IPHONE 4 16G</t>
        </is>
      </c>
      <c r="C654" s="22" t="n">
        <v>1455</v>
      </c>
    </row>
    <row r="655">
      <c r="A655" s="22" t="n">
        <v>1456</v>
      </c>
      <c r="B655" s="22" t="inlineStr">
        <is>
          <t>GSM IPHONE 4 32G</t>
        </is>
      </c>
      <c r="C655" s="22" t="n">
        <v>1456</v>
      </c>
    </row>
    <row r="656">
      <c r="A656" s="22" t="n">
        <v>1457</v>
      </c>
      <c r="B656" s="22" t="inlineStr">
        <is>
          <t>VIRT GSM IPHONE 4 32G</t>
        </is>
      </c>
      <c r="C656" s="22" t="n">
        <v>1457</v>
      </c>
    </row>
    <row r="657">
      <c r="A657" s="22" t="n">
        <v>1458</v>
      </c>
      <c r="B657" s="22" t="inlineStr">
        <is>
          <t>GSM SONY ERICSSON SPIRO</t>
        </is>
      </c>
      <c r="C657" s="22" t="n">
        <v>1458</v>
      </c>
    </row>
    <row r="658">
      <c r="A658" s="22" t="n">
        <v>1459</v>
      </c>
      <c r="B658" s="22" t="inlineStr">
        <is>
          <t>VIRT GSM SONY ERICSSON SPIRO</t>
        </is>
      </c>
      <c r="C658" s="22" t="n">
        <v>1459</v>
      </c>
    </row>
    <row r="659">
      <c r="A659" s="22" t="n">
        <v>1460</v>
      </c>
      <c r="B659" s="22" t="inlineStr">
        <is>
          <t>GSM ZTE MOVISTAR 317</t>
        </is>
      </c>
      <c r="C659" s="22" t="n">
        <v>1460</v>
      </c>
    </row>
    <row r="660">
      <c r="A660" s="22" t="n">
        <v>1462</v>
      </c>
      <c r="B660" s="22" t="inlineStr">
        <is>
          <t>GSM ZTE MOVISTAR 731</t>
        </is>
      </c>
      <c r="C660" s="22" t="n">
        <v>1462</v>
      </c>
    </row>
    <row r="661">
      <c r="A661" s="22" t="n">
        <v>1464</v>
      </c>
      <c r="B661" s="22" t="inlineStr">
        <is>
          <t>MICROSIM 3FF_PRUEBAS POST</t>
        </is>
      </c>
      <c r="C661" s="22" t="n">
        <v>1464</v>
      </c>
    </row>
    <row r="662">
      <c r="A662" s="22" t="n">
        <v>1465</v>
      </c>
      <c r="B662" s="22" t="inlineStr">
        <is>
          <t>MICROSIM 3FF PREPAGO</t>
        </is>
      </c>
      <c r="C662" s="22" t="n">
        <v>1465</v>
      </c>
    </row>
    <row r="663">
      <c r="A663" s="22" t="n">
        <v>1474</v>
      </c>
      <c r="B663" s="22" t="inlineStr">
        <is>
          <t>GSM NOKIA E5</t>
        </is>
      </c>
      <c r="C663" s="22" t="n">
        <v>1474</v>
      </c>
    </row>
    <row r="664">
      <c r="A664" s="22" t="n">
        <v>1475</v>
      </c>
      <c r="B664" s="22" t="inlineStr">
        <is>
          <t>VIRT GSM NOKIA E5</t>
        </is>
      </c>
      <c r="C664" s="22" t="n">
        <v>1475</v>
      </c>
    </row>
    <row r="665">
      <c r="A665" s="22" t="n">
        <v>1476</v>
      </c>
      <c r="B665" s="22" t="inlineStr">
        <is>
          <t>GSM NOKIA N8</t>
        </is>
      </c>
      <c r="C665" s="22" t="n">
        <v>1476</v>
      </c>
    </row>
    <row r="666">
      <c r="A666" s="22" t="n">
        <v>1477</v>
      </c>
      <c r="B666" s="22" t="inlineStr">
        <is>
          <t>VIRT GSM NOKIA N8</t>
        </is>
      </c>
      <c r="C666" s="22" t="n">
        <v>1477</v>
      </c>
    </row>
    <row r="667">
      <c r="A667" s="22" t="n">
        <v>1478</v>
      </c>
      <c r="B667" s="22" t="inlineStr">
        <is>
          <t>GSM NOKIA X2</t>
        </is>
      </c>
      <c r="C667" s="22" t="n">
        <v>1478</v>
      </c>
    </row>
    <row r="668">
      <c r="A668" s="22" t="n">
        <v>1479</v>
      </c>
      <c r="B668" s="22" t="inlineStr">
        <is>
          <t>VIRT GSM NOKIA X2</t>
        </is>
      </c>
      <c r="C668" s="22" t="n">
        <v>1479</v>
      </c>
    </row>
    <row r="669">
      <c r="A669" s="22" t="n">
        <v>1484</v>
      </c>
      <c r="B669" s="22" t="inlineStr">
        <is>
          <t>SIMCARD 2FF POSTPAGO 128K</t>
        </is>
      </c>
      <c r="C669" s="22" t="n">
        <v>1484</v>
      </c>
    </row>
    <row r="670">
      <c r="A670" s="22" t="n">
        <v>1494</v>
      </c>
      <c r="B670" s="22" t="inlineStr">
        <is>
          <t>GSM SAMSUNG GALAXY TAB P1000</t>
        </is>
      </c>
      <c r="C670" s="22" t="n">
        <v>1494</v>
      </c>
    </row>
    <row r="671">
      <c r="A671" s="22" t="n">
        <v>1495</v>
      </c>
      <c r="B671" s="22" t="inlineStr">
        <is>
          <t>VIRT GSM SAMSUNG GALAXY TAB P1000</t>
        </is>
      </c>
      <c r="C671" s="22" t="n">
        <v>1495</v>
      </c>
    </row>
    <row r="672">
      <c r="A672" s="22" t="n">
        <v>1496</v>
      </c>
      <c r="B672" s="22" t="inlineStr">
        <is>
          <t>GSM SAMSUNG GALAXY S I9000</t>
        </is>
      </c>
      <c r="C672" s="22" t="n">
        <v>1496</v>
      </c>
    </row>
    <row r="673">
      <c r="A673" s="22" t="n">
        <v>1497</v>
      </c>
      <c r="B673" s="22" t="inlineStr">
        <is>
          <t>VIRT GSM SAMSUNG GALAXY S I9000</t>
        </is>
      </c>
      <c r="C673" s="22" t="n">
        <v>1497</v>
      </c>
    </row>
    <row r="674">
      <c r="A674" s="22" t="n">
        <v>1498</v>
      </c>
      <c r="B674" s="22" t="inlineStr">
        <is>
          <t>GSM SAMSUNG E2121</t>
        </is>
      </c>
      <c r="C674" s="22" t="n">
        <v>1498</v>
      </c>
    </row>
    <row r="675">
      <c r="A675" s="22" t="n">
        <v>1499</v>
      </c>
      <c r="B675" s="22" t="inlineStr">
        <is>
          <t>VIRT GSM SAMSUNG E2121</t>
        </is>
      </c>
      <c r="C675" s="22" t="n">
        <v>1499</v>
      </c>
    </row>
    <row r="676">
      <c r="A676" s="22" t="n">
        <v>1500</v>
      </c>
      <c r="B676" s="22" t="inlineStr">
        <is>
          <t>GSM SAMSUNG GALAXI 550</t>
        </is>
      </c>
      <c r="C676" s="22" t="n">
        <v>1500</v>
      </c>
    </row>
    <row r="677">
      <c r="A677" s="22" t="n">
        <v>1501</v>
      </c>
      <c r="B677" s="22" t="inlineStr">
        <is>
          <t>VIRT GSM SAMSUNG GALAXI 550</t>
        </is>
      </c>
      <c r="C677" s="22" t="n">
        <v>1501</v>
      </c>
    </row>
    <row r="678">
      <c r="A678" s="22" t="n">
        <v>1504</v>
      </c>
      <c r="B678" s="22" t="inlineStr">
        <is>
          <t>GSM MOVISTAR S317</t>
        </is>
      </c>
      <c r="C678" s="22" t="n">
        <v>1504</v>
      </c>
    </row>
    <row r="679">
      <c r="A679" s="22" t="n">
        <v>1505</v>
      </c>
      <c r="B679" s="22" t="inlineStr">
        <is>
          <t>VIRT GSM MOVISTAR S317</t>
        </is>
      </c>
      <c r="C679" s="22" t="n">
        <v>1505</v>
      </c>
    </row>
    <row r="680">
      <c r="A680" s="22" t="n">
        <v>1506</v>
      </c>
      <c r="B680" s="22" t="inlineStr">
        <is>
          <t>GSM MOVISTAR S731</t>
        </is>
      </c>
      <c r="C680" s="22" t="n">
        <v>1506</v>
      </c>
    </row>
    <row r="681">
      <c r="A681" s="22" t="n">
        <v>1507</v>
      </c>
      <c r="B681" s="22" t="inlineStr">
        <is>
          <t>VIRT GSM MOVISTAR S731</t>
        </is>
      </c>
      <c r="C681" s="22" t="n">
        <v>1507</v>
      </c>
    </row>
    <row r="682">
      <c r="A682" s="22" t="n">
        <v>1514</v>
      </c>
      <c r="B682" s="22" t="inlineStr">
        <is>
          <t>GSM LG T300</t>
        </is>
      </c>
      <c r="C682" s="22" t="n">
        <v>1514</v>
      </c>
    </row>
    <row r="683">
      <c r="A683" s="22" t="n">
        <v>1515</v>
      </c>
      <c r="B683" s="22" t="inlineStr">
        <is>
          <t>VIRT GSM LG T300</t>
        </is>
      </c>
      <c r="C683" s="22" t="n">
        <v>1515</v>
      </c>
    </row>
    <row r="684">
      <c r="A684" s="22" t="n">
        <v>1524</v>
      </c>
      <c r="B684" s="22" t="inlineStr">
        <is>
          <t>GSM BLACKBERRY 9780</t>
        </is>
      </c>
      <c r="C684" s="22" t="n">
        <v>1524</v>
      </c>
    </row>
    <row r="685">
      <c r="A685" s="22" t="n">
        <v>1525</v>
      </c>
      <c r="B685" s="22" t="inlineStr">
        <is>
          <t>VIRT GSM BLACKBERRY 9780</t>
        </is>
      </c>
      <c r="C685" s="22" t="n">
        <v>1525</v>
      </c>
    </row>
    <row r="686">
      <c r="A686" s="22" t="n">
        <v>1526</v>
      </c>
      <c r="B686" s="22" t="inlineStr">
        <is>
          <t>GSM BLACKBERRY 9800</t>
        </is>
      </c>
      <c r="C686" s="22" t="n">
        <v>1526</v>
      </c>
    </row>
    <row r="687">
      <c r="A687" s="22" t="n">
        <v>1527</v>
      </c>
      <c r="B687" s="22" t="inlineStr">
        <is>
          <t>VIRT GSM BLACKBERRY 9800</t>
        </is>
      </c>
      <c r="C687" s="22" t="n">
        <v>1527</v>
      </c>
    </row>
    <row r="688">
      <c r="A688" s="22" t="n">
        <v>1534</v>
      </c>
      <c r="B688" s="22" t="inlineStr">
        <is>
          <t>SIMCARD M2M POSPAGO GD BURTI</t>
        </is>
      </c>
      <c r="C688" s="22" t="n">
        <v>1534</v>
      </c>
    </row>
    <row r="689">
      <c r="A689" s="22" t="n">
        <v>1544</v>
      </c>
      <c r="B689" s="22" t="inlineStr">
        <is>
          <t>GSM MOVISTAR URBAN</t>
        </is>
      </c>
      <c r="C689" s="22" t="n">
        <v>1544</v>
      </c>
    </row>
    <row r="690">
      <c r="A690" s="22" t="n">
        <v>1545</v>
      </c>
      <c r="B690" s="22" t="inlineStr">
        <is>
          <t>VIRT GSM MOVISTAR URBAN</t>
        </is>
      </c>
      <c r="C690" s="22" t="n">
        <v>1545</v>
      </c>
    </row>
    <row r="691">
      <c r="A691" s="22" t="n">
        <v>1546</v>
      </c>
      <c r="B691" s="22" t="inlineStr">
        <is>
          <t>GSM MOVISTAR LINK</t>
        </is>
      </c>
      <c r="C691" s="22" t="n">
        <v>1546</v>
      </c>
    </row>
    <row r="692">
      <c r="A692" s="22" t="n">
        <v>1547</v>
      </c>
      <c r="B692" s="22" t="inlineStr">
        <is>
          <t>VIRT GSM MOVISTAR LINK</t>
        </is>
      </c>
      <c r="C692" s="22" t="n">
        <v>1547</v>
      </c>
    </row>
    <row r="693">
      <c r="A693" s="22" t="n">
        <v>1548</v>
      </c>
      <c r="B693" s="22" t="inlineStr">
        <is>
          <t>GSM NOKIA X2-01</t>
        </is>
      </c>
      <c r="C693" s="22" t="n">
        <v>1548</v>
      </c>
    </row>
    <row r="694">
      <c r="A694" s="22" t="n">
        <v>1554</v>
      </c>
      <c r="B694" s="22" t="inlineStr">
        <is>
          <t>VIRT GSM NOKIA X2-01</t>
        </is>
      </c>
      <c r="C694" s="22" t="n">
        <v>1554</v>
      </c>
    </row>
    <row r="695">
      <c r="A695" s="22" t="n">
        <v>1555</v>
      </c>
      <c r="B695" s="22" t="inlineStr">
        <is>
          <t>GSM NOKIA X3-02</t>
        </is>
      </c>
      <c r="C695" s="22" t="n">
        <v>1555</v>
      </c>
    </row>
    <row r="696">
      <c r="A696" s="22" t="n">
        <v>1556</v>
      </c>
      <c r="B696" s="22" t="inlineStr">
        <is>
          <t>VIRT GSM NOKIA X3-02</t>
        </is>
      </c>
      <c r="C696" s="22" t="n">
        <v>1556</v>
      </c>
    </row>
    <row r="697">
      <c r="A697" s="22" t="n">
        <v>1557</v>
      </c>
      <c r="B697" s="22" t="inlineStr">
        <is>
          <t>GSM HUAWEI E173</t>
        </is>
      </c>
      <c r="C697" s="22" t="n">
        <v>1557</v>
      </c>
    </row>
    <row r="698">
      <c r="A698" s="22" t="n">
        <v>1558</v>
      </c>
      <c r="B698" s="22" t="inlineStr">
        <is>
          <t>VIRT GSM HUAWEI E173</t>
        </is>
      </c>
      <c r="C698" s="22" t="n">
        <v>1558</v>
      </c>
    </row>
    <row r="699">
      <c r="A699" s="22" t="n">
        <v>1559</v>
      </c>
      <c r="B699" s="22" t="inlineStr">
        <is>
          <t>GSM LG OPTIMUS ONE</t>
        </is>
      </c>
      <c r="C699" s="22" t="n">
        <v>1559</v>
      </c>
    </row>
    <row r="700">
      <c r="A700" s="22" t="n">
        <v>1560</v>
      </c>
      <c r="B700" s="22" t="inlineStr">
        <is>
          <t>VIRT GSM LG OPTIMUS ONE</t>
        </is>
      </c>
      <c r="C700" s="22" t="n">
        <v>1560</v>
      </c>
    </row>
    <row r="701">
      <c r="A701" s="22" t="n">
        <v>1564</v>
      </c>
      <c r="B701" s="22" t="inlineStr">
        <is>
          <t>GSM NOKIA C7</t>
        </is>
      </c>
      <c r="C701" s="22" t="n">
        <v>1564</v>
      </c>
    </row>
    <row r="702">
      <c r="A702" s="22" t="n">
        <v>1565</v>
      </c>
      <c r="B702" s="22" t="inlineStr">
        <is>
          <t>VIRT GSM NOKIA C7</t>
        </is>
      </c>
      <c r="C702" s="22" t="n">
        <v>1565</v>
      </c>
    </row>
    <row r="703">
      <c r="A703" s="22" t="n">
        <v>1566</v>
      </c>
      <c r="B703" s="22" t="inlineStr">
        <is>
          <t>GSM NOKIA C1-01</t>
        </is>
      </c>
      <c r="C703" s="22" t="n">
        <v>1566</v>
      </c>
    </row>
    <row r="704">
      <c r="A704" s="22" t="n">
        <v>1567</v>
      </c>
      <c r="B704" s="22" t="inlineStr">
        <is>
          <t>VIRT GSM NOKIA C1-01</t>
        </is>
      </c>
      <c r="C704" s="22" t="n">
        <v>1567</v>
      </c>
    </row>
    <row r="705">
      <c r="A705" s="22" t="n">
        <v>1574</v>
      </c>
      <c r="B705" s="22" t="inlineStr">
        <is>
          <t>GSM MOTOROLA ES405</t>
        </is>
      </c>
      <c r="C705" s="22" t="n">
        <v>1574</v>
      </c>
    </row>
    <row r="706">
      <c r="A706" s="22" t="n">
        <v>1576</v>
      </c>
      <c r="B706" s="22" t="inlineStr">
        <is>
          <t>GSM LENOVO S10-3</t>
        </is>
      </c>
      <c r="C706" s="22" t="n">
        <v>1576</v>
      </c>
    </row>
    <row r="707">
      <c r="A707" s="22" t="n">
        <v>1584</v>
      </c>
      <c r="B707" s="22" t="inlineStr">
        <is>
          <t>GSM ERICSSON OWASYS 136</t>
        </is>
      </c>
      <c r="C707" s="22" t="n">
        <v>1584</v>
      </c>
    </row>
    <row r="708">
      <c r="A708" s="22" t="n">
        <v>1594</v>
      </c>
      <c r="B708" s="22" t="inlineStr">
        <is>
          <t>VIRT GSM ERICSSON OWASYS 136</t>
        </is>
      </c>
      <c r="C708" s="22" t="n">
        <v>1594</v>
      </c>
    </row>
    <row r="709">
      <c r="A709" s="22" t="n">
        <v>1604</v>
      </c>
      <c r="B709" s="22" t="inlineStr">
        <is>
          <t>GSM SAMSUNG E3210</t>
        </is>
      </c>
      <c r="C709" s="22" t="n">
        <v>1604</v>
      </c>
    </row>
    <row r="710">
      <c r="A710" s="22" t="n">
        <v>1605</v>
      </c>
      <c r="B710" s="22" t="inlineStr">
        <is>
          <t>VIRT GSM SAMSUNG E3210</t>
        </is>
      </c>
      <c r="C710" s="22" t="n">
        <v>1605</v>
      </c>
    </row>
    <row r="711">
      <c r="A711" s="22" t="n">
        <v>1614</v>
      </c>
      <c r="B711" s="22" t="inlineStr">
        <is>
          <t>GSM NOKIA 5250</t>
        </is>
      </c>
      <c r="C711" s="22" t="n">
        <v>1614</v>
      </c>
    </row>
    <row r="712">
      <c r="A712" s="22" t="n">
        <v>1615</v>
      </c>
      <c r="B712" s="22" t="inlineStr">
        <is>
          <t>VIRT GSM NOKIA 5250</t>
        </is>
      </c>
      <c r="C712" s="22" t="n">
        <v>1615</v>
      </c>
    </row>
    <row r="713">
      <c r="A713" s="22" t="n">
        <v>1624</v>
      </c>
      <c r="B713" s="22" t="inlineStr">
        <is>
          <t>GSM ROUTER B MOBILE LONGCHEER WR7310</t>
        </is>
      </c>
      <c r="C713" s="22" t="n">
        <v>1624</v>
      </c>
    </row>
    <row r="714">
      <c r="A714" s="22" t="n">
        <v>1625</v>
      </c>
      <c r="B714" s="22" t="inlineStr">
        <is>
          <t>VIRT GSM ROUTER B MOBILE LONGCHEER WR731</t>
        </is>
      </c>
      <c r="C714" s="22" t="n">
        <v>1625</v>
      </c>
    </row>
    <row r="715">
      <c r="A715" s="22" t="n">
        <v>1626</v>
      </c>
      <c r="B715" s="22" t="inlineStr">
        <is>
          <t>GSM MODEM HUAWEI E173S</t>
        </is>
      </c>
      <c r="C715" s="22" t="n">
        <v>1626</v>
      </c>
    </row>
    <row r="716">
      <c r="A716" s="22" t="n">
        <v>1627</v>
      </c>
      <c r="B716" s="22" t="inlineStr">
        <is>
          <t>VIRT GSM MODEM HUAWEI E173S</t>
        </is>
      </c>
      <c r="C716" s="22" t="n">
        <v>1627</v>
      </c>
    </row>
    <row r="717">
      <c r="A717" s="22" t="n">
        <v>1634</v>
      </c>
      <c r="B717" s="22" t="inlineStr">
        <is>
          <t>GSM SAMSUNG CHAT 322</t>
        </is>
      </c>
      <c r="C717" s="22" t="n">
        <v>1634</v>
      </c>
    </row>
    <row r="718">
      <c r="A718" s="22" t="n">
        <v>1635</v>
      </c>
      <c r="B718" s="22" t="inlineStr">
        <is>
          <t>VIRT GSM SAMSUNG CHAT 322</t>
        </is>
      </c>
      <c r="C718" s="22" t="n">
        <v>1635</v>
      </c>
    </row>
    <row r="719">
      <c r="A719" s="22" t="n">
        <v>1644</v>
      </c>
      <c r="B719" s="22" t="inlineStr">
        <is>
          <t>MICROSIM 3FF POSPAGO 128K</t>
        </is>
      </c>
      <c r="C719" s="22" t="n">
        <v>1644</v>
      </c>
    </row>
    <row r="720">
      <c r="A720" s="22" t="n">
        <v>1645</v>
      </c>
      <c r="B720" s="22" t="inlineStr">
        <is>
          <t>MICROSIM 3FF PREPAGO 128K</t>
        </is>
      </c>
      <c r="C720" s="22" t="n">
        <v>1645</v>
      </c>
    </row>
    <row r="721">
      <c r="A721" s="22" t="n">
        <v>1654</v>
      </c>
      <c r="B721" s="22" t="inlineStr">
        <is>
          <t>GSM SAMSUNG GALAXY S II</t>
        </is>
      </c>
      <c r="C721" s="22" t="n">
        <v>1654</v>
      </c>
    </row>
    <row r="722">
      <c r="A722" s="22" t="n">
        <v>1655</v>
      </c>
      <c r="B722" s="22" t="inlineStr">
        <is>
          <t>VIRT GSM SAMSUNG GALAXY S II</t>
        </is>
      </c>
      <c r="C722" s="22" t="n">
        <v>1655</v>
      </c>
    </row>
    <row r="723">
      <c r="A723" s="22" t="n">
        <v>1656</v>
      </c>
      <c r="B723" s="22" t="inlineStr">
        <is>
          <t>GSM MODEM HUAWEI E367</t>
        </is>
      </c>
      <c r="C723" s="22" t="n">
        <v>1656</v>
      </c>
    </row>
    <row r="724">
      <c r="A724" s="22" t="n">
        <v>1657</v>
      </c>
      <c r="B724" s="22" t="inlineStr">
        <is>
          <t>VIRT GSM MODEM HUAWEI E367</t>
        </is>
      </c>
      <c r="C724" s="22" t="n">
        <v>1657</v>
      </c>
    </row>
    <row r="725">
      <c r="A725" s="22" t="n">
        <v>1658</v>
      </c>
      <c r="B725" s="22" t="inlineStr">
        <is>
          <t>GSM SONY ERICSSON XPERIA X8</t>
        </is>
      </c>
      <c r="C725" s="22" t="n">
        <v>1658</v>
      </c>
    </row>
    <row r="726">
      <c r="A726" s="22" t="n">
        <v>1659</v>
      </c>
      <c r="B726" s="22" t="inlineStr">
        <is>
          <t>VIRT GSM SONY ERICSSON XPERIA X8</t>
        </is>
      </c>
      <c r="C726" s="22" t="n">
        <v>1659</v>
      </c>
    </row>
    <row r="727">
      <c r="A727" s="22" t="n">
        <v>1674</v>
      </c>
      <c r="B727" s="22" t="inlineStr">
        <is>
          <t>GSM SAMSUNG GALAXY ACE</t>
        </is>
      </c>
      <c r="C727" s="22" t="n">
        <v>1674</v>
      </c>
    </row>
    <row r="728">
      <c r="A728" s="22" t="n">
        <v>1675</v>
      </c>
      <c r="B728" s="22" t="inlineStr">
        <is>
          <t>VIRT GSM SAMSUNG GALAXY ACE</t>
        </is>
      </c>
      <c r="C728" s="22" t="n">
        <v>1675</v>
      </c>
    </row>
    <row r="729">
      <c r="A729" s="22" t="n">
        <v>1684</v>
      </c>
      <c r="B729" s="22" t="inlineStr">
        <is>
          <t>GSM SAMSUNG GALAXY MINI</t>
        </is>
      </c>
      <c r="C729" s="22" t="n">
        <v>1684</v>
      </c>
    </row>
    <row r="730">
      <c r="A730" s="22" t="n">
        <v>1685</v>
      </c>
      <c r="B730" s="22" t="inlineStr">
        <is>
          <t>VIRT GSM SAMSUNG GALAXY MINI</t>
        </is>
      </c>
      <c r="C730" s="22" t="n">
        <v>1685</v>
      </c>
    </row>
    <row r="731">
      <c r="A731" s="22" t="n">
        <v>1688</v>
      </c>
      <c r="B731" s="22" t="inlineStr">
        <is>
          <t>GSM SAMSUNG E1182</t>
        </is>
      </c>
      <c r="C731" s="22" t="n">
        <v>1688</v>
      </c>
    </row>
    <row r="732">
      <c r="A732" s="22" t="n">
        <v>1689</v>
      </c>
      <c r="B732" s="22" t="inlineStr">
        <is>
          <t>VIRT GSM SAMSUNG E1182</t>
        </is>
      </c>
      <c r="C732" s="22" t="n">
        <v>1689</v>
      </c>
    </row>
    <row r="733">
      <c r="A733" s="22" t="n">
        <v>1690</v>
      </c>
      <c r="B733" s="22" t="inlineStr">
        <is>
          <t>GSM NOKIA C2-01</t>
        </is>
      </c>
      <c r="C733" s="22" t="n">
        <v>1690</v>
      </c>
    </row>
    <row r="734">
      <c r="A734" s="22" t="n">
        <v>1691</v>
      </c>
      <c r="B734" s="22" t="inlineStr">
        <is>
          <t>VIRT GSM NOKIA C2-01</t>
        </is>
      </c>
      <c r="C734" s="22" t="n">
        <v>1691</v>
      </c>
    </row>
    <row r="735">
      <c r="A735" s="22" t="n">
        <v>1693</v>
      </c>
      <c r="B735" s="22" t="inlineStr">
        <is>
          <t>DESC VIR GS NOK Ebad6</t>
        </is>
      </c>
      <c r="C735" s="22" t="n">
        <v>1693</v>
      </c>
    </row>
    <row r="736">
      <c r="A736" s="22" t="n">
        <v>1694</v>
      </c>
      <c r="B736" s="22" t="inlineStr">
        <is>
          <t>GSM ALCATEL OT-807</t>
        </is>
      </c>
      <c r="C736" s="22" t="n">
        <v>1694</v>
      </c>
    </row>
    <row r="737">
      <c r="A737" s="22" t="n">
        <v>1695</v>
      </c>
      <c r="B737" s="22" t="inlineStr">
        <is>
          <t>VIRT GSM ALCATEL OT-807</t>
        </is>
      </c>
      <c r="C737" s="22" t="n">
        <v>1695</v>
      </c>
    </row>
    <row r="738">
      <c r="A738" s="22" t="n">
        <v>1704</v>
      </c>
      <c r="B738" s="22" t="inlineStr">
        <is>
          <t>GSM IPAD 2 64GB +3G BLANCO</t>
        </is>
      </c>
      <c r="C738" s="22" t="n">
        <v>1704</v>
      </c>
    </row>
    <row r="739">
      <c r="A739" s="22" t="n">
        <v>1706</v>
      </c>
      <c r="B739" s="22" t="inlineStr">
        <is>
          <t>GSM IPAD 2 32GB +3G</t>
        </is>
      </c>
      <c r="C739" s="22" t="n">
        <v>1706</v>
      </c>
    </row>
    <row r="740">
      <c r="A740" s="22" t="n">
        <v>1708</v>
      </c>
      <c r="B740" s="22" t="inlineStr">
        <is>
          <t>GSM IPAD 2 16GB +3G BLANCO</t>
        </is>
      </c>
      <c r="C740" s="22" t="n">
        <v>1708</v>
      </c>
    </row>
    <row r="741">
      <c r="A741" s="22" t="n">
        <v>1714</v>
      </c>
      <c r="B741" s="22" t="inlineStr">
        <is>
          <t>GSM NOKIA E6</t>
        </is>
      </c>
      <c r="C741" s="22" t="n">
        <v>1714</v>
      </c>
    </row>
    <row r="742">
      <c r="A742" s="22" t="n">
        <v>1715</v>
      </c>
      <c r="B742" s="22" t="inlineStr">
        <is>
          <t>VIRT GSM NOKIA E6</t>
        </is>
      </c>
      <c r="C742" s="22" t="n">
        <v>1715</v>
      </c>
    </row>
    <row r="743">
      <c r="A743" s="22" t="n">
        <v>1716</v>
      </c>
      <c r="B743" s="22" t="inlineStr">
        <is>
          <t>GSM ALCATEL OT-355</t>
        </is>
      </c>
      <c r="C743" s="22" t="n">
        <v>1716</v>
      </c>
    </row>
    <row r="744">
      <c r="A744" s="22" t="n">
        <v>1717</v>
      </c>
      <c r="B744" s="22" t="inlineStr">
        <is>
          <t>VIRT GSM ALCATEL OT-355</t>
        </is>
      </c>
      <c r="C744" s="22" t="n">
        <v>1717</v>
      </c>
    </row>
    <row r="745">
      <c r="A745" s="22" t="n">
        <v>1724</v>
      </c>
      <c r="B745" s="22" t="inlineStr">
        <is>
          <t>GSM SAMSUNG CHAT 222</t>
        </is>
      </c>
      <c r="C745" s="22" t="n">
        <v>1724</v>
      </c>
    </row>
    <row r="746">
      <c r="A746" s="22" t="n">
        <v>1734</v>
      </c>
      <c r="B746" s="22" t="inlineStr">
        <is>
          <t>GSM LG OPTIMUS BLACK</t>
        </is>
      </c>
      <c r="C746" s="22" t="n">
        <v>1734</v>
      </c>
    </row>
    <row r="747">
      <c r="A747" s="22" t="n">
        <v>1735</v>
      </c>
      <c r="B747" s="22" t="inlineStr">
        <is>
          <t>VIRT GSM LG OPTIMUS BLACK</t>
        </is>
      </c>
      <c r="C747" s="22" t="n">
        <v>1735</v>
      </c>
    </row>
    <row r="748">
      <c r="A748" s="22" t="n">
        <v>1736</v>
      </c>
      <c r="B748" s="22" t="inlineStr">
        <is>
          <t>GSM SAMSUNG GALAXY TAB P7500</t>
        </is>
      </c>
      <c r="C748" s="22" t="n">
        <v>1736</v>
      </c>
    </row>
    <row r="749">
      <c r="A749" s="22" t="n">
        <v>1737</v>
      </c>
      <c r="B749" s="22" t="inlineStr">
        <is>
          <t>VIRT GSM SAMSUNG GALAXY TAB P7500</t>
        </is>
      </c>
      <c r="C749" s="22" t="n">
        <v>1737</v>
      </c>
    </row>
    <row r="750">
      <c r="A750" s="22" t="n">
        <v>1744</v>
      </c>
      <c r="B750" s="22" t="inlineStr">
        <is>
          <t>GSM HTC MEGA TOUCH II</t>
        </is>
      </c>
      <c r="C750" s="22" t="n">
        <v>1744</v>
      </c>
    </row>
    <row r="751">
      <c r="A751" s="22" t="n">
        <v>1754</v>
      </c>
      <c r="B751" s="22" t="inlineStr">
        <is>
          <t>GSM MOBILE WIFI</t>
        </is>
      </c>
      <c r="C751" s="22" t="n">
        <v>1754</v>
      </c>
    </row>
    <row r="752">
      <c r="A752" s="22" t="n">
        <v>1755</v>
      </c>
      <c r="B752" s="22" t="inlineStr">
        <is>
          <t>VIRT GSM MOBILE WIFI</t>
        </is>
      </c>
      <c r="C752" s="22" t="n">
        <v>1755</v>
      </c>
    </row>
    <row r="753">
      <c r="A753" s="22" t="n">
        <v>1764</v>
      </c>
      <c r="B753" s="22" t="inlineStr">
        <is>
          <t>GSM LG OPTIMUS PRO</t>
        </is>
      </c>
      <c r="C753" s="22" t="n">
        <v>1764</v>
      </c>
    </row>
    <row r="754">
      <c r="A754" s="22" t="n">
        <v>1774</v>
      </c>
      <c r="B754" s="22" t="inlineStr">
        <is>
          <t>VIRT GSM LG OPTIMUS PRO</t>
        </is>
      </c>
      <c r="C754" s="22" t="n">
        <v>1774</v>
      </c>
    </row>
    <row r="755">
      <c r="A755" s="22" t="n">
        <v>1775</v>
      </c>
      <c r="B755" s="22" t="inlineStr">
        <is>
          <t>GSM LG BRAVA</t>
        </is>
      </c>
      <c r="C755" s="22" t="n">
        <v>1775</v>
      </c>
    </row>
    <row r="756">
      <c r="A756" s="22" t="n">
        <v>1776</v>
      </c>
      <c r="B756" s="22" t="inlineStr">
        <is>
          <t>VIRT GSM LG BRAVA</t>
        </is>
      </c>
      <c r="C756" s="22" t="n">
        <v>1776</v>
      </c>
    </row>
    <row r="757">
      <c r="A757" s="22" t="n">
        <v>1794</v>
      </c>
      <c r="B757" s="22" t="inlineStr">
        <is>
          <t>GSM BLACKBERRY PLAYBOOK 16GB</t>
        </is>
      </c>
      <c r="C757" s="22" t="n">
        <v>1794</v>
      </c>
    </row>
    <row r="758">
      <c r="A758" s="22" t="n">
        <v>1795</v>
      </c>
      <c r="B758" s="22" t="inlineStr">
        <is>
          <t>VIRT GSM BLACKBERRY PLAYBOOK 16GB</t>
        </is>
      </c>
      <c r="C758" s="22" t="n">
        <v>1795</v>
      </c>
    </row>
    <row r="759">
      <c r="A759" s="22" t="n">
        <v>1796</v>
      </c>
      <c r="B759" s="22" t="inlineStr">
        <is>
          <t>GSM BLACKBERRY PLAYBOOK 32GB</t>
        </is>
      </c>
      <c r="C759" s="22" t="n">
        <v>1796</v>
      </c>
    </row>
    <row r="760">
      <c r="A760" s="22" t="n">
        <v>1804</v>
      </c>
      <c r="B760" s="22" t="inlineStr">
        <is>
          <t>GSM SAMSUNG C3330</t>
        </is>
      </c>
      <c r="C760" s="22" t="n">
        <v>1804</v>
      </c>
    </row>
    <row r="761">
      <c r="A761" s="22" t="n">
        <v>1805</v>
      </c>
      <c r="B761" s="22" t="inlineStr">
        <is>
          <t>VIRT GSM SAMSUNG C3330</t>
        </is>
      </c>
      <c r="C761" s="22" t="n">
        <v>1805</v>
      </c>
    </row>
    <row r="762">
      <c r="A762" s="22" t="n">
        <v>1806</v>
      </c>
      <c r="B762" s="22" t="inlineStr">
        <is>
          <t>GSM SAMSUNG CHAT 335</t>
        </is>
      </c>
      <c r="C762" s="22" t="n">
        <v>1806</v>
      </c>
    </row>
    <row r="763">
      <c r="A763" s="22" t="n">
        <v>1807</v>
      </c>
      <c r="B763" s="22" t="inlineStr">
        <is>
          <t>VIRT GSM SAMSUNG CHAT 335</t>
        </is>
      </c>
      <c r="C763" s="22" t="n">
        <v>1807</v>
      </c>
    </row>
    <row r="764">
      <c r="A764" s="22" t="n">
        <v>1808</v>
      </c>
      <c r="B764" s="22" t="inlineStr">
        <is>
          <t>GSM NOKIA 300</t>
        </is>
      </c>
      <c r="C764" s="22" t="n">
        <v>1808</v>
      </c>
    </row>
    <row r="765">
      <c r="A765" s="22" t="n">
        <v>1809</v>
      </c>
      <c r="B765" s="22" t="inlineStr">
        <is>
          <t>VIRT GSM NOKIA 300</t>
        </is>
      </c>
      <c r="C765" s="22" t="n">
        <v>1809</v>
      </c>
    </row>
    <row r="766">
      <c r="A766" s="22" t="n">
        <v>1810</v>
      </c>
      <c r="B766" s="22" t="inlineStr">
        <is>
          <t>GSM HTC INCREDIBLE S</t>
        </is>
      </c>
      <c r="C766" s="22" t="n">
        <v>1810</v>
      </c>
    </row>
    <row r="767">
      <c r="A767" s="22" t="n">
        <v>1811</v>
      </c>
      <c r="B767" s="22" t="inlineStr">
        <is>
          <t>VIRT GSM HTC INCREDIBLE S</t>
        </is>
      </c>
      <c r="C767" s="22" t="n">
        <v>1811</v>
      </c>
    </row>
    <row r="768">
      <c r="A768" s="22" t="n">
        <v>1814</v>
      </c>
      <c r="B768" s="22" t="inlineStr">
        <is>
          <t>GSM MOTOROLA DEFY</t>
        </is>
      </c>
      <c r="C768" s="22" t="n">
        <v>1814</v>
      </c>
    </row>
    <row r="769">
      <c r="A769" s="22" t="n">
        <v>1815</v>
      </c>
      <c r="B769" s="22" t="inlineStr">
        <is>
          <t>VIRT GSM MOTOROLA DEFY</t>
        </is>
      </c>
      <c r="C769" s="22" t="n">
        <v>1815</v>
      </c>
    </row>
    <row r="770">
      <c r="A770" s="22" t="n">
        <v>1816</v>
      </c>
      <c r="B770" s="22" t="inlineStr">
        <is>
          <t>GSM ALCATEL OT-506</t>
        </is>
      </c>
      <c r="C770" s="22" t="n">
        <v>1816</v>
      </c>
    </row>
    <row r="771">
      <c r="A771" s="22" t="n">
        <v>1817</v>
      </c>
      <c r="B771" s="22" t="inlineStr">
        <is>
          <t>VIRT GSM ALCATEL OT-506</t>
        </is>
      </c>
      <c r="C771" s="22" t="n">
        <v>1817</v>
      </c>
    </row>
    <row r="772">
      <c r="A772" s="22" t="n">
        <v>1818</v>
      </c>
      <c r="B772" s="22" t="inlineStr">
        <is>
          <t>GSM BLACKBERRY CURVE 9360</t>
        </is>
      </c>
      <c r="C772" s="22" t="n">
        <v>1818</v>
      </c>
    </row>
    <row r="773">
      <c r="A773" s="22" t="n">
        <v>1819</v>
      </c>
      <c r="B773" s="22" t="inlineStr">
        <is>
          <t>VIRT GSM BLACKBERRY CURVE 9360</t>
        </is>
      </c>
      <c r="C773" s="22" t="n">
        <v>1819</v>
      </c>
    </row>
    <row r="774">
      <c r="A774" s="22" t="n">
        <v>1820</v>
      </c>
      <c r="B774" s="22" t="inlineStr">
        <is>
          <t>GSM BLACKBERRY TORCH 9860</t>
        </is>
      </c>
      <c r="C774" s="22" t="n">
        <v>1820</v>
      </c>
    </row>
    <row r="775">
      <c r="A775" s="22" t="n">
        <v>1821</v>
      </c>
      <c r="B775" s="22" t="inlineStr">
        <is>
          <t>VIRT GSM BLACKBERRY TORCH 9860</t>
        </is>
      </c>
      <c r="C775" s="22" t="n">
        <v>1821</v>
      </c>
    </row>
    <row r="776">
      <c r="A776" s="22" t="n">
        <v>1822</v>
      </c>
      <c r="B776" s="22" t="inlineStr">
        <is>
          <t>GSM BLACKBERRY TORCH 9810</t>
        </is>
      </c>
      <c r="C776" s="22" t="n">
        <v>1822</v>
      </c>
    </row>
    <row r="777">
      <c r="A777" s="22" t="n">
        <v>1823</v>
      </c>
      <c r="B777" s="22" t="inlineStr">
        <is>
          <t>VIRT GSM BLACKBERRY TORCH 9810</t>
        </is>
      </c>
      <c r="C777" s="22" t="n">
        <v>1823</v>
      </c>
    </row>
    <row r="778">
      <c r="A778" s="22" t="n">
        <v>1824</v>
      </c>
      <c r="B778" s="22" t="inlineStr">
        <is>
          <t>GSM BLACKBERRY BOLD 9900</t>
        </is>
      </c>
      <c r="C778" s="22" t="n">
        <v>1824</v>
      </c>
    </row>
    <row r="779">
      <c r="A779" s="22" t="n">
        <v>1825</v>
      </c>
      <c r="B779" s="22" t="inlineStr">
        <is>
          <t>VIRT GSM BLACKBERRY BOLD 9900</t>
        </is>
      </c>
      <c r="C779" s="22" t="n">
        <v>1825</v>
      </c>
    </row>
    <row r="780">
      <c r="A780" s="22" t="n">
        <v>1834</v>
      </c>
      <c r="B780" s="22" t="inlineStr">
        <is>
          <t>GSM IPHONE 4 8GB</t>
        </is>
      </c>
      <c r="C780" s="22" t="n">
        <v>1834</v>
      </c>
    </row>
    <row r="781">
      <c r="A781" s="22" t="n">
        <v>1835</v>
      </c>
      <c r="B781" s="22" t="inlineStr">
        <is>
          <t>VIRT GSM IPHONE 4 8GB</t>
        </is>
      </c>
      <c r="C781" s="22" t="n">
        <v>1835</v>
      </c>
    </row>
    <row r="782">
      <c r="A782" s="22" t="n">
        <v>1844</v>
      </c>
      <c r="B782" s="22" t="inlineStr">
        <is>
          <t>GSM SAMSUNG GALAXY Y PRO</t>
        </is>
      </c>
      <c r="C782" s="22" t="n">
        <v>1844</v>
      </c>
    </row>
    <row r="783">
      <c r="A783" s="22" t="n">
        <v>1845</v>
      </c>
      <c r="B783" s="22" t="inlineStr">
        <is>
          <t>VIRT GSM SAMSUNG GALAXY Y PRO</t>
        </is>
      </c>
      <c r="C783" s="22" t="n">
        <v>1845</v>
      </c>
    </row>
    <row r="784">
      <c r="A784" s="22" t="n">
        <v>1854</v>
      </c>
      <c r="B784" s="22" t="inlineStr">
        <is>
          <t>GSM INDUSTRIAL CELLULAR VPN ROUTER</t>
        </is>
      </c>
      <c r="C784" s="22" t="n">
        <v>1854</v>
      </c>
    </row>
    <row r="785">
      <c r="A785" s="22" t="n">
        <v>1856</v>
      </c>
      <c r="B785" s="22" t="inlineStr">
        <is>
          <t>GSM TABLET MOVISTAR ONE PAD</t>
        </is>
      </c>
      <c r="C785" s="22" t="n">
        <v>1856</v>
      </c>
    </row>
    <row r="786">
      <c r="A786" s="22" t="n">
        <v>1857</v>
      </c>
      <c r="B786" s="22" t="inlineStr">
        <is>
          <t>VIRT GSM TABLET MOVISTAR ONE PAD</t>
        </is>
      </c>
      <c r="C786" s="22" t="n">
        <v>1857</v>
      </c>
    </row>
    <row r="787">
      <c r="A787" s="22" t="n">
        <v>1864</v>
      </c>
      <c r="B787" s="22" t="inlineStr">
        <is>
          <t>GSM MOVISTAR PRIME</t>
        </is>
      </c>
      <c r="C787" s="22" t="n">
        <v>1864</v>
      </c>
    </row>
    <row r="788">
      <c r="A788" s="22" t="n">
        <v>1865</v>
      </c>
      <c r="B788" s="22" t="inlineStr">
        <is>
          <t>VIRT GSM MOVISTAR PRIME</t>
        </is>
      </c>
      <c r="C788" s="22" t="n">
        <v>1865</v>
      </c>
    </row>
    <row r="789">
      <c r="A789" s="22" t="n">
        <v>1874</v>
      </c>
      <c r="B789" s="22" t="inlineStr">
        <is>
          <t>GSM SAMSUNG GALAXY NOTE</t>
        </is>
      </c>
      <c r="C789" s="22" t="n">
        <v>1874</v>
      </c>
    </row>
    <row r="790">
      <c r="A790" s="22" t="n">
        <v>1875</v>
      </c>
      <c r="B790" s="22" t="inlineStr">
        <is>
          <t>VIRT GSM SAMSUNG GALAXY NOTE</t>
        </is>
      </c>
      <c r="C790" s="22" t="n">
        <v>1875</v>
      </c>
    </row>
    <row r="791">
      <c r="A791" s="22" t="n">
        <v>1884</v>
      </c>
      <c r="B791" s="22" t="inlineStr">
        <is>
          <t>GSM SAMSUNG GALAXY TAB 7.0 PLUS</t>
        </is>
      </c>
      <c r="C791" s="22" t="n">
        <v>1884</v>
      </c>
    </row>
    <row r="792">
      <c r="A792" s="22" t="n">
        <v>1885</v>
      </c>
      <c r="B792" s="22" t="inlineStr">
        <is>
          <t>VIRT GSM SAMSUNG GALAXY TAB 7.0 PLUS</t>
        </is>
      </c>
      <c r="C792" s="22" t="n">
        <v>1885</v>
      </c>
    </row>
    <row r="793">
      <c r="A793" s="22" t="n">
        <v>1894</v>
      </c>
      <c r="B793" s="22" t="inlineStr">
        <is>
          <t>GSM IPHONE 4S 16GB</t>
        </is>
      </c>
      <c r="C793" s="22" t="n">
        <v>1894</v>
      </c>
    </row>
    <row r="794">
      <c r="A794" s="22" t="n">
        <v>1895</v>
      </c>
      <c r="B794" s="22" t="inlineStr">
        <is>
          <t>VIRT GSM IPHONE 4S 16GB</t>
        </is>
      </c>
      <c r="C794" s="22" t="n">
        <v>1895</v>
      </c>
    </row>
    <row r="795">
      <c r="A795" s="22" t="n">
        <v>1896</v>
      </c>
      <c r="B795" s="22" t="inlineStr">
        <is>
          <t>GSM IPHONE 4S 32GB</t>
        </is>
      </c>
      <c r="C795" s="22" t="n">
        <v>1896</v>
      </c>
    </row>
    <row r="796">
      <c r="A796" s="22" t="n">
        <v>1897</v>
      </c>
      <c r="B796" s="22" t="inlineStr">
        <is>
          <t>VIRT GSM IPHONE 4S 32GB</t>
        </is>
      </c>
      <c r="C796" s="22" t="n">
        <v>1897</v>
      </c>
    </row>
    <row r="797">
      <c r="A797" s="22" t="n">
        <v>1898</v>
      </c>
      <c r="B797" s="22" t="inlineStr">
        <is>
          <t>GSM IPHONE 4S 64GB</t>
        </is>
      </c>
      <c r="C797" s="22" t="n">
        <v>1898</v>
      </c>
    </row>
    <row r="798">
      <c r="A798" s="22" t="n">
        <v>1899</v>
      </c>
      <c r="B798" s="22" t="inlineStr">
        <is>
          <t>VIRT GSM IPHONE 4S 64GB</t>
        </is>
      </c>
      <c r="C798" s="22" t="n">
        <v>1899</v>
      </c>
    </row>
    <row r="799">
      <c r="A799" s="22" t="n">
        <v>1900</v>
      </c>
      <c r="B799" s="22" t="inlineStr">
        <is>
          <t>GSM NOKIA ASHA 201</t>
        </is>
      </c>
      <c r="C799" s="22" t="n">
        <v>1900</v>
      </c>
    </row>
    <row r="800">
      <c r="A800" s="22" t="n">
        <v>1901</v>
      </c>
      <c r="B800" s="22" t="inlineStr">
        <is>
          <t>VIRT GSM NOKIA ASHA 201</t>
        </is>
      </c>
      <c r="C800" s="22" t="n">
        <v>1901</v>
      </c>
    </row>
    <row r="801">
      <c r="A801" s="22" t="n">
        <v>1902</v>
      </c>
      <c r="B801" s="22" t="inlineStr">
        <is>
          <t>GSM NOKIA ASHA 303</t>
        </is>
      </c>
      <c r="C801" s="22" t="n">
        <v>1902</v>
      </c>
    </row>
    <row r="802">
      <c r="A802" s="22" t="n">
        <v>1903</v>
      </c>
      <c r="B802" s="22" t="inlineStr">
        <is>
          <t>VIRT GSM NOKIA ASHA 303</t>
        </is>
      </c>
      <c r="C802" s="22" t="n">
        <v>1903</v>
      </c>
    </row>
    <row r="803">
      <c r="A803" s="22" t="n">
        <v>1904</v>
      </c>
      <c r="B803" s="22" t="inlineStr">
        <is>
          <t>GSM NOKIA ASHA 302</t>
        </is>
      </c>
      <c r="C803" s="22" t="n">
        <v>1904</v>
      </c>
    </row>
    <row r="804">
      <c r="A804" s="22" t="n">
        <v>1905</v>
      </c>
      <c r="B804" s="22" t="inlineStr">
        <is>
          <t>VIRT GSM NOKIA ASHA 302</t>
        </is>
      </c>
      <c r="C804" s="22" t="n">
        <v>1905</v>
      </c>
    </row>
    <row r="805">
      <c r="A805" s="22" t="n">
        <v>1906</v>
      </c>
      <c r="B805" s="22" t="inlineStr">
        <is>
          <t>GSM NOKIA 500</t>
        </is>
      </c>
      <c r="C805" s="22" t="n">
        <v>1906</v>
      </c>
    </row>
    <row r="806">
      <c r="A806" s="22" t="n">
        <v>1907</v>
      </c>
      <c r="B806" s="22" t="inlineStr">
        <is>
          <t>VIRT GSM NOKIA 500</t>
        </is>
      </c>
      <c r="C806" s="22" t="n">
        <v>1907</v>
      </c>
    </row>
    <row r="807">
      <c r="A807" s="22" t="n">
        <v>1908</v>
      </c>
      <c r="B807" s="22" t="inlineStr">
        <is>
          <t>GSM NOKIA 100</t>
        </is>
      </c>
      <c r="C807" s="22" t="n">
        <v>1908</v>
      </c>
    </row>
    <row r="808">
      <c r="A808" s="22" t="n">
        <v>1909</v>
      </c>
      <c r="B808" s="22" t="inlineStr">
        <is>
          <t>VIRT GSM NOKIA 100</t>
        </is>
      </c>
      <c r="C808" s="22" t="n">
        <v>1909</v>
      </c>
    </row>
    <row r="809">
      <c r="A809" s="22" t="n">
        <v>1910</v>
      </c>
      <c r="B809" s="22" t="inlineStr">
        <is>
          <t>GSM SAMSUNG GALAXY Y</t>
        </is>
      </c>
      <c r="C809" s="22" t="n">
        <v>1910</v>
      </c>
    </row>
    <row r="810">
      <c r="A810" s="22" t="n">
        <v>1911</v>
      </c>
      <c r="B810" s="22" t="inlineStr">
        <is>
          <t>VIRT GSM SAMSUNG GALAXY Y</t>
        </is>
      </c>
      <c r="C810" s="22" t="n">
        <v>1911</v>
      </c>
    </row>
    <row r="811">
      <c r="A811" s="22" t="n">
        <v>1912</v>
      </c>
      <c r="B811" s="22" t="inlineStr">
        <is>
          <t>GSM HUAWEI G3512</t>
        </is>
      </c>
      <c r="C811" s="22" t="n">
        <v>1912</v>
      </c>
    </row>
    <row r="812">
      <c r="A812" s="22" t="n">
        <v>1913</v>
      </c>
      <c r="B812" s="22" t="inlineStr">
        <is>
          <t>VIRT GSM HUAWEI G3512</t>
        </is>
      </c>
      <c r="C812" s="22" t="n">
        <v>1913</v>
      </c>
    </row>
    <row r="813">
      <c r="A813" s="22" t="n">
        <v>1914</v>
      </c>
      <c r="B813" s="22" t="inlineStr">
        <is>
          <t>GSM HUAWEI GAGA</t>
        </is>
      </c>
      <c r="C813" s="22" t="n">
        <v>1914</v>
      </c>
    </row>
    <row r="814">
      <c r="A814" s="22" t="n">
        <v>1915</v>
      </c>
      <c r="B814" s="22" t="inlineStr">
        <is>
          <t>VIRT GSM HUAWEI GAGA</t>
        </is>
      </c>
      <c r="C814" s="22" t="n">
        <v>1915</v>
      </c>
    </row>
    <row r="815">
      <c r="A815" s="22" t="n">
        <v>1924</v>
      </c>
      <c r="B815" s="22" t="inlineStr">
        <is>
          <t>GSM HUAWEI IDEOS X5</t>
        </is>
      </c>
      <c r="C815" s="22" t="n">
        <v>1924</v>
      </c>
    </row>
    <row r="816">
      <c r="A816" s="22" t="n">
        <v>1925</v>
      </c>
      <c r="B816" s="22" t="inlineStr">
        <is>
          <t>VIRT GSM HUAWEI IDEOS X5</t>
        </is>
      </c>
      <c r="C816" s="22" t="n">
        <v>1925</v>
      </c>
    </row>
    <row r="817">
      <c r="A817" s="22" t="n">
        <v>1934</v>
      </c>
      <c r="B817" s="22" t="inlineStr">
        <is>
          <t>GSM BLACKBERRY CURVE 9380</t>
        </is>
      </c>
      <c r="C817" s="22" t="n">
        <v>1934</v>
      </c>
    </row>
    <row r="818">
      <c r="A818" s="22" t="n">
        <v>1935</v>
      </c>
      <c r="B818" s="22" t="inlineStr">
        <is>
          <t>VIRT GSM GSM BLACKBERRY CURVE 9380</t>
        </is>
      </c>
      <c r="C818" s="22" t="n">
        <v>1935</v>
      </c>
    </row>
    <row r="819">
      <c r="A819" s="22" t="n">
        <v>1936</v>
      </c>
      <c r="B819" s="22" t="inlineStr">
        <is>
          <t>GSM BLACKBERRY BOLD 9790</t>
        </is>
      </c>
      <c r="C819" s="22" t="n">
        <v>1936</v>
      </c>
    </row>
    <row r="820">
      <c r="A820" s="22" t="n">
        <v>1937</v>
      </c>
      <c r="B820" s="22" t="inlineStr">
        <is>
          <t>VIRT GSM GSM BLACKBERRY BOLD 9790</t>
        </is>
      </c>
      <c r="C820" s="22" t="n">
        <v>1937</v>
      </c>
    </row>
    <row r="821">
      <c r="A821" s="22" t="n">
        <v>1944</v>
      </c>
      <c r="B821" s="22" t="inlineStr">
        <is>
          <t>ZTE MF10</t>
        </is>
      </c>
      <c r="C821" s="22" t="n">
        <v>1944</v>
      </c>
    </row>
    <row r="822">
      <c r="A822" s="22" t="n">
        <v>2944</v>
      </c>
      <c r="B822" s="22" t="inlineStr">
        <is>
          <t>GSM MOVISTAR ONDA</t>
        </is>
      </c>
      <c r="C822" s="22" t="n">
        <v>2944</v>
      </c>
    </row>
    <row r="823">
      <c r="A823" s="22" t="n">
        <v>2945</v>
      </c>
      <c r="B823" s="22" t="inlineStr">
        <is>
          <t>VIRT GSM MOVISTAR ONDA</t>
        </is>
      </c>
      <c r="C823" s="22" t="n">
        <v>2945</v>
      </c>
    </row>
    <row r="824">
      <c r="A824" s="22" t="n">
        <v>3944</v>
      </c>
      <c r="B824" s="22" t="inlineStr">
        <is>
          <t>GSM ALCATEL OT 900</t>
        </is>
      </c>
      <c r="C824" s="22" t="n">
        <v>3944</v>
      </c>
    </row>
    <row r="825">
      <c r="A825" s="22" t="n">
        <v>3945</v>
      </c>
      <c r="B825" s="22" t="inlineStr">
        <is>
          <t>VIRT GSM ALCATEL OT 900</t>
        </is>
      </c>
      <c r="C825" s="22" t="n">
        <v>3945</v>
      </c>
    </row>
    <row r="826">
      <c r="A826" s="22" t="n">
        <v>5944</v>
      </c>
      <c r="B826" s="22" t="inlineStr">
        <is>
          <t>GSM MOTOROLA FX850</t>
        </is>
      </c>
      <c r="C826" s="22" t="n">
        <v>5944</v>
      </c>
    </row>
    <row r="827">
      <c r="A827" s="22" t="n">
        <v>5945</v>
      </c>
      <c r="B827" s="22" t="inlineStr">
        <is>
          <t>VIRT GSM MOTOROLA FX850</t>
        </is>
      </c>
      <c r="C827" s="22" t="n">
        <v>5945</v>
      </c>
    </row>
    <row r="828">
      <c r="A828" s="22" t="n">
        <v>6944</v>
      </c>
      <c r="B828" s="22" t="inlineStr">
        <is>
          <t>GSM SAMSUNG GALAXY ACE S5830 LA FLEUR BL</t>
        </is>
      </c>
      <c r="C828" s="22" t="n">
        <v>6944</v>
      </c>
    </row>
    <row r="829">
      <c r="A829" s="22" t="n">
        <v>6945</v>
      </c>
      <c r="B829" s="22" t="inlineStr">
        <is>
          <t>VIRT GSM SAMSUNG GALAXY ACE S5830 LA FLE</t>
        </is>
      </c>
      <c r="C829" s="22" t="n">
        <v>6945</v>
      </c>
    </row>
    <row r="830">
      <c r="A830" s="22" t="n">
        <v>7944</v>
      </c>
      <c r="B830" s="22" t="inlineStr">
        <is>
          <t>GSM BMOBILE S225</t>
        </is>
      </c>
      <c r="C830" s="22" t="n">
        <v>7944</v>
      </c>
    </row>
    <row r="831">
      <c r="A831" s="22" t="n">
        <v>7945</v>
      </c>
      <c r="B831" s="22" t="inlineStr">
        <is>
          <t>VIRT GSM BMOBILE S225</t>
        </is>
      </c>
      <c r="C831" s="22" t="n">
        <v>7945</v>
      </c>
    </row>
    <row r="832">
      <c r="A832" s="22" t="n">
        <v>7948</v>
      </c>
      <c r="B832" s="22" t="inlineStr">
        <is>
          <t>GSM ALCATEL OT-282</t>
        </is>
      </c>
      <c r="C832" s="22" t="n">
        <v>7948</v>
      </c>
    </row>
    <row r="833">
      <c r="A833" s="22" t="n">
        <v>7949</v>
      </c>
      <c r="B833" s="22" t="inlineStr">
        <is>
          <t>VIRT GSM ALCATEL OT-282</t>
        </is>
      </c>
      <c r="C833" s="22" t="n">
        <v>7949</v>
      </c>
    </row>
    <row r="834">
      <c r="A834" s="22" t="n">
        <v>9944</v>
      </c>
      <c r="B834" s="22" t="inlineStr">
        <is>
          <t>GSM SAMSUNG GALAXY S III PEBBLE BLUE</t>
        </is>
      </c>
      <c r="C834" s="22" t="n">
        <v>9944</v>
      </c>
    </row>
    <row r="835">
      <c r="A835" s="22" t="n">
        <v>9945</v>
      </c>
      <c r="B835" s="22" t="inlineStr">
        <is>
          <t>VIRT GSM SAMSUNG GALAXY S III PEBBLE BLU</t>
        </is>
      </c>
      <c r="C835" s="22" t="n">
        <v>9945</v>
      </c>
    </row>
    <row r="836">
      <c r="A836" s="22" t="n">
        <v>9946</v>
      </c>
      <c r="B836" s="22" t="inlineStr">
        <is>
          <t>GSM SAMSUNG GALAXY S III MARBLE WHITE</t>
        </is>
      </c>
      <c r="C836" s="22" t="n">
        <v>9946</v>
      </c>
    </row>
    <row r="837">
      <c r="A837" s="22" t="n">
        <v>9947</v>
      </c>
      <c r="B837" s="22" t="inlineStr">
        <is>
          <t>VIRT GSM SAMSUNG GALAXY S III MARBLE WHI</t>
        </is>
      </c>
      <c r="C837" s="22" t="n">
        <v>9947</v>
      </c>
    </row>
    <row r="838">
      <c r="A838" s="22" t="n">
        <v>9948</v>
      </c>
      <c r="B838" s="22" t="inlineStr">
        <is>
          <t>GSM BLACKBERRY CURVE 9320</t>
        </is>
      </c>
      <c r="C838" s="22" t="n">
        <v>9948</v>
      </c>
    </row>
    <row r="839">
      <c r="A839" s="22" t="n">
        <v>9949</v>
      </c>
      <c r="B839" s="22" t="inlineStr">
        <is>
          <t>VIRT GSM BLACKBERRY CURVE 9320</t>
        </is>
      </c>
      <c r="C839" s="22" t="n">
        <v>9949</v>
      </c>
    </row>
    <row r="840">
      <c r="A840" s="22" t="n">
        <v>10944</v>
      </c>
      <c r="B840" s="22" t="inlineStr">
        <is>
          <t>GSM NOKIA N800</t>
        </is>
      </c>
      <c r="C840" s="22" t="n">
        <v>10944</v>
      </c>
    </row>
    <row r="841">
      <c r="A841" s="22" t="n">
        <v>10945</v>
      </c>
      <c r="B841" s="22" t="inlineStr">
        <is>
          <t>VIRT GSM NOKIA N800</t>
        </is>
      </c>
      <c r="C841" s="22" t="n">
        <v>10945</v>
      </c>
    </row>
    <row r="842">
      <c r="A842" s="22" t="n">
        <v>11944</v>
      </c>
      <c r="B842" s="22" t="inlineStr">
        <is>
          <t>GSM AVVIO GD850T</t>
        </is>
      </c>
      <c r="C842" s="22" t="n">
        <v>11944</v>
      </c>
    </row>
    <row r="843">
      <c r="A843" s="22" t="n">
        <v>11945</v>
      </c>
      <c r="B843" s="22" t="inlineStr">
        <is>
          <t>VIRT GSM AVVIO GD850T</t>
        </is>
      </c>
      <c r="C843" s="22" t="n">
        <v>11945</v>
      </c>
    </row>
    <row r="844">
      <c r="A844" s="22" t="n">
        <v>12944</v>
      </c>
      <c r="B844" s="22" t="inlineStr">
        <is>
          <t>GSM SONIM XP 1330</t>
        </is>
      </c>
      <c r="C844" s="22" t="n">
        <v>12944</v>
      </c>
    </row>
    <row r="845">
      <c r="A845" s="22" t="n">
        <v>13944</v>
      </c>
      <c r="B845" s="22" t="inlineStr">
        <is>
          <t>GSM MODEM HUAWEI E303</t>
        </is>
      </c>
      <c r="C845" s="22" t="n">
        <v>13944</v>
      </c>
    </row>
    <row r="846">
      <c r="A846" s="22" t="n">
        <v>13945</v>
      </c>
      <c r="B846" s="22" t="inlineStr">
        <is>
          <t>VIRT GSM MODEM HUAWEI E303</t>
        </is>
      </c>
      <c r="C846" s="22" t="n">
        <v>13945</v>
      </c>
    </row>
    <row r="847">
      <c r="A847" s="22" t="n">
        <v>13946</v>
      </c>
      <c r="B847" s="22" t="inlineStr">
        <is>
          <t>GSM SAMSUNG GALAXY TAB 2 7.0 P3100</t>
        </is>
      </c>
      <c r="C847" s="22" t="n">
        <v>13946</v>
      </c>
    </row>
    <row r="848">
      <c r="A848" s="22" t="n">
        <v>13947</v>
      </c>
      <c r="B848" s="22" t="inlineStr">
        <is>
          <t>VIRT GSM SAMSUNG GALAXY TAB 2 7.0 P3100</t>
        </is>
      </c>
      <c r="C848" s="22" t="n">
        <v>13947</v>
      </c>
    </row>
    <row r="849">
      <c r="A849" s="22" t="n">
        <v>13948</v>
      </c>
      <c r="B849" s="22" t="inlineStr">
        <is>
          <t>GSM SAMSUNG GALAXY TAB 2 10.1 P5100</t>
        </is>
      </c>
      <c r="C849" s="22" t="n">
        <v>13948</v>
      </c>
    </row>
    <row r="850">
      <c r="A850" s="22" t="n">
        <v>13949</v>
      </c>
      <c r="B850" s="22" t="inlineStr">
        <is>
          <t>VIRT GSM SAMSUNG GALAXY TAB 2 10.1 P5100</t>
        </is>
      </c>
      <c r="C850" s="22" t="n">
        <v>13949</v>
      </c>
    </row>
    <row r="851">
      <c r="A851" s="22" t="n">
        <v>14944</v>
      </c>
      <c r="B851" s="22" t="inlineStr">
        <is>
          <t>GSM MODEM ZTE MF70</t>
        </is>
      </c>
      <c r="C851" s="22" t="n">
        <v>14944</v>
      </c>
    </row>
    <row r="852">
      <c r="A852" s="22" t="n">
        <v>14945</v>
      </c>
      <c r="B852" s="22" t="inlineStr">
        <is>
          <t>VIRT GSM MODEM ZTE MF70</t>
        </is>
      </c>
      <c r="C852" s="22" t="n">
        <v>14945</v>
      </c>
    </row>
    <row r="853">
      <c r="A853" s="22" t="n">
        <v>15944</v>
      </c>
      <c r="B853" s="22" t="inlineStr">
        <is>
          <t>GSM APPLE IPAD 3 16GB 3G+WI-FI</t>
        </is>
      </c>
      <c r="C853" s="22" t="n">
        <v>15944</v>
      </c>
    </row>
    <row r="854">
      <c r="A854" s="22" t="n">
        <v>16944</v>
      </c>
      <c r="B854" s="22" t="inlineStr">
        <is>
          <t>GSM NOKIA C1-01 AZUL</t>
        </is>
      </c>
      <c r="C854" s="22" t="n">
        <v>16944</v>
      </c>
    </row>
    <row r="855">
      <c r="A855" s="22" t="n">
        <v>16945</v>
      </c>
      <c r="B855" s="22" t="inlineStr">
        <is>
          <t>VIRT GSM NOKIA C1-01 AZUL</t>
        </is>
      </c>
      <c r="C855" s="22" t="n">
        <v>16945</v>
      </c>
    </row>
    <row r="856">
      <c r="A856" s="22" t="n">
        <v>16946</v>
      </c>
      <c r="B856" s="22" t="inlineStr">
        <is>
          <t>GSM NOKIA C1-01 GRIS</t>
        </is>
      </c>
      <c r="C856" s="22" t="n">
        <v>16946</v>
      </c>
    </row>
    <row r="857">
      <c r="A857" s="22" t="n">
        <v>16947</v>
      </c>
      <c r="B857" s="22" t="inlineStr">
        <is>
          <t>VIRT GSM NOKIA C1-01 GRIS</t>
        </is>
      </c>
      <c r="C857" s="22" t="n">
        <v>16947</v>
      </c>
    </row>
    <row r="858">
      <c r="A858" s="22" t="n">
        <v>16948</v>
      </c>
      <c r="B858" s="22" t="inlineStr">
        <is>
          <t>GSM NOKIA C1-01 ROJO</t>
        </is>
      </c>
      <c r="C858" s="22" t="n">
        <v>16948</v>
      </c>
    </row>
    <row r="859">
      <c r="A859" s="22" t="n">
        <v>16949</v>
      </c>
      <c r="B859" s="22" t="inlineStr">
        <is>
          <t>VIRT GSM NOKIA C1-01 ROJO</t>
        </is>
      </c>
      <c r="C859" s="22" t="n">
        <v>16949</v>
      </c>
    </row>
    <row r="860">
      <c r="A860" s="22" t="n">
        <v>16950</v>
      </c>
      <c r="B860" s="22" t="inlineStr">
        <is>
          <t>GSM NOKIA 201 BLANCO</t>
        </is>
      </c>
      <c r="C860" s="22" t="n">
        <v>16950</v>
      </c>
    </row>
    <row r="861">
      <c r="A861" s="22" t="n">
        <v>16951</v>
      </c>
      <c r="B861" s="22" t="inlineStr">
        <is>
          <t>VIRT GSM NOKIA 201 BLANCO</t>
        </is>
      </c>
      <c r="C861" s="22" t="n">
        <v>16951</v>
      </c>
    </row>
    <row r="862">
      <c r="A862" s="22" t="n">
        <v>16952</v>
      </c>
      <c r="B862" s="22" t="inlineStr">
        <is>
          <t>GSM NOKIA 201 ROSADO</t>
        </is>
      </c>
      <c r="C862" s="22" t="n">
        <v>16952</v>
      </c>
    </row>
    <row r="863">
      <c r="A863" s="22" t="n">
        <v>16953</v>
      </c>
      <c r="B863" s="22" t="inlineStr">
        <is>
          <t>VIRT GSM NOKIA 201 ROSADO</t>
        </is>
      </c>
      <c r="C863" s="22" t="n">
        <v>16953</v>
      </c>
    </row>
    <row r="864">
      <c r="A864" s="22" t="n">
        <v>16954</v>
      </c>
      <c r="B864" s="22" t="inlineStr">
        <is>
          <t>GSM NOKIA 201 GRIS</t>
        </is>
      </c>
      <c r="C864" s="22" t="n">
        <v>16954</v>
      </c>
    </row>
    <row r="865">
      <c r="A865" s="22" t="n">
        <v>16955</v>
      </c>
      <c r="B865" s="22" t="inlineStr">
        <is>
          <t>VIRT GSM NOKIA 201 GRIS</t>
        </is>
      </c>
      <c r="C865" s="22" t="n">
        <v>16955</v>
      </c>
    </row>
    <row r="866">
      <c r="A866" s="22" t="n">
        <v>16956</v>
      </c>
      <c r="B866" s="22" t="inlineStr">
        <is>
          <t>GSM NOKIA 300 AZUL</t>
        </is>
      </c>
      <c r="C866" s="22" t="n">
        <v>16956</v>
      </c>
    </row>
    <row r="867">
      <c r="A867" s="22" t="n">
        <v>16957</v>
      </c>
      <c r="B867" s="22" t="inlineStr">
        <is>
          <t>VIRT GSM NOKIA 300 AZUL</t>
        </is>
      </c>
      <c r="C867" s="22" t="n">
        <v>16957</v>
      </c>
    </row>
    <row r="868">
      <c r="A868" s="22" t="n">
        <v>16958</v>
      </c>
      <c r="B868" s="22" t="inlineStr">
        <is>
          <t>GSM NOKIA 300 GRIS</t>
        </is>
      </c>
      <c r="C868" s="22" t="n">
        <v>16958</v>
      </c>
    </row>
    <row r="869">
      <c r="A869" s="22" t="n">
        <v>16959</v>
      </c>
      <c r="B869" s="22" t="inlineStr">
        <is>
          <t>VIRT GSM NOKIA 300 GRIS</t>
        </is>
      </c>
      <c r="C869" s="22" t="n">
        <v>16959</v>
      </c>
    </row>
    <row r="870">
      <c r="A870" s="22" t="n">
        <v>16960</v>
      </c>
      <c r="B870" s="22" t="inlineStr">
        <is>
          <t>GSM NOKIA 300 BLANCO</t>
        </is>
      </c>
      <c r="C870" s="22" t="n">
        <v>16960</v>
      </c>
    </row>
    <row r="871">
      <c r="A871" s="22" t="n">
        <v>16961</v>
      </c>
      <c r="B871" s="22" t="inlineStr">
        <is>
          <t>VIRT GSM NOKIA 300 BLANCO</t>
        </is>
      </c>
      <c r="C871" s="22" t="n">
        <v>16961</v>
      </c>
    </row>
    <row r="872">
      <c r="A872" s="22" t="n">
        <v>16962</v>
      </c>
      <c r="B872" s="22" t="inlineStr">
        <is>
          <t>GSM NOKIA 300 ROJO</t>
        </is>
      </c>
      <c r="C872" s="22" t="n">
        <v>16962</v>
      </c>
    </row>
    <row r="873">
      <c r="A873" s="22" t="n">
        <v>16963</v>
      </c>
      <c r="B873" s="22" t="inlineStr">
        <is>
          <t>VIRT GSM NOKIA 300 ROJO</t>
        </is>
      </c>
      <c r="C873" s="22" t="n">
        <v>16963</v>
      </c>
    </row>
    <row r="874">
      <c r="A874" s="22" t="n">
        <v>16964</v>
      </c>
      <c r="B874" s="22" t="inlineStr">
        <is>
          <t>GSM NOKIA 302 GRIS</t>
        </is>
      </c>
      <c r="C874" s="22" t="n">
        <v>16964</v>
      </c>
    </row>
    <row r="875">
      <c r="A875" s="22" t="n">
        <v>16965</v>
      </c>
      <c r="B875" s="22" t="inlineStr">
        <is>
          <t>VIRT GSM NOKIA 302 GRIS</t>
        </is>
      </c>
      <c r="C875" s="22" t="n">
        <v>16965</v>
      </c>
    </row>
    <row r="876">
      <c r="A876" s="22" t="n">
        <v>16966</v>
      </c>
      <c r="B876" s="22" t="inlineStr">
        <is>
          <t>GSM NOKIA 302 AZUL</t>
        </is>
      </c>
      <c r="C876" s="22" t="n">
        <v>16966</v>
      </c>
    </row>
    <row r="877">
      <c r="A877" s="22" t="n">
        <v>16967</v>
      </c>
      <c r="B877" s="22" t="inlineStr">
        <is>
          <t>VIRT GSM NOKIA 302 AZUL</t>
        </is>
      </c>
      <c r="C877" s="22" t="n">
        <v>16967</v>
      </c>
    </row>
    <row r="878">
      <c r="A878" s="22" t="n">
        <v>16968</v>
      </c>
      <c r="B878" s="22" t="inlineStr">
        <is>
          <t>GSM NOKIA 302 BLANCO</t>
        </is>
      </c>
      <c r="C878" s="22" t="n">
        <v>16968</v>
      </c>
    </row>
    <row r="879">
      <c r="A879" s="22" t="n">
        <v>16969</v>
      </c>
      <c r="B879" s="22" t="inlineStr">
        <is>
          <t>VIRT GSM NOKIA 302 BLANCO</t>
        </is>
      </c>
      <c r="C879" s="22" t="n">
        <v>16969</v>
      </c>
    </row>
    <row r="880">
      <c r="A880" s="22" t="n">
        <v>16970</v>
      </c>
      <c r="B880" s="22" t="inlineStr">
        <is>
          <t>GSM NOKIA 302 ROJO</t>
        </is>
      </c>
      <c r="C880" s="22" t="n">
        <v>16970</v>
      </c>
    </row>
    <row r="881">
      <c r="A881" s="22" t="n">
        <v>16971</v>
      </c>
      <c r="B881" s="22" t="inlineStr">
        <is>
          <t>VIRT GSM NOKIA 302 ROJO</t>
        </is>
      </c>
      <c r="C881" s="22" t="n">
        <v>16971</v>
      </c>
    </row>
    <row r="882">
      <c r="A882" s="22" t="n">
        <v>16972</v>
      </c>
      <c r="B882" s="22" t="inlineStr">
        <is>
          <t>GSM NOKIA LUMIA 610</t>
        </is>
      </c>
      <c r="C882" s="22" t="n">
        <v>16972</v>
      </c>
    </row>
    <row r="883">
      <c r="A883" s="22" t="n">
        <v>16973</v>
      </c>
      <c r="B883" s="22" t="inlineStr">
        <is>
          <t>VIRT GSM NOKIA LUMIA 610</t>
        </is>
      </c>
      <c r="C883" s="22" t="n">
        <v>16973</v>
      </c>
    </row>
    <row r="884">
      <c r="A884" s="22" t="n">
        <v>18944</v>
      </c>
      <c r="B884" s="22" t="inlineStr">
        <is>
          <t>REFURBISHED GSM NOKIA N800</t>
        </is>
      </c>
      <c r="C884" s="22" t="n">
        <v>18944</v>
      </c>
    </row>
    <row r="885">
      <c r="A885" s="22" t="n">
        <v>18946</v>
      </c>
      <c r="B885" s="22" t="inlineStr">
        <is>
          <t>GSM MOD HUAW E355 desc</t>
        </is>
      </c>
      <c r="C885" s="22" t="n">
        <v>18946</v>
      </c>
    </row>
    <row r="886">
      <c r="A886" s="22" t="n">
        <v>19944</v>
      </c>
      <c r="B886" s="22" t="inlineStr">
        <is>
          <t>GSM MOBILE WIFI HUAWEI E355 CON ANTENA</t>
        </is>
      </c>
      <c r="C886" s="22" t="n">
        <v>19944</v>
      </c>
    </row>
    <row r="887">
      <c r="A887" s="22" t="n">
        <v>19945</v>
      </c>
      <c r="B887" s="22" t="inlineStr">
        <is>
          <t>VIRT GSM MOBILE WIFI HUAWEI E355 CON ANT</t>
        </is>
      </c>
      <c r="C887" s="22" t="n">
        <v>19945</v>
      </c>
    </row>
    <row r="888">
      <c r="A888" s="22" t="n">
        <v>19946</v>
      </c>
      <c r="B888" s="22" t="inlineStr">
        <is>
          <t>GSM SAMSUNG GALAXY NOTE 2 N7100</t>
        </is>
      </c>
      <c r="C888" s="22" t="n">
        <v>19946</v>
      </c>
    </row>
    <row r="889">
      <c r="A889" s="22" t="n">
        <v>19947</v>
      </c>
      <c r="B889" s="22" t="inlineStr">
        <is>
          <t>VIRT GSM SAMSUNG GALAXY NOTE 2 N7100</t>
        </is>
      </c>
      <c r="C889" s="22" t="n">
        <v>19947</v>
      </c>
    </row>
    <row r="890">
      <c r="A890" s="22" t="n">
        <v>19948</v>
      </c>
      <c r="B890" s="22" t="inlineStr">
        <is>
          <t>GSM SAMSUNG GALAXY NOTE 10.1 N8000</t>
        </is>
      </c>
      <c r="C890" s="22" t="n">
        <v>19948</v>
      </c>
    </row>
    <row r="891">
      <c r="A891" s="22" t="n">
        <v>19949</v>
      </c>
      <c r="B891" s="22" t="inlineStr">
        <is>
          <t>VIRT GSM SAMSUNG GALAXY NOTE 10.1 N8000</t>
        </is>
      </c>
      <c r="C891" s="22" t="n">
        <v>19949</v>
      </c>
    </row>
    <row r="892">
      <c r="A892" s="22" t="n">
        <v>19950</v>
      </c>
      <c r="B892" s="22" t="inlineStr">
        <is>
          <t>GSM TABLET HUAWEI MEDIAPAD LITE 7</t>
        </is>
      </c>
      <c r="C892" s="22" t="n">
        <v>19950</v>
      </c>
    </row>
    <row r="893">
      <c r="A893" s="22" t="n">
        <v>19951</v>
      </c>
      <c r="B893" s="22" t="inlineStr">
        <is>
          <t>VIRT GSM TABLET HUAWEI MEDIAPAD LITE 7</t>
        </is>
      </c>
      <c r="C893" s="22" t="n">
        <v>19951</v>
      </c>
    </row>
    <row r="894">
      <c r="A894" s="22" t="n">
        <v>19952</v>
      </c>
      <c r="B894" s="22" t="inlineStr">
        <is>
          <t>GSM HUAWEI ASCEND Y 101</t>
        </is>
      </c>
      <c r="C894" s="22" t="n">
        <v>19952</v>
      </c>
    </row>
    <row r="895">
      <c r="A895" s="22" t="n">
        <v>19953</v>
      </c>
      <c r="B895" s="22" t="inlineStr">
        <is>
          <t>VIRT GSM HUAWEI ASCEND Y 101</t>
        </is>
      </c>
      <c r="C895" s="22" t="n">
        <v>19953</v>
      </c>
    </row>
    <row r="896">
      <c r="A896" s="22" t="n">
        <v>19955</v>
      </c>
      <c r="B896" s="22" t="inlineStr">
        <is>
          <t>NANO SIMCARD 4FF POSPAGO 128K</t>
        </is>
      </c>
      <c r="C896" s="22" t="n">
        <v>19955</v>
      </c>
    </row>
    <row r="897">
      <c r="A897" s="22" t="n">
        <v>20944</v>
      </c>
      <c r="B897" s="22" t="inlineStr">
        <is>
          <t>GSM SAMSUNG GALAXY TAB 2 7.0 P3100 BLANC</t>
        </is>
      </c>
      <c r="C897" s="22" t="n">
        <v>20944</v>
      </c>
    </row>
    <row r="898">
      <c r="A898" s="22" t="n">
        <v>20945</v>
      </c>
      <c r="B898" s="22" t="inlineStr">
        <is>
          <t>VIRT SAMSUNG GALAXY TAB 2 7.0 P3100 BLAN</t>
        </is>
      </c>
      <c r="C898" s="22" t="n">
        <v>20945</v>
      </c>
    </row>
    <row r="899">
      <c r="A899" s="22" t="n">
        <v>20946</v>
      </c>
      <c r="B899" s="22" t="inlineStr">
        <is>
          <t>GSM SAMSUNG GALAXY TAB 2 10.1 P5100 BLAN</t>
        </is>
      </c>
      <c r="C899" s="22" t="n">
        <v>20946</v>
      </c>
    </row>
    <row r="900">
      <c r="A900" s="22" t="n">
        <v>20947</v>
      </c>
      <c r="B900" s="22" t="inlineStr">
        <is>
          <t>VIRT GSM SAMSUNG GALAXY TAB 2 P5100 BLAN</t>
        </is>
      </c>
      <c r="C900" s="22" t="n">
        <v>20947</v>
      </c>
    </row>
    <row r="901">
      <c r="A901" s="22" t="n">
        <v>21944</v>
      </c>
      <c r="B901" s="22" t="inlineStr">
        <is>
          <t>NANO SIMCARD 4FF PREPAGO 128K</t>
        </is>
      </c>
      <c r="C901" s="22" t="n">
        <v>21944</v>
      </c>
    </row>
    <row r="902">
      <c r="A902" s="22" t="n">
        <v>22944</v>
      </c>
      <c r="B902" s="22" t="inlineStr">
        <is>
          <t>GSM ALCATEL OT-217</t>
        </is>
      </c>
      <c r="C902" s="22" t="n">
        <v>22944</v>
      </c>
    </row>
    <row r="903">
      <c r="A903" s="22" t="n">
        <v>22945</v>
      </c>
      <c r="B903" s="22" t="inlineStr">
        <is>
          <t>VIRT GSM ALCATEL OT-217</t>
        </is>
      </c>
      <c r="C903" s="22" t="n">
        <v>22945</v>
      </c>
    </row>
    <row r="904">
      <c r="A904" s="22" t="n">
        <v>22946</v>
      </c>
      <c r="B904" s="22" t="inlineStr">
        <is>
          <t>GSM ALCATEL OT-918</t>
        </is>
      </c>
      <c r="C904" s="22" t="n">
        <v>22946</v>
      </c>
    </row>
    <row r="905">
      <c r="A905" s="22" t="n">
        <v>22947</v>
      </c>
      <c r="B905" s="22" t="inlineStr">
        <is>
          <t>VIRT GSM ALCATEL OT-918</t>
        </is>
      </c>
      <c r="C905" s="22" t="n">
        <v>22947</v>
      </c>
    </row>
    <row r="906">
      <c r="A906" s="22" t="n">
        <v>22948</v>
      </c>
      <c r="B906" s="22" t="inlineStr">
        <is>
          <t>GSM ALCATEL OT-916</t>
        </is>
      </c>
      <c r="C906" s="22" t="n">
        <v>22948</v>
      </c>
    </row>
    <row r="907">
      <c r="A907" s="22" t="n">
        <v>22949</v>
      </c>
      <c r="B907" s="22" t="inlineStr">
        <is>
          <t>VIRT GSM ALCATEL OT-916</t>
        </is>
      </c>
      <c r="C907" s="22" t="n">
        <v>22949</v>
      </c>
    </row>
    <row r="908">
      <c r="A908" s="22" t="n">
        <v>22950</v>
      </c>
      <c r="B908" s="22" t="inlineStr">
        <is>
          <t>GSM ALCATEL OT-870</t>
        </is>
      </c>
      <c r="C908" s="22" t="n">
        <v>22950</v>
      </c>
    </row>
    <row r="909">
      <c r="A909" s="22" t="n">
        <v>22951</v>
      </c>
      <c r="B909" s="22" t="inlineStr">
        <is>
          <t>VIRT GSM ALCATEL OT-870</t>
        </is>
      </c>
      <c r="C909" s="22" t="n">
        <v>22951</v>
      </c>
    </row>
    <row r="910">
      <c r="A910" s="22" t="n">
        <v>22952</v>
      </c>
      <c r="B910" s="22" t="inlineStr">
        <is>
          <t>GSM VERYKOOL I604</t>
        </is>
      </c>
      <c r="C910" s="22" t="n">
        <v>22952</v>
      </c>
    </row>
    <row r="911">
      <c r="A911" s="22" t="n">
        <v>22953</v>
      </c>
      <c r="B911" s="22" t="inlineStr">
        <is>
          <t>VIRT GSM VERYKOOL I604</t>
        </is>
      </c>
      <c r="C911" s="22" t="n">
        <v>22953</v>
      </c>
    </row>
    <row r="912">
      <c r="A912" s="22" t="n">
        <v>23944</v>
      </c>
      <c r="B912" s="22" t="inlineStr">
        <is>
          <t>GSM APPLE IPHONE 5 16GB NEGRO</t>
        </is>
      </c>
      <c r="C912" s="22" t="n">
        <v>23944</v>
      </c>
    </row>
    <row r="913">
      <c r="A913" s="22" t="n">
        <v>23945</v>
      </c>
      <c r="B913" s="22" t="inlineStr">
        <is>
          <t>VIRT GSM APPLE IPHONE 5 16GB NEGRO</t>
        </is>
      </c>
      <c r="C913" s="22" t="n">
        <v>23945</v>
      </c>
    </row>
    <row r="914">
      <c r="A914" s="22" t="n">
        <v>23946</v>
      </c>
      <c r="B914" s="22" t="inlineStr">
        <is>
          <t>GSM APPLE IPHONE 5 16GB BLANCO</t>
        </is>
      </c>
      <c r="C914" s="22" t="n">
        <v>23946</v>
      </c>
    </row>
    <row r="915">
      <c r="A915" s="22" t="n">
        <v>23947</v>
      </c>
      <c r="B915" s="22" t="inlineStr">
        <is>
          <t>VIRT GSM APPLE IPHONE 5 16GB BLANCO</t>
        </is>
      </c>
      <c r="C915" s="22" t="n">
        <v>23947</v>
      </c>
    </row>
    <row r="916">
      <c r="A916" s="22" t="n">
        <v>24944</v>
      </c>
      <c r="B916" s="22" t="inlineStr">
        <is>
          <t>GSM VERYKOOL I604 BLANCO</t>
        </is>
      </c>
      <c r="C916" s="22" t="n">
        <v>24944</v>
      </c>
    </row>
    <row r="917">
      <c r="A917" s="22" t="n">
        <v>24945</v>
      </c>
      <c r="B917" s="22" t="inlineStr">
        <is>
          <t>VIRT GSM VERYKOOL I604 BLANCO</t>
        </is>
      </c>
      <c r="C917" s="22" t="n">
        <v>24945</v>
      </c>
    </row>
    <row r="918">
      <c r="A918" s="22" t="n">
        <v>25944</v>
      </c>
      <c r="B918" s="22" t="inlineStr">
        <is>
          <t>GSM SAMSUNG GALAXY CAMARA</t>
        </is>
      </c>
      <c r="C918" s="22" t="n">
        <v>25944</v>
      </c>
    </row>
    <row r="919">
      <c r="A919" s="22" t="n">
        <v>26944</v>
      </c>
      <c r="B919" s="22" t="inlineStr">
        <is>
          <t>GSM NOKIA 111</t>
        </is>
      </c>
      <c r="C919" s="22" t="n">
        <v>26944</v>
      </c>
    </row>
    <row r="920">
      <c r="A920" s="22" t="n">
        <v>26945</v>
      </c>
      <c r="B920" s="22" t="inlineStr">
        <is>
          <t>VIRT GSM NOKIA 111</t>
        </is>
      </c>
      <c r="C920" s="22" t="n">
        <v>26945</v>
      </c>
    </row>
    <row r="921">
      <c r="A921" s="22" t="n">
        <v>27944</v>
      </c>
      <c r="B921" s="22" t="inlineStr">
        <is>
          <t>GSM NOKIA ASHA 311</t>
        </is>
      </c>
      <c r="C921" s="22" t="n">
        <v>27944</v>
      </c>
    </row>
    <row r="922">
      <c r="A922" s="22" t="n">
        <v>27945</v>
      </c>
      <c r="B922" s="22" t="inlineStr">
        <is>
          <t>VIRT GSM NOKIA ASHA 311</t>
        </is>
      </c>
      <c r="C922" s="22" t="n">
        <v>27945</v>
      </c>
    </row>
    <row r="923">
      <c r="A923" s="22" t="n">
        <v>28944</v>
      </c>
      <c r="B923" s="22" t="inlineStr">
        <is>
          <t>GSM ALCATEL OT-870 BLANCO</t>
        </is>
      </c>
      <c r="C923" s="22" t="n">
        <v>28944</v>
      </c>
    </row>
    <row r="924">
      <c r="A924" s="22" t="n">
        <v>28945</v>
      </c>
      <c r="B924" s="22" t="inlineStr">
        <is>
          <t>VIRT GSM ALCATEL OT-870 BLANCO</t>
        </is>
      </c>
      <c r="C924" s="22" t="n">
        <v>28945</v>
      </c>
    </row>
    <row r="925">
      <c r="A925" s="22" t="n">
        <v>28946</v>
      </c>
      <c r="B925" s="22" t="inlineStr">
        <is>
          <t>GSM SAMSUNG GALAXY S III MINI I8190</t>
        </is>
      </c>
      <c r="C925" s="22" t="n">
        <v>28946</v>
      </c>
    </row>
    <row r="926">
      <c r="A926" s="22" t="n">
        <v>28947</v>
      </c>
      <c r="B926" s="22" t="inlineStr">
        <is>
          <t>VIRT GSM SAMSUNG GALAXY S III MINI I8190</t>
        </is>
      </c>
      <c r="C926" s="22" t="n">
        <v>28947</v>
      </c>
    </row>
    <row r="927">
      <c r="A927" s="22" t="n">
        <v>29944</v>
      </c>
      <c r="B927" s="22" t="inlineStr">
        <is>
          <t>GSM SAMSUNG GALAXY SIII I9300 TITANIUM G</t>
        </is>
      </c>
      <c r="C927" s="22" t="n">
        <v>29944</v>
      </c>
    </row>
    <row r="928">
      <c r="A928" s="22" t="n">
        <v>29945</v>
      </c>
      <c r="B928" s="22" t="inlineStr">
        <is>
          <t>VIRT GSM SAMSUNG GALAXY S III I9300 TITA</t>
        </is>
      </c>
      <c r="C928" s="22" t="n">
        <v>29945</v>
      </c>
    </row>
    <row r="929">
      <c r="A929" s="22" t="n">
        <v>30944</v>
      </c>
      <c r="B929" s="22" t="inlineStr">
        <is>
          <t>GSM SAMSNG GALAXY SIII MINI I8190BL</t>
        </is>
      </c>
      <c r="C929" s="22" t="n">
        <v>30944</v>
      </c>
    </row>
    <row r="930">
      <c r="A930" s="22" t="n">
        <v>30945</v>
      </c>
      <c r="B930" s="22" t="inlineStr">
        <is>
          <t>VIRT GSM SAMSNG GALAXY SIII MINI I8190BL</t>
        </is>
      </c>
      <c r="C930" s="22" t="n">
        <v>30945</v>
      </c>
    </row>
    <row r="931">
      <c r="A931" s="22" t="n">
        <v>31944</v>
      </c>
      <c r="B931" s="22" t="inlineStr">
        <is>
          <t>GSM SAMSUNG GALAXY MUSIC S6010</t>
        </is>
      </c>
      <c r="C931" s="22" t="n">
        <v>31944</v>
      </c>
    </row>
    <row r="932">
      <c r="A932" s="22" t="n">
        <v>31945</v>
      </c>
      <c r="B932" s="22" t="inlineStr">
        <is>
          <t>VIRT GSM SAMSUNG GALAXY MUSIC S6010</t>
        </is>
      </c>
      <c r="C932" s="22" t="n">
        <v>31945</v>
      </c>
    </row>
    <row r="933">
      <c r="A933" s="22" t="n">
        <v>31946</v>
      </c>
      <c r="B933" s="22" t="inlineStr">
        <is>
          <t>GSM SAMSUNG CHAT 357</t>
        </is>
      </c>
      <c r="C933" s="22" t="n">
        <v>31946</v>
      </c>
    </row>
    <row r="934">
      <c r="A934" s="22" t="n">
        <v>31947</v>
      </c>
      <c r="B934" s="22" t="inlineStr">
        <is>
          <t>VIRT GSM SAMSUNG CHAT 357</t>
        </is>
      </c>
      <c r="C934" s="22" t="n">
        <v>31947</v>
      </c>
    </row>
    <row r="935">
      <c r="A935" s="22" t="n">
        <v>33944</v>
      </c>
      <c r="B935" s="22" t="inlineStr">
        <is>
          <t>GSM NOKIA ASHA 306</t>
        </is>
      </c>
      <c r="C935" s="22" t="n">
        <v>33944</v>
      </c>
    </row>
    <row r="936">
      <c r="A936" s="22" t="n">
        <v>33945</v>
      </c>
      <c r="B936" s="22" t="inlineStr">
        <is>
          <t>VIRT GSM NOKIA ASHA 306</t>
        </is>
      </c>
      <c r="C936" s="22" t="n">
        <v>33945</v>
      </c>
    </row>
    <row r="937">
      <c r="A937" s="22" t="n">
        <v>33946</v>
      </c>
      <c r="B937" s="22" t="inlineStr">
        <is>
          <t>GSM HUAWEI ASCEND Y210</t>
        </is>
      </c>
      <c r="C937" s="22" t="n">
        <v>33946</v>
      </c>
    </row>
    <row r="938">
      <c r="A938" s="22" t="n">
        <v>33948</v>
      </c>
      <c r="B938" s="22" t="inlineStr">
        <is>
          <t>GSM HUAWEI ASCEND Y300</t>
        </is>
      </c>
      <c r="C938" s="22" t="n">
        <v>33948</v>
      </c>
    </row>
    <row r="939">
      <c r="A939" s="22" t="n">
        <v>33949</v>
      </c>
      <c r="B939" s="22" t="inlineStr">
        <is>
          <t>VIRT GSM HUAWEI ASCEND Y300</t>
        </is>
      </c>
      <c r="C939" s="22" t="n">
        <v>33949</v>
      </c>
    </row>
    <row r="940">
      <c r="A940" s="22" t="n">
        <v>33950</v>
      </c>
      <c r="B940" s="22" t="inlineStr">
        <is>
          <t>GSM ZTE MOVISTAR MOTION</t>
        </is>
      </c>
      <c r="C940" s="22" t="n">
        <v>33950</v>
      </c>
    </row>
    <row r="941">
      <c r="A941" s="22" t="n">
        <v>33951</v>
      </c>
      <c r="B941" s="22" t="inlineStr">
        <is>
          <t>VIRT GSM ZTE MOVISTAR MOTION</t>
        </is>
      </c>
      <c r="C941" s="22" t="n">
        <v>33951</v>
      </c>
    </row>
    <row r="942">
      <c r="A942" s="22" t="n">
        <v>33952</v>
      </c>
      <c r="B942" s="22" t="inlineStr">
        <is>
          <t>GSM BMOBILE K325</t>
        </is>
      </c>
      <c r="C942" s="22" t="n">
        <v>33952</v>
      </c>
    </row>
    <row r="943">
      <c r="A943" s="22" t="n">
        <v>33953</v>
      </c>
      <c r="B943" s="22" t="inlineStr">
        <is>
          <t>VIRT GSM BMOBILE K325</t>
        </is>
      </c>
      <c r="C943" s="22" t="n">
        <v>33953</v>
      </c>
    </row>
    <row r="944">
      <c r="A944" s="22" t="n">
        <v>34944</v>
      </c>
      <c r="B944" s="22" t="inlineStr">
        <is>
          <t>GSM HUAWEI B660</t>
        </is>
      </c>
      <c r="C944" s="22" t="n">
        <v>34944</v>
      </c>
    </row>
    <row r="945">
      <c r="A945" s="22" t="n">
        <v>35944</v>
      </c>
      <c r="B945" s="22" t="inlineStr">
        <is>
          <t>GSM APPLE IPHONE 5 32GB BLACK</t>
        </is>
      </c>
      <c r="C945" s="22" t="n">
        <v>35944</v>
      </c>
    </row>
    <row r="946">
      <c r="A946" s="22" t="n">
        <v>36944</v>
      </c>
      <c r="B946" s="22" t="inlineStr">
        <is>
          <t>GSM NOKIA LUMIA 820</t>
        </is>
      </c>
      <c r="C946" s="22" t="n">
        <v>36944</v>
      </c>
    </row>
    <row r="947">
      <c r="A947" s="22" t="n">
        <v>36945</v>
      </c>
      <c r="B947" s="22" t="inlineStr">
        <is>
          <t>VIRT GSM NOKIA LUMIA 820</t>
        </is>
      </c>
      <c r="C947" s="22" t="n">
        <v>36945</v>
      </c>
    </row>
    <row r="948">
      <c r="A948" s="22" t="n">
        <v>37944</v>
      </c>
      <c r="B948" s="22" t="inlineStr">
        <is>
          <t>GSM NOKIA LUMIA 620</t>
        </is>
      </c>
      <c r="C948" s="22" t="n">
        <v>37944</v>
      </c>
    </row>
    <row r="949">
      <c r="A949" s="22" t="n">
        <v>37945</v>
      </c>
      <c r="B949" s="22" t="inlineStr">
        <is>
          <t>VIRT GSM NOKIA LUMIA 620</t>
        </is>
      </c>
      <c r="C949" s="22" t="n">
        <v>37945</v>
      </c>
    </row>
    <row r="950">
      <c r="A950" s="22" t="n">
        <v>37947</v>
      </c>
      <c r="B950" s="22" t="inlineStr">
        <is>
          <t>VIRT GSM HUAWEI ASCEND Y 210</t>
        </is>
      </c>
      <c r="C950" s="22" t="n">
        <v>37947</v>
      </c>
    </row>
    <row r="951">
      <c r="A951" s="22" t="n">
        <v>38944</v>
      </c>
      <c r="B951" s="22" t="inlineStr">
        <is>
          <t>GSM LG T3</t>
        </is>
      </c>
      <c r="C951" s="22" t="n">
        <v>38944</v>
      </c>
    </row>
    <row r="952">
      <c r="A952" s="22" t="n">
        <v>38945</v>
      </c>
      <c r="B952" s="22" t="inlineStr">
        <is>
          <t>VIRT GSM LG T3</t>
        </is>
      </c>
      <c r="C952" s="22" t="n">
        <v>38945</v>
      </c>
    </row>
    <row r="953">
      <c r="A953" s="22" t="n">
        <v>38946</v>
      </c>
      <c r="B953" s="22" t="inlineStr">
        <is>
          <t>GSM LG L3</t>
        </is>
      </c>
      <c r="C953" s="22" t="n">
        <v>38946</v>
      </c>
    </row>
    <row r="954">
      <c r="A954" s="22" t="n">
        <v>38947</v>
      </c>
      <c r="B954" s="22" t="inlineStr">
        <is>
          <t>VIRT GSM LG L3</t>
        </is>
      </c>
      <c r="C954" s="22" t="n">
        <v>38947</v>
      </c>
    </row>
    <row r="955">
      <c r="A955" s="22" t="n">
        <v>39944</v>
      </c>
      <c r="B955" s="22" t="inlineStr">
        <is>
          <t>GSM BLACKBERRY Z10</t>
        </is>
      </c>
      <c r="C955" s="22" t="n">
        <v>39944</v>
      </c>
    </row>
    <row r="956">
      <c r="A956" s="22" t="n">
        <v>39945</v>
      </c>
      <c r="B956" s="22" t="inlineStr">
        <is>
          <t>VIRT GSM BLACKBERRY Z10</t>
        </is>
      </c>
      <c r="C956" s="22" t="n">
        <v>39945</v>
      </c>
    </row>
    <row r="957">
      <c r="A957" s="22" t="n">
        <v>40944</v>
      </c>
      <c r="B957" s="22" t="inlineStr">
        <is>
          <t>GSM ALCATEL OT-918 BLANCO</t>
        </is>
      </c>
      <c r="C957" s="22" t="n">
        <v>40944</v>
      </c>
    </row>
    <row r="958">
      <c r="A958" s="22" t="n">
        <v>40945</v>
      </c>
      <c r="B958" s="22" t="inlineStr">
        <is>
          <t>VIRT GSM ALCATEL OT-918 BLANCO</t>
        </is>
      </c>
      <c r="C958" s="22" t="n">
        <v>40945</v>
      </c>
    </row>
    <row r="959">
      <c r="A959" s="22" t="n">
        <v>41944</v>
      </c>
      <c r="B959" s="22" t="inlineStr">
        <is>
          <t>GSM SAMSUNG GALAXY S4 NEGRO</t>
        </is>
      </c>
      <c r="C959" s="22" t="n">
        <v>41944</v>
      </c>
    </row>
    <row r="960">
      <c r="A960" s="22" t="n">
        <v>41945</v>
      </c>
      <c r="B960" s="22" t="inlineStr">
        <is>
          <t>VIRT GSM SAMSUNG GALAXY S4 NEGRO</t>
        </is>
      </c>
      <c r="C960" s="22" t="n">
        <v>41945</v>
      </c>
    </row>
    <row r="961">
      <c r="A961" s="22" t="n">
        <v>41946</v>
      </c>
      <c r="B961" s="22" t="inlineStr">
        <is>
          <t>GSM SAMSUNG GALAXY S4 BLANCO</t>
        </is>
      </c>
      <c r="C961" s="22" t="n">
        <v>41946</v>
      </c>
    </row>
    <row r="962">
      <c r="A962" s="22" t="n">
        <v>41947</v>
      </c>
      <c r="B962" s="22" t="inlineStr">
        <is>
          <t>VIRT GSM SAMSUNG GALAXY S4 BLANCO</t>
        </is>
      </c>
      <c r="C962" s="22" t="n">
        <v>41947</v>
      </c>
    </row>
    <row r="963">
      <c r="A963" s="22" t="n">
        <v>42944</v>
      </c>
      <c r="B963" s="22" t="inlineStr">
        <is>
          <t>GSM SAMSUNG GALAXY FAME</t>
        </is>
      </c>
      <c r="C963" s="22" t="n">
        <v>42944</v>
      </c>
    </row>
    <row r="964">
      <c r="A964" s="22" t="n">
        <v>42945</v>
      </c>
      <c r="B964" s="22" t="inlineStr">
        <is>
          <t>VIRT GSM SAMSUNG GALAXY FAME</t>
        </is>
      </c>
      <c r="C964" s="22" t="n">
        <v>42945</v>
      </c>
    </row>
    <row r="965">
      <c r="A965" s="22" t="n">
        <v>43944</v>
      </c>
      <c r="B965" s="22" t="inlineStr">
        <is>
          <t>GSM BLACKBERRY Q10</t>
        </is>
      </c>
      <c r="C965" s="22" t="n">
        <v>43944</v>
      </c>
    </row>
    <row r="966">
      <c r="A966" s="22" t="n">
        <v>43945</v>
      </c>
      <c r="B966" s="22" t="inlineStr">
        <is>
          <t>VIRT GSM BLACKBERRY Q10</t>
        </is>
      </c>
      <c r="C966" s="22" t="n">
        <v>43945</v>
      </c>
    </row>
    <row r="967">
      <c r="A967" s="22" t="n">
        <v>44944</v>
      </c>
      <c r="B967" s="22" t="inlineStr">
        <is>
          <t>GSM LG L7</t>
        </is>
      </c>
      <c r="C967" s="22" t="n">
        <v>44944</v>
      </c>
    </row>
    <row r="968">
      <c r="A968" s="22" t="n">
        <v>44945</v>
      </c>
      <c r="B968" s="22" t="inlineStr">
        <is>
          <t>VIRT GSM LG L7</t>
        </is>
      </c>
      <c r="C968" s="22" t="n">
        <v>44945</v>
      </c>
    </row>
    <row r="969">
      <c r="A969" s="22" t="n">
        <v>45944</v>
      </c>
      <c r="B969" s="22" t="inlineStr">
        <is>
          <t>GSM NOKIA LUMIA 520</t>
        </is>
      </c>
      <c r="C969" s="22" t="n">
        <v>45944</v>
      </c>
    </row>
    <row r="970">
      <c r="A970" s="22" t="n">
        <v>45945</v>
      </c>
      <c r="B970" s="22" t="inlineStr">
        <is>
          <t>VIRT GSM NOKIA LUMIA 520</t>
        </is>
      </c>
      <c r="C970" s="22" t="n">
        <v>45945</v>
      </c>
    </row>
    <row r="971">
      <c r="A971" s="22" t="n">
        <v>46944</v>
      </c>
      <c r="B971" s="22" t="inlineStr">
        <is>
          <t>GSM NOKIA ASHA 210</t>
        </is>
      </c>
      <c r="C971" s="22" t="n">
        <v>46944</v>
      </c>
    </row>
    <row r="972">
      <c r="A972" s="22" t="n">
        <v>46945</v>
      </c>
      <c r="B972" s="22" t="inlineStr">
        <is>
          <t>VIRT GSM NOKIA ASHA 210</t>
        </is>
      </c>
      <c r="C972" s="22" t="n">
        <v>46945</v>
      </c>
    </row>
    <row r="973">
      <c r="A973" s="22" t="n">
        <v>47944</v>
      </c>
      <c r="B973" s="22" t="inlineStr">
        <is>
          <t>GSM BLACKBERRY Q5</t>
        </is>
      </c>
      <c r="C973" s="22" t="n">
        <v>47944</v>
      </c>
    </row>
    <row r="974">
      <c r="A974" s="22" t="n">
        <v>47945</v>
      </c>
      <c r="B974" s="22" t="inlineStr">
        <is>
          <t>VIRT GSM BLACKBERRY Q5</t>
        </is>
      </c>
      <c r="C974" s="22" t="n">
        <v>47945</v>
      </c>
    </row>
    <row r="975">
      <c r="A975" s="22" t="n">
        <v>48944</v>
      </c>
      <c r="B975" s="22" t="inlineStr">
        <is>
          <t>GSM VERYKOOL I121C</t>
        </is>
      </c>
      <c r="C975" s="22" t="n">
        <v>48944</v>
      </c>
    </row>
    <row r="976">
      <c r="A976" s="22" t="n">
        <v>48945</v>
      </c>
      <c r="B976" s="22" t="inlineStr">
        <is>
          <t>VIRT GSM VERYKOOL I121C</t>
        </is>
      </c>
      <c r="C976" s="22" t="n">
        <v>48945</v>
      </c>
    </row>
    <row r="977">
      <c r="A977" s="22" t="n">
        <v>49944</v>
      </c>
      <c r="B977" s="22" t="inlineStr">
        <is>
          <t>GSM LG L1 ll</t>
        </is>
      </c>
      <c r="C977" s="22" t="n">
        <v>49944</v>
      </c>
    </row>
    <row r="978">
      <c r="A978" s="22" t="n">
        <v>49945</v>
      </c>
      <c r="B978" s="22" t="inlineStr">
        <is>
          <t>VIRT GSM LG L1 ll</t>
        </is>
      </c>
      <c r="C978" s="22" t="n">
        <v>49945</v>
      </c>
    </row>
    <row r="979">
      <c r="A979" s="22" t="n">
        <v>50944</v>
      </c>
      <c r="B979" s="22" t="inlineStr">
        <is>
          <t>GSM HUAWEI ASCEND P6</t>
        </is>
      </c>
      <c r="C979" s="22" t="n">
        <v>50944</v>
      </c>
    </row>
    <row r="980">
      <c r="A980" s="22" t="n">
        <v>50945</v>
      </c>
      <c r="B980" s="22" t="inlineStr">
        <is>
          <t>VIRT GSM HUAWEI ASCEND P6</t>
        </is>
      </c>
      <c r="C980" s="22" t="n">
        <v>50945</v>
      </c>
    </row>
    <row r="981">
      <c r="A981" s="22" t="n">
        <v>51944</v>
      </c>
      <c r="B981" s="22" t="inlineStr">
        <is>
          <t>GSM VERYKOOL I601</t>
        </is>
      </c>
      <c r="C981" s="22" t="n">
        <v>51944</v>
      </c>
    </row>
    <row r="982">
      <c r="A982" s="22" t="n">
        <v>51945</v>
      </c>
      <c r="B982" s="22" t="inlineStr">
        <is>
          <t>VIRT GSM VERYKOOL I601</t>
        </is>
      </c>
      <c r="C982" s="22" t="n">
        <v>51945</v>
      </c>
    </row>
    <row r="983">
      <c r="A983" s="22" t="n">
        <v>52944</v>
      </c>
      <c r="B983" s="22" t="inlineStr">
        <is>
          <t>GSM TABLET HUAWEI MEDIAPAD LITE 7 II</t>
        </is>
      </c>
      <c r="C983" s="22" t="n">
        <v>52944</v>
      </c>
    </row>
    <row r="984">
      <c r="A984" s="22" t="n">
        <v>53944</v>
      </c>
      <c r="B984" s="22" t="inlineStr">
        <is>
          <t>GSM APPLE IPHONE 5S 16GB GRIS</t>
        </is>
      </c>
      <c r="C984" s="22" t="n">
        <v>53944</v>
      </c>
    </row>
    <row r="985">
      <c r="A985" s="22" t="n">
        <v>53945</v>
      </c>
      <c r="B985" s="22" t="inlineStr">
        <is>
          <t>VIRT GSM APPLE IPHONE 5S 16GB GRIS</t>
        </is>
      </c>
      <c r="C985" s="22" t="n">
        <v>53945</v>
      </c>
    </row>
    <row r="986">
      <c r="A986" s="22" t="n">
        <v>54944</v>
      </c>
      <c r="B986" s="22" t="inlineStr">
        <is>
          <t>GSM TABLET HUAWEI MEDIAPAD LINK 10</t>
        </is>
      </c>
      <c r="C986" s="22" t="n">
        <v>54944</v>
      </c>
    </row>
    <row r="987">
      <c r="A987" s="22" t="n">
        <v>54945</v>
      </c>
      <c r="B987" s="22" t="inlineStr">
        <is>
          <t>VIRT GSM TABLET HUAWEI MEDIAPAD LINK 10</t>
        </is>
      </c>
      <c r="C987" s="22" t="n">
        <v>54945</v>
      </c>
    </row>
    <row r="988">
      <c r="A988" s="22" t="n">
        <v>55944</v>
      </c>
      <c r="B988" s="22" t="inlineStr">
        <is>
          <t>GSM NOKIA LUMIA 925</t>
        </is>
      </c>
      <c r="C988" s="22" t="n">
        <v>55944</v>
      </c>
    </row>
    <row r="989">
      <c r="A989" s="22" t="n">
        <v>55945</v>
      </c>
      <c r="B989" s="22" t="inlineStr">
        <is>
          <t>VIRT GSM NOKIA LUMIA 925</t>
        </is>
      </c>
      <c r="C989" s="22" t="n">
        <v>55945</v>
      </c>
    </row>
    <row r="990">
      <c r="A990" s="22" t="n">
        <v>56944</v>
      </c>
      <c r="B990" s="22" t="inlineStr">
        <is>
          <t>GSM VERYKOOL I607</t>
        </is>
      </c>
      <c r="C990" s="22" t="n">
        <v>56944</v>
      </c>
    </row>
    <row r="991">
      <c r="A991" s="22" t="n">
        <v>56945</v>
      </c>
      <c r="B991" s="22" t="inlineStr">
        <is>
          <t>VIRT GSM VERYKOOL I607</t>
        </is>
      </c>
      <c r="C991" s="22" t="n">
        <v>56945</v>
      </c>
    </row>
    <row r="992">
      <c r="A992" s="22" t="n">
        <v>57944</v>
      </c>
      <c r="B992" s="22" t="inlineStr">
        <is>
          <t>GSM ALCATEL 1011</t>
        </is>
      </c>
      <c r="C992" s="22" t="n">
        <v>57944</v>
      </c>
    </row>
    <row r="993">
      <c r="A993" s="22" t="n">
        <v>57945</v>
      </c>
      <c r="B993" s="22" t="inlineStr">
        <is>
          <t>VIRT GSM ALCATEL 1011</t>
        </is>
      </c>
      <c r="C993" s="22" t="n">
        <v>57945</v>
      </c>
    </row>
    <row r="994">
      <c r="A994" s="22" t="n">
        <v>58944</v>
      </c>
      <c r="B994" s="22" t="inlineStr">
        <is>
          <t>GSM ALCATEL 3001</t>
        </is>
      </c>
      <c r="C994" s="22" t="n">
        <v>58944</v>
      </c>
    </row>
    <row r="995">
      <c r="A995" s="22" t="n">
        <v>58945</v>
      </c>
      <c r="B995" s="22" t="inlineStr">
        <is>
          <t>VIRT GSM ALCATEL 3001</t>
        </is>
      </c>
      <c r="C995" s="22" t="n">
        <v>58945</v>
      </c>
    </row>
    <row r="996">
      <c r="A996" s="22" t="n">
        <v>59944</v>
      </c>
      <c r="B996" s="22" t="inlineStr">
        <is>
          <t>GSM SAMSUNG GALAXY TAB 3 10.1 P5200</t>
        </is>
      </c>
      <c r="C996" s="22" t="n">
        <v>59944</v>
      </c>
    </row>
    <row r="997">
      <c r="A997" s="22" t="n">
        <v>59945</v>
      </c>
      <c r="B997" s="22" t="inlineStr">
        <is>
          <t>VIRT GSM SAMSUNG GALAXY TAB 3 10.1 P5200</t>
        </is>
      </c>
      <c r="C997" s="22" t="n">
        <v>59945</v>
      </c>
    </row>
    <row r="998">
      <c r="A998" s="22" t="n">
        <v>60944</v>
      </c>
      <c r="B998" s="22" t="inlineStr">
        <is>
          <t>GSM LG L3 II</t>
        </is>
      </c>
      <c r="C998" s="22" t="n">
        <v>60944</v>
      </c>
    </row>
    <row r="999">
      <c r="A999" s="22" t="n">
        <v>60945</v>
      </c>
      <c r="B999" s="22" t="inlineStr">
        <is>
          <t>VIRT GSM LG L3 II</t>
        </is>
      </c>
      <c r="C999" s="22" t="n">
        <v>60945</v>
      </c>
    </row>
    <row r="1000">
      <c r="A1000" s="22" t="n">
        <v>60946</v>
      </c>
      <c r="B1000" s="22" t="inlineStr">
        <is>
          <t>GSM SAMSUNG GALAXY NOTE 8 N5100</t>
        </is>
      </c>
      <c r="C1000" s="22" t="n">
        <v>60946</v>
      </c>
    </row>
    <row r="1001">
      <c r="A1001" s="22" t="n">
        <v>60947</v>
      </c>
      <c r="B1001" s="22" t="inlineStr">
        <is>
          <t>VIRT GSM SAMSUNG GALAXY NOTE 8 N5100</t>
        </is>
      </c>
      <c r="C1001" s="22" t="n">
        <v>60947</v>
      </c>
    </row>
    <row r="1002">
      <c r="A1002" s="22" t="n">
        <v>61944</v>
      </c>
      <c r="B1002" s="22" t="inlineStr">
        <is>
          <t>GSM BMOBILE K340 NEGRO</t>
        </is>
      </c>
      <c r="C1002" s="22" t="n">
        <v>61944</v>
      </c>
    </row>
    <row r="1003">
      <c r="A1003" s="22" t="n">
        <v>61945</v>
      </c>
      <c r="B1003" s="22" t="inlineStr">
        <is>
          <t>VIRT GSM BMOBILE K340 NEGRO</t>
        </is>
      </c>
      <c r="C1003" s="22" t="n">
        <v>61945</v>
      </c>
    </row>
    <row r="1004">
      <c r="A1004" s="22" t="n">
        <v>61946</v>
      </c>
      <c r="B1004" s="22" t="inlineStr">
        <is>
          <t>GSM SAMSUNG S4 MINI</t>
        </is>
      </c>
      <c r="C1004" s="22" t="n">
        <v>61946</v>
      </c>
    </row>
    <row r="1005">
      <c r="A1005" s="22" t="n">
        <v>61947</v>
      </c>
      <c r="B1005" s="22" t="inlineStr">
        <is>
          <t>VIRT GSM SAMSUNG S4 MINI</t>
        </is>
      </c>
      <c r="C1005" s="22" t="n">
        <v>61947</v>
      </c>
    </row>
    <row r="1006">
      <c r="A1006" s="22" t="n">
        <v>61948</v>
      </c>
      <c r="B1006" s="22" t="inlineStr">
        <is>
          <t>GSM LG L7 II</t>
        </is>
      </c>
      <c r="C1006" s="22" t="n">
        <v>61948</v>
      </c>
    </row>
    <row r="1007">
      <c r="A1007" s="22" t="n">
        <v>61949</v>
      </c>
      <c r="B1007" s="22" t="inlineStr">
        <is>
          <t>VIRT GSM LG L7 II</t>
        </is>
      </c>
      <c r="C1007" s="22" t="n">
        <v>61949</v>
      </c>
    </row>
    <row r="1008">
      <c r="A1008" s="22" t="n">
        <v>61950</v>
      </c>
      <c r="B1008" s="22" t="inlineStr">
        <is>
          <t>GSM APPLE IPHONE 5S 16GB SILVER</t>
        </is>
      </c>
      <c r="C1008" s="22" t="n">
        <v>61950</v>
      </c>
    </row>
    <row r="1009">
      <c r="A1009" s="22" t="n">
        <v>62944</v>
      </c>
      <c r="B1009" s="22" t="inlineStr">
        <is>
          <t>GSM HUAWEI ASCEND Y320</t>
        </is>
      </c>
      <c r="C1009" s="22" t="n">
        <v>62944</v>
      </c>
    </row>
    <row r="1010">
      <c r="A1010" s="22" t="n">
        <v>62945</v>
      </c>
      <c r="B1010" s="22" t="inlineStr">
        <is>
          <t>VIRT GSM HUAWEI ASCEND Y320</t>
        </is>
      </c>
      <c r="C1010" s="22" t="n">
        <v>62945</v>
      </c>
    </row>
    <row r="1011">
      <c r="A1011" s="22" t="n">
        <v>62946</v>
      </c>
      <c r="B1011" s="22" t="inlineStr">
        <is>
          <t>GSM BMOBILE K340 NEGRO-AZUL</t>
        </is>
      </c>
      <c r="C1011" s="22" t="n">
        <v>62946</v>
      </c>
    </row>
    <row r="1012">
      <c r="A1012" s="22" t="n">
        <v>62947</v>
      </c>
      <c r="B1012" s="22" t="inlineStr">
        <is>
          <t>VIRT GSM BMOBILE K340 NEGRO-AZUL</t>
        </is>
      </c>
      <c r="C1012" s="22" t="n">
        <v>62947</v>
      </c>
    </row>
    <row r="1013">
      <c r="A1013" s="22" t="n">
        <v>63944</v>
      </c>
      <c r="B1013" s="22" t="inlineStr">
        <is>
          <t>GSM NOKIA LUMIA 625</t>
        </is>
      </c>
      <c r="C1013" s="22" t="n">
        <v>63944</v>
      </c>
    </row>
    <row r="1014">
      <c r="A1014" s="22" t="n">
        <v>63945</v>
      </c>
      <c r="B1014" s="22" t="inlineStr">
        <is>
          <t>VIRT GSM NOKIA LUMIA 625</t>
        </is>
      </c>
      <c r="C1014" s="22" t="n">
        <v>63945</v>
      </c>
    </row>
    <row r="1015">
      <c r="A1015" s="22" t="n">
        <v>63946</v>
      </c>
      <c r="B1015" s="22" t="inlineStr">
        <is>
          <t>GSM NOKIA ASHA 503</t>
        </is>
      </c>
      <c r="C1015" s="22" t="n">
        <v>63946</v>
      </c>
    </row>
    <row r="1016">
      <c r="A1016" s="22" t="n">
        <v>63947</v>
      </c>
      <c r="B1016" s="22" t="inlineStr">
        <is>
          <t>VIRT GSM NOKIA ASHA 503</t>
        </is>
      </c>
      <c r="C1016" s="22" t="n">
        <v>63947</v>
      </c>
    </row>
    <row r="1017">
      <c r="A1017" s="22" t="n">
        <v>64944</v>
      </c>
      <c r="B1017" s="22" t="inlineStr">
        <is>
          <t>GSM SAMSUNG GALAXY ACE III</t>
        </is>
      </c>
      <c r="C1017" s="22" t="n">
        <v>64944</v>
      </c>
    </row>
    <row r="1018">
      <c r="A1018" s="22" t="n">
        <v>64945</v>
      </c>
      <c r="B1018" s="22" t="inlineStr">
        <is>
          <t>VIRT GSM SAMSUNG GALAXY ACE III</t>
        </is>
      </c>
      <c r="C1018" s="22" t="n">
        <v>64945</v>
      </c>
    </row>
    <row r="1019">
      <c r="A1019" s="22" t="n">
        <v>64946</v>
      </c>
      <c r="B1019" s="22" t="inlineStr">
        <is>
          <t>GSM TABLET HUAWEI MEDIAPAD YOUTH</t>
        </is>
      </c>
      <c r="C1019" s="22" t="n">
        <v>64946</v>
      </c>
    </row>
    <row r="1020">
      <c r="A1020" s="22" t="n">
        <v>64947</v>
      </c>
      <c r="B1020" s="22" t="inlineStr">
        <is>
          <t>VIRT GSM TABLET HUAWEI MEDIAPAD YOUTH</t>
        </is>
      </c>
      <c r="C1020" s="22" t="n">
        <v>64947</v>
      </c>
    </row>
    <row r="1021">
      <c r="A1021" s="22" t="n">
        <v>66944</v>
      </c>
      <c r="B1021" s="22" t="inlineStr">
        <is>
          <t>GSM SAMSUNG GALAXY S5 BLANCO</t>
        </is>
      </c>
      <c r="C1021" s="22" t="n">
        <v>66944</v>
      </c>
    </row>
    <row r="1022">
      <c r="A1022" s="22" t="n">
        <v>66945</v>
      </c>
      <c r="B1022" s="22" t="inlineStr">
        <is>
          <t>VIRT GSM SAMSUNG GALAXY S5 BLANCO</t>
        </is>
      </c>
      <c r="C1022" s="22" t="n">
        <v>66945</v>
      </c>
    </row>
    <row r="1023">
      <c r="A1023" s="22" t="n">
        <v>66946</v>
      </c>
      <c r="B1023" s="22" t="inlineStr">
        <is>
          <t>GSM SAMSUNG GALAXY S5 NEGRO</t>
        </is>
      </c>
      <c r="C1023" s="22" t="n">
        <v>66946</v>
      </c>
    </row>
    <row r="1024">
      <c r="A1024" s="22" t="n">
        <v>66947</v>
      </c>
      <c r="B1024" s="22" t="inlineStr">
        <is>
          <t>VIRT GSM SAMSUNG GALAXY S5 NEGRO</t>
        </is>
      </c>
      <c r="C1024" s="22" t="n">
        <v>66947</v>
      </c>
    </row>
    <row r="1025">
      <c r="A1025" s="22" t="n">
        <v>66948</v>
      </c>
      <c r="B1025" s="22" t="inlineStr">
        <is>
          <t>GSM SAMSUNG GALAXY TAB 3 LITE 7</t>
        </is>
      </c>
      <c r="C1025" s="22" t="n">
        <v>66948</v>
      </c>
    </row>
    <row r="1026">
      <c r="A1026" s="22" t="n">
        <v>66949</v>
      </c>
      <c r="B1026" s="22" t="inlineStr">
        <is>
          <t>VIRT GSM SAMSUNG GALAXY TAB 3 LITE 7</t>
        </is>
      </c>
      <c r="C1026" s="22" t="n">
        <v>66949</v>
      </c>
    </row>
    <row r="1027">
      <c r="A1027" s="22" t="n">
        <v>67944</v>
      </c>
      <c r="B1027" s="22" t="inlineStr">
        <is>
          <t>GSM HUAWEI ASCEND Y530</t>
        </is>
      </c>
      <c r="C1027" s="22" t="n">
        <v>67944</v>
      </c>
    </row>
    <row r="1028">
      <c r="A1028" s="22" t="n">
        <v>67945</v>
      </c>
      <c r="B1028" s="22" t="inlineStr">
        <is>
          <t>VIRT GSM HUAWEI ASCEND Y530</t>
        </is>
      </c>
      <c r="C1028" s="22" t="n">
        <v>67945</v>
      </c>
    </row>
    <row r="1029">
      <c r="A1029" s="22" t="n">
        <v>68944</v>
      </c>
      <c r="B1029" s="22" t="inlineStr">
        <is>
          <t>GSM HUAWEI ASCEND Y220</t>
        </is>
      </c>
      <c r="C1029" s="22" t="n">
        <v>68944</v>
      </c>
    </row>
    <row r="1030">
      <c r="A1030" s="22" t="n">
        <v>68945</v>
      </c>
      <c r="B1030" s="22" t="inlineStr">
        <is>
          <t>VIRT GSM HUAWEI ASCEND Y220</t>
        </is>
      </c>
      <c r="C1030" s="22" t="n">
        <v>68945</v>
      </c>
    </row>
    <row r="1031">
      <c r="A1031" s="22" t="n">
        <v>70944</v>
      </c>
      <c r="B1031" s="22" t="inlineStr">
        <is>
          <t>SAMSUNG ATIV TAB 3</t>
        </is>
      </c>
      <c r="C1031" s="22" t="n">
        <v>70944</v>
      </c>
    </row>
    <row r="1032">
      <c r="A1032" s="22" t="n">
        <v>70945</v>
      </c>
      <c r="B1032" s="22" t="inlineStr">
        <is>
          <t>SAMSUNG ATIV TAB 7</t>
        </is>
      </c>
      <c r="C1032" s="22" t="n">
        <v>70945</v>
      </c>
    </row>
    <row r="1033">
      <c r="A1033" s="22" t="n">
        <v>71944</v>
      </c>
      <c r="B1033" s="22" t="inlineStr">
        <is>
          <t>GSM SONY XPERIA E NEGRO</t>
        </is>
      </c>
      <c r="C1033" s="22" t="n">
        <v>71944</v>
      </c>
    </row>
    <row r="1034">
      <c r="A1034" s="22" t="n">
        <v>71945</v>
      </c>
      <c r="B1034" s="22" t="inlineStr">
        <is>
          <t>VIRT GSM SONY XPERIA E NEGRO</t>
        </is>
      </c>
      <c r="C1034" s="22" t="n">
        <v>71945</v>
      </c>
    </row>
    <row r="1035">
      <c r="A1035" s="22" t="n">
        <v>71946</v>
      </c>
      <c r="B1035" s="22" t="inlineStr">
        <is>
          <t>GSM SONY XPERIA M NEGRO</t>
        </is>
      </c>
      <c r="C1035" s="22" t="n">
        <v>71946</v>
      </c>
    </row>
    <row r="1036">
      <c r="A1036" s="22" t="n">
        <v>71947</v>
      </c>
      <c r="B1036" s="22" t="inlineStr">
        <is>
          <t>VIRT GSM SONY XPERIA M NEGRO</t>
        </is>
      </c>
      <c r="C1036" s="22" t="n">
        <v>71947</v>
      </c>
    </row>
    <row r="1037">
      <c r="A1037" s="22" t="n">
        <v>71948</v>
      </c>
      <c r="B1037" s="22" t="inlineStr">
        <is>
          <t>GSM SONY XPERIA L</t>
        </is>
      </c>
      <c r="C1037" s="22" t="n">
        <v>71948</v>
      </c>
    </row>
    <row r="1038">
      <c r="A1038" s="22" t="n">
        <v>71949</v>
      </c>
      <c r="B1038" s="22" t="inlineStr">
        <is>
          <t>VIRT GSM SONY XPERIA L</t>
        </is>
      </c>
      <c r="C1038" s="22" t="n">
        <v>71949</v>
      </c>
    </row>
    <row r="1039">
      <c r="A1039" s="22" t="n">
        <v>72944</v>
      </c>
      <c r="B1039" s="22" t="inlineStr">
        <is>
          <t>GSM SONY XPERIA E1</t>
        </is>
      </c>
      <c r="C1039" s="22" t="n">
        <v>72944</v>
      </c>
    </row>
    <row r="1040">
      <c r="A1040" s="22" t="n">
        <v>72945</v>
      </c>
      <c r="B1040" s="22" t="inlineStr">
        <is>
          <t>VIRT GSM SONY XPERIA E1</t>
        </is>
      </c>
      <c r="C1040" s="22" t="n">
        <v>72945</v>
      </c>
    </row>
    <row r="1041">
      <c r="A1041" s="22" t="n">
        <v>73944</v>
      </c>
      <c r="B1041" s="22" t="inlineStr">
        <is>
          <t>GSM LG G2</t>
        </is>
      </c>
      <c r="C1041" s="22" t="n">
        <v>73944</v>
      </c>
    </row>
    <row r="1042">
      <c r="A1042" s="22" t="n">
        <v>73945</v>
      </c>
      <c r="B1042" s="22" t="inlineStr">
        <is>
          <t>VIRT GSM LG G2</t>
        </is>
      </c>
      <c r="C1042" s="22" t="n">
        <v>73945</v>
      </c>
    </row>
    <row r="1043">
      <c r="A1043" s="22" t="n">
        <v>73946</v>
      </c>
      <c r="B1043" s="22" t="inlineStr">
        <is>
          <t>GSM ALCATEL 4033A CON PTT</t>
        </is>
      </c>
      <c r="C1043" s="22" t="n">
        <v>73946</v>
      </c>
    </row>
    <row r="1044">
      <c r="A1044" s="22" t="n">
        <v>73947</v>
      </c>
      <c r="B1044" s="22" t="inlineStr">
        <is>
          <t>VIRT GSM ALCATEL 4033A CON PTT</t>
        </is>
      </c>
      <c r="C1044" s="22" t="n">
        <v>73947</v>
      </c>
    </row>
    <row r="1045">
      <c r="A1045" s="22" t="n">
        <v>74944</v>
      </c>
      <c r="B1045" s="22" t="inlineStr">
        <is>
          <t>GSM NOKIA LUMIA 630</t>
        </is>
      </c>
      <c r="C1045" s="22" t="n">
        <v>74944</v>
      </c>
    </row>
    <row r="1046">
      <c r="A1046" s="22" t="n">
        <v>74945</v>
      </c>
      <c r="B1046" s="22" t="inlineStr">
        <is>
          <t>VIRT GSM NOKIA LUMIA 630</t>
        </is>
      </c>
      <c r="C1046" s="22" t="n">
        <v>74945</v>
      </c>
    </row>
    <row r="1047">
      <c r="A1047" s="22" t="n">
        <v>75944</v>
      </c>
      <c r="B1047" s="22" t="inlineStr">
        <is>
          <t>GSM SONY XPERIA Z1 COMPACT</t>
        </is>
      </c>
      <c r="C1047" s="22" t="n">
        <v>75944</v>
      </c>
    </row>
    <row r="1048">
      <c r="A1048" s="22" t="n">
        <v>75945</v>
      </c>
      <c r="B1048" s="22" t="inlineStr">
        <is>
          <t>VIRT GSM SONY XPERIA Z1 COMPACT</t>
        </is>
      </c>
      <c r="C1048" s="22" t="n">
        <v>75945</v>
      </c>
    </row>
    <row r="1049">
      <c r="A1049" s="22" t="n">
        <v>76944</v>
      </c>
      <c r="B1049" s="22" t="inlineStr">
        <is>
          <t>GSM SONY XPERIA M2 NEGRO</t>
        </is>
      </c>
      <c r="C1049" s="22" t="n">
        <v>76944</v>
      </c>
    </row>
    <row r="1050">
      <c r="A1050" s="22" t="n">
        <v>76945</v>
      </c>
      <c r="B1050" s="22" t="inlineStr">
        <is>
          <t>VIRT GSM SONY XPERIA M2 NEGRO</t>
        </is>
      </c>
      <c r="C1050" s="22" t="n">
        <v>76945</v>
      </c>
    </row>
    <row r="1051">
      <c r="A1051" s="22" t="n">
        <v>76946</v>
      </c>
      <c r="B1051" s="22" t="inlineStr">
        <is>
          <t>GSM BASE HUAWEI D68L-54</t>
        </is>
      </c>
      <c r="C1051" s="22" t="n">
        <v>76946</v>
      </c>
    </row>
    <row r="1052">
      <c r="A1052" s="22" t="n">
        <v>77944</v>
      </c>
      <c r="B1052" s="22" t="inlineStr">
        <is>
          <t>SIMCARD 2FF POSTPAGO 128K RETAIL</t>
        </is>
      </c>
      <c r="C1052" s="22" t="n">
        <v>77944</v>
      </c>
    </row>
    <row r="1053">
      <c r="A1053" s="22" t="n">
        <v>78944</v>
      </c>
      <c r="B1053" s="22" t="inlineStr">
        <is>
          <t>GSM ALCATEL IDOL MINI 6012</t>
        </is>
      </c>
      <c r="C1053" s="22" t="n">
        <v>78944</v>
      </c>
    </row>
    <row r="1054">
      <c r="A1054" s="22" t="n">
        <v>78945</v>
      </c>
      <c r="B1054" s="22" t="inlineStr">
        <is>
          <t>VIRT GSM ALCATEL IDOL MINI 6012</t>
        </is>
      </c>
      <c r="C1054" s="22" t="n">
        <v>78945</v>
      </c>
    </row>
    <row r="1055">
      <c r="A1055" s="22" t="n">
        <v>79944</v>
      </c>
      <c r="B1055" s="22" t="inlineStr">
        <is>
          <t>GSM ALCATEL R OT-916</t>
        </is>
      </c>
      <c r="C1055" s="22" t="n">
        <v>79944</v>
      </c>
    </row>
    <row r="1056">
      <c r="A1056" s="22" t="n">
        <v>79945</v>
      </c>
      <c r="B1056" s="22" t="inlineStr">
        <is>
          <t>VIRT GSM ALCATEL R OT-916</t>
        </is>
      </c>
      <c r="C1056" s="22" t="n">
        <v>79945</v>
      </c>
    </row>
    <row r="1057">
      <c r="A1057" s="22" t="n">
        <v>79946</v>
      </c>
      <c r="B1057" s="22" t="inlineStr">
        <is>
          <t>GSM HUAWEI ASCEND Y330</t>
        </is>
      </c>
      <c r="C1057" s="22" t="n">
        <v>79946</v>
      </c>
    </row>
    <row r="1058">
      <c r="A1058" s="22" t="n">
        <v>79947</v>
      </c>
      <c r="B1058" s="22" t="inlineStr">
        <is>
          <t>VIRT GSM HUAWEI ASCEND Y330</t>
        </is>
      </c>
      <c r="C1058" s="22" t="n">
        <v>79947</v>
      </c>
    </row>
    <row r="1059">
      <c r="A1059" s="22" t="n">
        <v>79948</v>
      </c>
      <c r="B1059" s="22" t="inlineStr">
        <is>
          <t>GSM ALCATEL POP C3</t>
        </is>
      </c>
      <c r="C1059" s="22" t="n">
        <v>79948</v>
      </c>
    </row>
    <row r="1060">
      <c r="A1060" s="22" t="n">
        <v>79949</v>
      </c>
      <c r="B1060" s="22" t="inlineStr">
        <is>
          <t>VIRT GSM ALCATEL POP C3</t>
        </is>
      </c>
      <c r="C1060" s="22" t="n">
        <v>79949</v>
      </c>
    </row>
    <row r="1061">
      <c r="A1061" s="22" t="n">
        <v>79950</v>
      </c>
      <c r="B1061" s="22" t="inlineStr">
        <is>
          <t>GSM NOKIA LUMIA 530 ROCKET</t>
        </is>
      </c>
      <c r="C1061" s="22" t="n">
        <v>79950</v>
      </c>
    </row>
    <row r="1062">
      <c r="A1062" s="22" t="n">
        <v>79951</v>
      </c>
      <c r="B1062" s="22" t="inlineStr">
        <is>
          <t>VIRT GSM NOKIA LUMIA 530 ROCKET</t>
        </is>
      </c>
      <c r="C1062" s="22" t="n">
        <v>79951</v>
      </c>
    </row>
    <row r="1063">
      <c r="A1063" s="22" t="n">
        <v>79952</v>
      </c>
      <c r="B1063" s="22" t="inlineStr">
        <is>
          <t>GSM HUAWEI ASCEND Y550</t>
        </is>
      </c>
      <c r="C1063" s="22" t="n">
        <v>79952</v>
      </c>
    </row>
    <row r="1064">
      <c r="A1064" s="22" t="n">
        <v>79953</v>
      </c>
      <c r="B1064" s="22" t="inlineStr">
        <is>
          <t>VIRT GSM HUAWEI ASCEND Y550</t>
        </is>
      </c>
      <c r="C1064" s="22" t="n">
        <v>79953</v>
      </c>
    </row>
    <row r="1065">
      <c r="A1065" s="22" t="n">
        <v>79954</v>
      </c>
      <c r="B1065" s="22" t="inlineStr">
        <is>
          <t>GSM NOKIA LUMIA 635 NEGRO</t>
        </is>
      </c>
      <c r="C1065" s="22" t="n">
        <v>79954</v>
      </c>
    </row>
    <row r="1066">
      <c r="A1066" s="22" t="n">
        <v>79955</v>
      </c>
      <c r="B1066" s="22" t="inlineStr">
        <is>
          <t>VIRT GSM NOKIA LUMIA 635 NEGRO</t>
        </is>
      </c>
      <c r="C1066" s="22" t="n">
        <v>79955</v>
      </c>
    </row>
    <row r="1067">
      <c r="A1067" s="22" t="n">
        <v>79957</v>
      </c>
      <c r="B1067" s="22" t="inlineStr">
        <is>
          <t>V GSM H A G630 Eliminado</t>
        </is>
      </c>
      <c r="C1067" s="22" t="n">
        <v>79957</v>
      </c>
    </row>
    <row r="1068">
      <c r="A1068" s="22" t="n">
        <v>79958</v>
      </c>
      <c r="B1068" s="22" t="inlineStr">
        <is>
          <t>GSM SONY XPERIA M PURPURA</t>
        </is>
      </c>
      <c r="C1068" s="22" t="n">
        <v>79958</v>
      </c>
    </row>
    <row r="1069">
      <c r="A1069" s="22" t="n">
        <v>79959</v>
      </c>
      <c r="B1069" s="22" t="inlineStr">
        <is>
          <t>VIRT GSM SONY XPERIA M PURPURA</t>
        </is>
      </c>
      <c r="C1069" s="22" t="n">
        <v>79959</v>
      </c>
    </row>
    <row r="1070">
      <c r="A1070" s="22" t="n">
        <v>79960</v>
      </c>
      <c r="B1070" s="22" t="inlineStr">
        <is>
          <t>GSM SONY XPERIA M BLANCO</t>
        </is>
      </c>
      <c r="C1070" s="22" t="n">
        <v>79960</v>
      </c>
    </row>
    <row r="1071">
      <c r="A1071" s="22" t="n">
        <v>79961</v>
      </c>
      <c r="B1071" s="22" t="inlineStr">
        <is>
          <t>VIRT GSM SONY XPERIA M BLANCO</t>
        </is>
      </c>
      <c r="C1071" s="22" t="n">
        <v>79961</v>
      </c>
    </row>
    <row r="1072">
      <c r="A1072" s="22" t="n">
        <v>79962</v>
      </c>
      <c r="B1072" s="22" t="inlineStr">
        <is>
          <t>GSM SONY XPERIA E BLANCO</t>
        </is>
      </c>
      <c r="C1072" s="22" t="n">
        <v>79962</v>
      </c>
    </row>
    <row r="1073">
      <c r="A1073" s="22" t="n">
        <v>79963</v>
      </c>
      <c r="B1073" s="22" t="inlineStr">
        <is>
          <t>VIRT GSM SONY XPERIA E BLANCO</t>
        </is>
      </c>
      <c r="C1073" s="22" t="n">
        <v>79963</v>
      </c>
    </row>
    <row r="1074">
      <c r="A1074" s="22" t="n">
        <v>81944</v>
      </c>
      <c r="B1074" s="22" t="inlineStr">
        <is>
          <t>USIM MULTISIM POS</t>
        </is>
      </c>
      <c r="C1074" s="22" t="n">
        <v>81944</v>
      </c>
    </row>
    <row r="1075">
      <c r="A1075" s="22" t="n">
        <v>82944</v>
      </c>
      <c r="B1075" s="22" t="inlineStr">
        <is>
          <t>USIM MULTISIM PRE</t>
        </is>
      </c>
      <c r="C1075" s="22" t="n">
        <v>82944</v>
      </c>
    </row>
    <row r="1076">
      <c r="A1076" s="22" t="n">
        <v>83944</v>
      </c>
      <c r="B1076" s="22" t="inlineStr">
        <is>
          <t>GSM TABLET HUAWEI MEDIAPAD YOUTH 2</t>
        </is>
      </c>
      <c r="C1076" s="22" t="n">
        <v>83944</v>
      </c>
    </row>
    <row r="1077">
      <c r="A1077" s="22" t="n">
        <v>83945</v>
      </c>
      <c r="B1077" s="22" t="inlineStr">
        <is>
          <t>VIRT GSM TABLET HUAWEI MEDIAPAD YOUTH 2</t>
        </is>
      </c>
      <c r="C1077" s="22" t="n">
        <v>83945</v>
      </c>
    </row>
    <row r="1078">
      <c r="A1078" s="22" t="n">
        <v>84944</v>
      </c>
      <c r="B1078" s="22" t="inlineStr">
        <is>
          <t>GSM NOKIA LUMIA 735 SUPERSTAR</t>
        </is>
      </c>
      <c r="C1078" s="22" t="n">
        <v>84944</v>
      </c>
    </row>
    <row r="1079">
      <c r="A1079" s="22" t="n">
        <v>84945</v>
      </c>
      <c r="B1079" s="22" t="inlineStr">
        <is>
          <t>VIRT GSM NOKIA LUMIA 735 SUPERSTAR</t>
        </is>
      </c>
      <c r="C1079" s="22" t="n">
        <v>84945</v>
      </c>
    </row>
    <row r="1080">
      <c r="A1080" s="22" t="n">
        <v>84946</v>
      </c>
      <c r="B1080" s="22" t="inlineStr">
        <is>
          <t>GSM NOKIA LUMIA 830 TERRA</t>
        </is>
      </c>
      <c r="C1080" s="22" t="n">
        <v>84946</v>
      </c>
    </row>
    <row r="1081">
      <c r="A1081" s="22" t="n">
        <v>84947</v>
      </c>
      <c r="B1081" s="22" t="inlineStr">
        <is>
          <t>VIRT GSM NOKIA LUMIA 830 TERRA</t>
        </is>
      </c>
      <c r="C1081" s="22" t="n">
        <v>84947</v>
      </c>
    </row>
    <row r="1082">
      <c r="A1082" s="24" t="n">
        <v>84948</v>
      </c>
      <c r="B1082" s="22" t="inlineStr">
        <is>
          <t>USIM TUENTI (blister)</t>
        </is>
      </c>
      <c r="C1082" s="22" t="n">
        <v>84948</v>
      </c>
    </row>
    <row r="1083">
      <c r="A1083" s="22" t="n">
        <v>85944</v>
      </c>
      <c r="B1083" s="22" t="inlineStr">
        <is>
          <t>CAMISETA DE HOMBRE</t>
        </is>
      </c>
      <c r="C1083" s="22" t="n">
        <v>85944</v>
      </c>
    </row>
    <row r="1084">
      <c r="A1084" s="22" t="n">
        <v>85945</v>
      </c>
      <c r="B1084" s="22" t="inlineStr">
        <is>
          <t>CAMISETA DE MUJER</t>
        </is>
      </c>
      <c r="C1084" s="22" t="n">
        <v>85945</v>
      </c>
    </row>
    <row r="1085">
      <c r="A1085" s="22" t="n">
        <v>85946</v>
      </c>
      <c r="B1085" s="22" t="inlineStr">
        <is>
          <t>PARAGUAS</t>
        </is>
      </c>
      <c r="C1085" s="22" t="n">
        <v>85946</v>
      </c>
    </row>
    <row r="1086">
      <c r="A1086" s="22" t="n">
        <v>85947</v>
      </c>
      <c r="B1086" s="22" t="inlineStr">
        <is>
          <t>CHOMPA IMPERMEABLE</t>
        </is>
      </c>
      <c r="C1086" s="22" t="n">
        <v>85947</v>
      </c>
    </row>
    <row r="1087">
      <c r="A1087" s="22" t="n">
        <v>85948</v>
      </c>
      <c r="B1087" s="22" t="inlineStr">
        <is>
          <t>DISPOSITIVO MPOS-WALKERS</t>
        </is>
      </c>
      <c r="C1087" s="22" t="n">
        <v>85948</v>
      </c>
    </row>
    <row r="1088">
      <c r="A1088" s="22" t="n">
        <v>85950</v>
      </c>
      <c r="B1088" s="22" t="inlineStr">
        <is>
          <t>GSM IPHONE 5C 16GB BLANCO</t>
        </is>
      </c>
      <c r="C1088" s="22" t="n">
        <v>85950</v>
      </c>
    </row>
    <row r="1089">
      <c r="A1089" s="22" t="n">
        <v>86944</v>
      </c>
      <c r="B1089" s="22" t="inlineStr">
        <is>
          <t>GSM APPLE IPHONE 6 16GB GRIS</t>
        </is>
      </c>
      <c r="C1089" s="22" t="n">
        <v>86944</v>
      </c>
    </row>
    <row r="1090">
      <c r="A1090" s="22" t="n">
        <v>86945</v>
      </c>
      <c r="B1090" s="22" t="inlineStr">
        <is>
          <t>VIRT GSM APPLE IPHONE 6 16GB GRIS</t>
        </is>
      </c>
      <c r="C1090" s="22" t="n">
        <v>86945</v>
      </c>
    </row>
    <row r="1091">
      <c r="A1091" s="22" t="n">
        <v>87944</v>
      </c>
      <c r="B1091" s="22" t="inlineStr">
        <is>
          <t>GSM HUAWEI G630</t>
        </is>
      </c>
      <c r="C1091" s="22" t="n">
        <v>87944</v>
      </c>
    </row>
    <row r="1092">
      <c r="A1092" s="22" t="n">
        <v>87945</v>
      </c>
      <c r="B1092" s="22" t="inlineStr">
        <is>
          <t>VIRT GSM HUAWEI G630</t>
        </is>
      </c>
      <c r="C1092" s="22" t="n">
        <v>87945</v>
      </c>
    </row>
    <row r="1093">
      <c r="A1093" s="22" t="n">
        <v>87948</v>
      </c>
      <c r="B1093" s="22" t="inlineStr">
        <is>
          <t>GSM SAMSUNG GALAXY TAB 4 10.1</t>
        </is>
      </c>
      <c r="C1093" s="22" t="n">
        <v>87948</v>
      </c>
    </row>
    <row r="1094">
      <c r="A1094" s="22" t="n">
        <v>87949</v>
      </c>
      <c r="B1094" s="22" t="inlineStr">
        <is>
          <t>VIRT GSM SAMSUNG GALAXY TAB 4 10.1</t>
        </is>
      </c>
      <c r="C1094" s="22" t="n">
        <v>87949</v>
      </c>
    </row>
    <row r="1095">
      <c r="A1095" s="22" t="n">
        <v>89944</v>
      </c>
      <c r="B1095" s="22" t="inlineStr">
        <is>
          <t>SIM MICRO SD 2GB</t>
        </is>
      </c>
      <c r="C1095" s="22" t="n">
        <v>89944</v>
      </c>
    </row>
    <row r="1096">
      <c r="A1096" s="22" t="n">
        <v>89945</v>
      </c>
      <c r="B1096" s="22" t="inlineStr">
        <is>
          <t>SIM MICRO SD 4GB</t>
        </is>
      </c>
      <c r="C1096" s="22" t="n">
        <v>89945</v>
      </c>
    </row>
    <row r="1097">
      <c r="A1097" s="22" t="n">
        <v>89946</v>
      </c>
      <c r="B1097" s="22" t="inlineStr">
        <is>
          <t>SIM MICRO SD 1GB</t>
        </is>
      </c>
      <c r="C1097" s="22" t="n">
        <v>89946</v>
      </c>
    </row>
    <row r="1098">
      <c r="A1098" s="22" t="n">
        <v>90944</v>
      </c>
      <c r="B1098" s="22" t="inlineStr">
        <is>
          <t>SIM MICRO SD 2GB + ADAPTADOR</t>
        </is>
      </c>
      <c r="C1098" s="22" t="n">
        <v>90944</v>
      </c>
    </row>
    <row r="1099">
      <c r="A1099" s="22" t="n">
        <v>90945</v>
      </c>
      <c r="B1099" s="22" t="inlineStr">
        <is>
          <t>GSM HUAWEI G7</t>
        </is>
      </c>
      <c r="C1099" s="22" t="n">
        <v>90945</v>
      </c>
    </row>
    <row r="1100">
      <c r="A1100" s="22" t="n">
        <v>90946</v>
      </c>
      <c r="B1100" s="22" t="inlineStr">
        <is>
          <t>VIRT GSM HUAWEI G7</t>
        </is>
      </c>
      <c r="C1100" s="22" t="n">
        <v>90946</v>
      </c>
    </row>
    <row r="1101">
      <c r="A1101" s="22" t="n">
        <v>91944</v>
      </c>
      <c r="B1101" s="22" t="inlineStr">
        <is>
          <t>GSM HUAWEI MEDIAPAD M1</t>
        </is>
      </c>
      <c r="C1101" s="22" t="n">
        <v>91944</v>
      </c>
    </row>
    <row r="1102">
      <c r="A1102" s="22" t="n">
        <v>91946</v>
      </c>
      <c r="B1102" s="22" t="inlineStr">
        <is>
          <t>GSM SONY XPERIA E3 NEGRO</t>
        </is>
      </c>
      <c r="C1102" s="22" t="n">
        <v>91946</v>
      </c>
    </row>
    <row r="1103">
      <c r="A1103" s="22" t="n">
        <v>91947</v>
      </c>
      <c r="B1103" s="22" t="inlineStr">
        <is>
          <t>VIRT GSM SONY XPERIA E3 NEGRO</t>
        </is>
      </c>
      <c r="C1103" s="22" t="n">
        <v>91947</v>
      </c>
    </row>
    <row r="1104">
      <c r="A1104" s="22" t="n">
        <v>91948</v>
      </c>
      <c r="B1104" s="22" t="inlineStr">
        <is>
          <t>GSM ALCATEL POP C1</t>
        </is>
      </c>
      <c r="C1104" s="22" t="n">
        <v>91948</v>
      </c>
    </row>
    <row r="1105">
      <c r="A1105" s="22" t="n">
        <v>91949</v>
      </c>
      <c r="B1105" s="22" t="inlineStr">
        <is>
          <t>VIRT GSM ALCATEL POP C1</t>
        </is>
      </c>
      <c r="C1105" s="22" t="n">
        <v>91949</v>
      </c>
    </row>
    <row r="1106">
      <c r="A1106" s="22" t="n">
        <v>92944</v>
      </c>
      <c r="B1106" s="22" t="inlineStr">
        <is>
          <t>GORRA</t>
        </is>
      </c>
      <c r="C1106" s="22" t="n">
        <v>92944</v>
      </c>
    </row>
    <row r="1107">
      <c r="A1107" s="22" t="n">
        <v>92945</v>
      </c>
      <c r="B1107" s="22" t="inlineStr">
        <is>
          <t>LISTO PACK GSM NOKIA 111</t>
        </is>
      </c>
      <c r="C1107" s="22" t="n">
        <v>92945</v>
      </c>
    </row>
    <row r="1108">
      <c r="A1108" s="22" t="n">
        <v>92946</v>
      </c>
      <c r="B1108" s="22" t="inlineStr">
        <is>
          <t>LISTO PACK GSM ALCATEL POP C1</t>
        </is>
      </c>
      <c r="C1108" s="22" t="n">
        <v>92946</v>
      </c>
    </row>
    <row r="1109">
      <c r="A1109" s="22" t="n">
        <v>93944</v>
      </c>
      <c r="B1109" s="22" t="inlineStr">
        <is>
          <t>GSM SONY XPERIA Z3</t>
        </is>
      </c>
      <c r="C1109" s="22" t="n">
        <v>93944</v>
      </c>
    </row>
    <row r="1110">
      <c r="A1110" s="22" t="n">
        <v>93945</v>
      </c>
      <c r="B1110" s="22" t="inlineStr">
        <is>
          <t>VIRT GSM SONY XPERIA Z3</t>
        </is>
      </c>
      <c r="C1110" s="22" t="n">
        <v>93945</v>
      </c>
    </row>
    <row r="1111">
      <c r="A1111" s="22" t="n">
        <v>93946</v>
      </c>
      <c r="B1111" s="22" t="inlineStr">
        <is>
          <t>GSM SONY XPERIA Z3 COMPACT NEGRO</t>
        </is>
      </c>
      <c r="C1111" s="22" t="n">
        <v>93946</v>
      </c>
    </row>
    <row r="1112">
      <c r="A1112" s="22" t="n">
        <v>93947</v>
      </c>
      <c r="B1112" s="22" t="inlineStr">
        <is>
          <t>VIRT GSM SONY XPERIA Z3 COMPACT NEGRO</t>
        </is>
      </c>
      <c r="C1112" s="22" t="n">
        <v>93947</v>
      </c>
    </row>
    <row r="1113">
      <c r="A1113" s="22" t="n">
        <v>94944</v>
      </c>
      <c r="B1113" s="22" t="inlineStr">
        <is>
          <t>GSM SAMSUNG GALAXY ACE 4 LITE NEGRO</t>
        </is>
      </c>
      <c r="C1113" s="22" t="n">
        <v>94944</v>
      </c>
    </row>
    <row r="1114">
      <c r="A1114" s="22" t="n">
        <v>94945</v>
      </c>
      <c r="B1114" s="22" t="inlineStr">
        <is>
          <t>VIRT GSM SAMSUNG GALAXY ACE 4 LITE NEGRO</t>
        </is>
      </c>
      <c r="C1114" s="22" t="n">
        <v>94945</v>
      </c>
    </row>
    <row r="1115">
      <c r="A1115" s="22" t="n">
        <v>95944</v>
      </c>
      <c r="B1115" s="22" t="inlineStr">
        <is>
          <t>LISTO PACK GSM ALCATEL R OT-916</t>
        </is>
      </c>
      <c r="C1115" s="22" t="n">
        <v>95944</v>
      </c>
    </row>
    <row r="1116">
      <c r="A1116" s="22" t="n">
        <v>95945</v>
      </c>
      <c r="B1116" s="22" t="inlineStr">
        <is>
          <t>LISTO PACK GSM HUAWEI ASCEND Y330</t>
        </is>
      </c>
      <c r="C1116" s="22" t="n">
        <v>95945</v>
      </c>
    </row>
    <row r="1117">
      <c r="A1117" s="22" t="n">
        <v>96944</v>
      </c>
      <c r="B1117" s="22" t="inlineStr">
        <is>
          <t>GSM APPLE IPAD AIR 2 16GB</t>
        </is>
      </c>
      <c r="C1117" s="22" t="n">
        <v>96944</v>
      </c>
    </row>
    <row r="1118">
      <c r="A1118" s="22" t="n">
        <v>96946</v>
      </c>
      <c r="B1118" s="22" t="inlineStr">
        <is>
          <t>SUPER CHIP AUTOSERVICIOS INTERNET</t>
        </is>
      </c>
      <c r="C1118" s="22" t="n">
        <v>96946</v>
      </c>
    </row>
    <row r="1119">
      <c r="A1119" s="22" t="n">
        <v>97944</v>
      </c>
      <c r="B1119" s="22" t="inlineStr">
        <is>
          <t>LISTO PACK GSM VERYKOOL I607</t>
        </is>
      </c>
      <c r="C1119" s="22" t="n">
        <v>97944</v>
      </c>
    </row>
    <row r="1120">
      <c r="A1120" s="22" t="n">
        <v>98944</v>
      </c>
      <c r="B1120" s="22" t="inlineStr">
        <is>
          <t>GSM SAMSUNG GALAXY S5 LTE NEGRO</t>
        </is>
      </c>
      <c r="C1120" s="22" t="n">
        <v>98944</v>
      </c>
    </row>
    <row r="1121">
      <c r="A1121" s="22" t="n">
        <v>98945</v>
      </c>
      <c r="B1121" s="22" t="inlineStr">
        <is>
          <t>VIRT GSM SAMSUNG GALAXY S5 LTE NEGRO</t>
        </is>
      </c>
      <c r="C1121" s="22" t="n">
        <v>98945</v>
      </c>
    </row>
    <row r="1122">
      <c r="A1122" s="22" t="n">
        <v>98946</v>
      </c>
      <c r="B1122" s="22" t="inlineStr">
        <is>
          <t>GSM ALCATEL POP 2</t>
        </is>
      </c>
      <c r="C1122" s="22" t="n">
        <v>98946</v>
      </c>
    </row>
    <row r="1123">
      <c r="A1123" s="22" t="n">
        <v>98947</v>
      </c>
      <c r="B1123" s="22" t="inlineStr">
        <is>
          <t>VIRT GSM ALCATEL POP 2</t>
        </is>
      </c>
      <c r="C1123" s="22" t="n">
        <v>98947</v>
      </c>
    </row>
    <row r="1124">
      <c r="A1124" s="22" t="n">
        <v>99944</v>
      </c>
      <c r="B1124" s="22" t="inlineStr">
        <is>
          <t>GSM SAMSUNG GALAXY ACE 4 LITE BLANCO</t>
        </is>
      </c>
      <c r="C1124" s="22" t="n">
        <v>99944</v>
      </c>
    </row>
    <row r="1125">
      <c r="A1125" s="22" t="n">
        <v>100944</v>
      </c>
      <c r="B1125" s="22" t="inlineStr">
        <is>
          <t>GSM SAMSUNG GALAXY A3 BLANCO</t>
        </is>
      </c>
      <c r="C1125" s="22" t="n">
        <v>100944</v>
      </c>
    </row>
    <row r="1126">
      <c r="A1126" s="22" t="n">
        <v>100945</v>
      </c>
      <c r="B1126" s="22" t="inlineStr">
        <is>
          <t>VIRT GSM SAMSUNG GALAXY A3 BLANCO</t>
        </is>
      </c>
      <c r="C1126" s="22" t="n">
        <v>100945</v>
      </c>
    </row>
    <row r="1127">
      <c r="A1127" s="22" t="n">
        <v>100946</v>
      </c>
      <c r="B1127" s="22" t="inlineStr">
        <is>
          <t>GSM SAMSUNG GALAXY A3 NEGRO</t>
        </is>
      </c>
      <c r="C1127" s="22" t="n">
        <v>100946</v>
      </c>
    </row>
    <row r="1128">
      <c r="A1128" s="22" t="n">
        <v>100947</v>
      </c>
      <c r="B1128" s="22" t="inlineStr">
        <is>
          <t>VIRT GSM SAMSUNG GALAXY A3 NEGRO</t>
        </is>
      </c>
      <c r="C1128" s="22" t="n">
        <v>100947</v>
      </c>
    </row>
    <row r="1129">
      <c r="A1129" s="22" t="n">
        <v>101944</v>
      </c>
      <c r="B1129" s="22" t="inlineStr">
        <is>
          <t>GSM SAMSUNG GALAXY A5 BLANCO</t>
        </is>
      </c>
      <c r="C1129" s="22" t="n">
        <v>101944</v>
      </c>
    </row>
    <row r="1130">
      <c r="A1130" s="22" t="n">
        <v>101945</v>
      </c>
      <c r="B1130" s="22" t="inlineStr">
        <is>
          <t>VIRT GSM SAMSUNG GALAXY A5 BLANCO</t>
        </is>
      </c>
      <c r="C1130" s="22" t="n">
        <v>101945</v>
      </c>
    </row>
    <row r="1131">
      <c r="A1131" s="22" t="n">
        <v>101946</v>
      </c>
      <c r="B1131" s="22" t="inlineStr">
        <is>
          <t>GSM SAMSUNG GALAXY A5 NEGRO</t>
        </is>
      </c>
      <c r="C1131" s="22" t="n">
        <v>101946</v>
      </c>
    </row>
    <row r="1132">
      <c r="A1132" s="22" t="n">
        <v>101947</v>
      </c>
      <c r="B1132" s="22" t="inlineStr">
        <is>
          <t>VIRT GSM SAMSUNG GALAXY A5 NEGRO</t>
        </is>
      </c>
      <c r="C1132" s="22" t="n">
        <v>101947</v>
      </c>
    </row>
    <row r="1133">
      <c r="A1133" s="22" t="n">
        <v>102944</v>
      </c>
      <c r="B1133" s="22" t="inlineStr">
        <is>
          <t>LISTO PACK GSM SAMSUNG GALAXY ACE 4LITEB</t>
        </is>
      </c>
      <c r="C1133" s="22" t="n">
        <v>102944</v>
      </c>
    </row>
    <row r="1134">
      <c r="A1134" s="22" t="n">
        <v>102945</v>
      </c>
      <c r="B1134" s="22" t="inlineStr">
        <is>
          <t>LISTO PACK GSM SAMSUNG GALAXY ACE 4LITEN</t>
        </is>
      </c>
      <c r="C1134" s="22" t="n">
        <v>102945</v>
      </c>
    </row>
    <row r="1135">
      <c r="A1135" s="22" t="n">
        <v>102946</v>
      </c>
      <c r="B1135" s="22" t="inlineStr">
        <is>
          <t>LISTO PACK GSM ALCATEL POP C3</t>
        </is>
      </c>
      <c r="C1135" s="22" t="n">
        <v>102946</v>
      </c>
    </row>
    <row r="1136">
      <c r="A1136" s="22" t="n">
        <v>102947</v>
      </c>
      <c r="B1136" s="22" t="inlineStr">
        <is>
          <t>LISTO PACK GSM NOKIA LUMIA 530 ROCKET</t>
        </is>
      </c>
      <c r="C1136" s="22" t="n">
        <v>102947</v>
      </c>
    </row>
    <row r="1137">
      <c r="A1137" s="22" t="n">
        <v>103944</v>
      </c>
      <c r="B1137" s="22" t="inlineStr">
        <is>
          <t>GSM APPLE IPHONE 6 16GB PLATA</t>
        </is>
      </c>
      <c r="C1137" s="22" t="n">
        <v>103944</v>
      </c>
    </row>
    <row r="1138">
      <c r="A1138" s="22" t="n">
        <v>103946</v>
      </c>
      <c r="B1138" s="22" t="inlineStr">
        <is>
          <t>GSM SAMSUNG GALAXY GRAND PRIME BLANCO</t>
        </is>
      </c>
      <c r="C1138" s="22" t="n">
        <v>103946</v>
      </c>
    </row>
    <row r="1139">
      <c r="A1139" s="22" t="n">
        <v>103947</v>
      </c>
      <c r="B1139" s="22" t="inlineStr">
        <is>
          <t>VIRT GSM SAMSUNG GALAXY GRAND PRIME BLAN</t>
        </is>
      </c>
      <c r="C1139" s="22" t="n">
        <v>103947</v>
      </c>
    </row>
    <row r="1140">
      <c r="A1140" s="22" t="n">
        <v>103948</v>
      </c>
      <c r="B1140" s="22" t="inlineStr">
        <is>
          <t>GSM SAMSUNG GALAXY GRAND PRIME GRIS</t>
        </is>
      </c>
      <c r="C1140" s="22" t="n">
        <v>103948</v>
      </c>
    </row>
    <row r="1141">
      <c r="A1141" s="22" t="n">
        <v>103949</v>
      </c>
      <c r="B1141" s="22" t="inlineStr">
        <is>
          <t>VIRT GSM SAMSUNG GALAXY GRAND PRIME GRIS</t>
        </is>
      </c>
      <c r="C1141" s="22" t="n">
        <v>103949</v>
      </c>
    </row>
    <row r="1142">
      <c r="A1142" s="22" t="n">
        <v>103950</v>
      </c>
      <c r="B1142" s="22" t="inlineStr">
        <is>
          <t>GSM APPLE IPHONE 6 64GB GRIS</t>
        </is>
      </c>
      <c r="C1142" s="22" t="n">
        <v>103950</v>
      </c>
    </row>
    <row r="1143">
      <c r="A1143" s="22" t="n">
        <v>103952</v>
      </c>
      <c r="B1143" s="22" t="inlineStr">
        <is>
          <t>GSM APPLE IPHONE 6 64GB PLATA</t>
        </is>
      </c>
      <c r="C1143" s="22" t="n">
        <v>103952</v>
      </c>
    </row>
    <row r="1144">
      <c r="A1144" s="22" t="n">
        <v>103954</v>
      </c>
      <c r="B1144" s="22" t="inlineStr">
        <is>
          <t>LISTO PACK GSM ALCATEL POP 2</t>
        </is>
      </c>
      <c r="C1144" s="22" t="n">
        <v>103954</v>
      </c>
    </row>
    <row r="1145">
      <c r="A1145" s="22" t="n">
        <v>104944</v>
      </c>
      <c r="B1145" s="22" t="inlineStr">
        <is>
          <t>GSM LG G3 BEAT</t>
        </is>
      </c>
      <c r="C1145" s="22" t="n">
        <v>104944</v>
      </c>
    </row>
    <row r="1146">
      <c r="A1146" s="22" t="n">
        <v>105944</v>
      </c>
      <c r="B1146" s="22" t="inlineStr">
        <is>
          <t>USIM MULTISIM PREPAGO NUMERADA</t>
        </is>
      </c>
      <c r="C1146" s="22" t="n">
        <v>105944</v>
      </c>
    </row>
    <row r="1147">
      <c r="A1147" s="22" t="n">
        <v>105945</v>
      </c>
      <c r="B1147" s="22" t="inlineStr">
        <is>
          <t>LISTO PACK GSM BMOBILE K340 NEGRO</t>
        </is>
      </c>
      <c r="C1147" s="22" t="n">
        <v>105945</v>
      </c>
    </row>
    <row r="1148">
      <c r="A1148" s="22" t="n">
        <v>106944</v>
      </c>
      <c r="B1148" s="22" t="inlineStr">
        <is>
          <t>GSM NOKIA LUMIA 635 BLANCO</t>
        </is>
      </c>
      <c r="C1148" s="22" t="n">
        <v>106944</v>
      </c>
    </row>
    <row r="1149">
      <c r="A1149" s="22" t="n">
        <v>107946</v>
      </c>
      <c r="B1149" s="22" t="inlineStr">
        <is>
          <t>GSM SONY XPERIA Z3 COMPACT BLANCO</t>
        </is>
      </c>
      <c r="C1149" s="22" t="n">
        <v>107946</v>
      </c>
    </row>
    <row r="1150">
      <c r="A1150" s="22" t="n">
        <v>107947</v>
      </c>
      <c r="B1150" s="22" t="inlineStr">
        <is>
          <t>VIRT GSM SONY XPERIA Z3 COMPACT BLANCO</t>
        </is>
      </c>
      <c r="C1150" s="22" t="n">
        <v>107947</v>
      </c>
    </row>
    <row r="1151">
      <c r="A1151" s="22" t="n">
        <v>108944</v>
      </c>
      <c r="B1151" s="22" t="inlineStr">
        <is>
          <t>GSM SONY XPERIA E3 BLANCO</t>
        </is>
      </c>
      <c r="C1151" s="22" t="n">
        <v>108944</v>
      </c>
    </row>
    <row r="1152">
      <c r="A1152" s="22" t="n">
        <v>108945</v>
      </c>
      <c r="B1152" s="22" t="inlineStr">
        <is>
          <t>VIRT GSM SONY XPERIA E3 BLANCO</t>
        </is>
      </c>
      <c r="C1152" s="22" t="n">
        <v>108945</v>
      </c>
    </row>
    <row r="1153">
      <c r="A1153" s="22" t="n">
        <v>108946</v>
      </c>
      <c r="B1153" s="22" t="inlineStr">
        <is>
          <t>GSM LOCALIZADOR GL-300</t>
        </is>
      </c>
      <c r="C1153" s="22" t="n">
        <v>108946</v>
      </c>
    </row>
    <row r="1154">
      <c r="A1154" s="22" t="n">
        <v>109944</v>
      </c>
      <c r="B1154" s="22" t="inlineStr">
        <is>
          <t>GSM SONY XPERIA M2 BLANCO</t>
        </is>
      </c>
      <c r="C1154" s="22" t="n">
        <v>109944</v>
      </c>
    </row>
    <row r="1155">
      <c r="A1155" s="22" t="n">
        <v>110944</v>
      </c>
      <c r="B1155" s="22" t="inlineStr">
        <is>
          <t>GSM SONY XPERIA E4 NEGRO</t>
        </is>
      </c>
      <c r="C1155" s="22" t="n">
        <v>110944</v>
      </c>
    </row>
    <row r="1156">
      <c r="A1156" s="22" t="n">
        <v>110945</v>
      </c>
      <c r="B1156" s="22" t="inlineStr">
        <is>
          <t>VIRT GSM SONY XPERIA E4 NEGRO</t>
        </is>
      </c>
      <c r="C1156" s="22" t="n">
        <v>110945</v>
      </c>
    </row>
    <row r="1157">
      <c r="A1157" s="22" t="n">
        <v>110946</v>
      </c>
      <c r="B1157" s="22" t="inlineStr">
        <is>
          <t>GSM BMOBILE AX620 NEGRO</t>
        </is>
      </c>
      <c r="C1157" s="22" t="n">
        <v>110946</v>
      </c>
    </row>
    <row r="1158">
      <c r="A1158" s="22" t="n">
        <v>110947</v>
      </c>
      <c r="B1158" s="22" t="inlineStr">
        <is>
          <t>VIRT GSM BMOBILE AX620 NEGRO</t>
        </is>
      </c>
      <c r="C1158" s="22" t="n">
        <v>110947</v>
      </c>
    </row>
    <row r="1159">
      <c r="A1159" s="22" t="n">
        <v>110948</v>
      </c>
      <c r="B1159" s="22" t="inlineStr">
        <is>
          <t>LISTO PACK GSM SONY XPERIA E4 NEGRO</t>
        </is>
      </c>
      <c r="C1159" s="22" t="n">
        <v>110948</v>
      </c>
    </row>
    <row r="1160">
      <c r="A1160" s="22" t="n">
        <v>111944</v>
      </c>
      <c r="B1160" s="22" t="inlineStr">
        <is>
          <t>LISTO PACK GSM HUAWEI ASCEND Y550</t>
        </is>
      </c>
      <c r="C1160" s="22" t="n">
        <v>111944</v>
      </c>
    </row>
    <row r="1161">
      <c r="A1161" s="22" t="n">
        <v>112944</v>
      </c>
      <c r="B1161" s="22" t="inlineStr">
        <is>
          <t>GSM TABLET ALCATEL PIXI 7</t>
        </is>
      </c>
      <c r="C1161" s="22" t="n">
        <v>112944</v>
      </c>
    </row>
    <row r="1162">
      <c r="A1162" s="22" t="n">
        <v>112945</v>
      </c>
      <c r="B1162" s="22" t="inlineStr">
        <is>
          <t>VIRT GSM TABLET ALCATEL PIXI 7</t>
        </is>
      </c>
      <c r="C1162" s="22" t="n">
        <v>112945</v>
      </c>
    </row>
    <row r="1163">
      <c r="A1163" s="22" t="n">
        <v>113944</v>
      </c>
      <c r="B1163" s="22" t="inlineStr">
        <is>
          <t>GSM LTE SONY XPERIA E4G NEGRO</t>
        </is>
      </c>
      <c r="C1163" s="22" t="n">
        <v>113944</v>
      </c>
    </row>
    <row r="1164">
      <c r="A1164" s="22" t="n">
        <v>113945</v>
      </c>
      <c r="B1164" s="22" t="inlineStr">
        <is>
          <t>VIRT GSM LTE SONY XPERIA E4G NEGRO</t>
        </is>
      </c>
      <c r="C1164" s="22" t="n">
        <v>113945</v>
      </c>
    </row>
    <row r="1165">
      <c r="A1165" s="22" t="n">
        <v>113946</v>
      </c>
      <c r="B1165" s="22" t="inlineStr">
        <is>
          <t>GSM LTE SAMSUNG GALAXY S6 NEGRO</t>
        </is>
      </c>
      <c r="C1165" s="22" t="n">
        <v>113946</v>
      </c>
    </row>
    <row r="1166">
      <c r="A1166" s="22" t="n">
        <v>113948</v>
      </c>
      <c r="B1166" s="22" t="inlineStr">
        <is>
          <t>GSM LTE SAMSUNG GALAXY S6 BLANCO</t>
        </is>
      </c>
      <c r="C1166" s="22" t="n">
        <v>113948</v>
      </c>
    </row>
    <row r="1167">
      <c r="A1167" s="22" t="n">
        <v>113950</v>
      </c>
      <c r="B1167" s="22" t="inlineStr">
        <is>
          <t>USIM TUENTI PREPAGO NUMERADA (blister)</t>
        </is>
      </c>
      <c r="C1167" s="22" t="n">
        <v>113950</v>
      </c>
    </row>
    <row r="1168">
      <c r="A1168" s="22" t="n">
        <v>114944</v>
      </c>
      <c r="B1168" s="22" t="inlineStr">
        <is>
          <t>GSM LTETABLETSAMSUNGGALAXYTAB4 7.0BLANCO</t>
        </is>
      </c>
      <c r="C1168" s="22" t="n">
        <v>114944</v>
      </c>
    </row>
    <row r="1169">
      <c r="A1169" s="22" t="n">
        <v>114946</v>
      </c>
      <c r="B1169" s="22" t="inlineStr">
        <is>
          <t>GSM LTE TABLETSAMSUNG GALAXYTAB47.0NEGRO</t>
        </is>
      </c>
      <c r="C1169" s="22" t="n">
        <v>114946</v>
      </c>
    </row>
    <row r="1170">
      <c r="A1170" s="22" t="n">
        <v>114948</v>
      </c>
      <c r="B1170" s="22" t="inlineStr">
        <is>
          <t>GSM LTE TABLET HUAWEI MEDIAPAD T1 8.0</t>
        </is>
      </c>
      <c r="C1170" s="22" t="n">
        <v>114948</v>
      </c>
    </row>
    <row r="1171">
      <c r="A1171" s="22" t="n">
        <v>114950</v>
      </c>
      <c r="B1171" s="22" t="inlineStr">
        <is>
          <t>GSM LTE SAMSUNG GALAXY J1 NEGRO</t>
        </is>
      </c>
      <c r="C1171" s="22" t="n">
        <v>114950</v>
      </c>
    </row>
    <row r="1172">
      <c r="A1172" s="22" t="n">
        <v>114952</v>
      </c>
      <c r="B1172" s="22" t="inlineStr">
        <is>
          <t>GSM LTE SAMSUNG GALAXY J1 BLANCO</t>
        </is>
      </c>
      <c r="C1172" s="22" t="n">
        <v>114952</v>
      </c>
    </row>
    <row r="1173">
      <c r="A1173" s="22" t="n">
        <v>114954</v>
      </c>
      <c r="B1173" s="22" t="inlineStr">
        <is>
          <t>GSM HUAWEI ASCEND Y520</t>
        </is>
      </c>
      <c r="C1173" s="22" t="n">
        <v>114954</v>
      </c>
    </row>
    <row r="1174">
      <c r="A1174" s="22" t="n">
        <v>115944</v>
      </c>
      <c r="B1174" s="22" t="inlineStr">
        <is>
          <t>GSM LTE MODEM HUAWEI MIFI E5377</t>
        </is>
      </c>
      <c r="C1174" s="22" t="n">
        <v>115944</v>
      </c>
    </row>
    <row r="1175">
      <c r="A1175" s="22" t="n">
        <v>1645</v>
      </c>
      <c r="B1175" s="22" t="inlineStr">
        <is>
          <t>MICROSIM 3FF PREPAGO 128K (NUMERADA)</t>
        </is>
      </c>
      <c r="C1175" s="22" t="n">
        <v>1645</v>
      </c>
    </row>
    <row r="1176">
      <c r="A1176" s="22" t="n">
        <v>714</v>
      </c>
      <c r="B1176" s="22" t="inlineStr">
        <is>
          <t>SIMCARD 2FF PREPAGO 128K (NUMERADA)</t>
        </is>
      </c>
      <c r="C1176" s="22" t="n">
        <v>714</v>
      </c>
    </row>
    <row r="1177">
      <c r="A1177" s="22" t="n">
        <v>84948</v>
      </c>
      <c r="B1177" s="22" t="inlineStr">
        <is>
          <t>USIM TUENTI PREPAGO (CELOFÁN)</t>
        </is>
      </c>
      <c r="C1177" s="22" t="n">
        <v>84948</v>
      </c>
    </row>
    <row r="1178">
      <c r="A1178" s="22" t="n">
        <v>84948</v>
      </c>
      <c r="B1178" s="22" t="inlineStr">
        <is>
          <t>USIM TUENTI PREPAGO (SLIDING KITS)</t>
        </is>
      </c>
      <c r="C1178" s="22" t="n">
        <v>84948</v>
      </c>
    </row>
    <row r="1179">
      <c r="A1179" s="22" t="n">
        <v>113950</v>
      </c>
      <c r="B1179" s="22" t="inlineStr">
        <is>
          <t>USIM TUENTI PREPAGO NUMERADA (CELOFÁN)</t>
        </is>
      </c>
      <c r="C1179" s="22" t="n">
        <v>113950</v>
      </c>
    </row>
    <row r="1180">
      <c r="A1180" s="22" t="n">
        <v>113950</v>
      </c>
      <c r="B1180" s="22" t="inlineStr">
        <is>
          <t>USIM TUENTI PREPAGO NUMERADA (SLIDING KITS)</t>
        </is>
      </c>
      <c r="C1180" s="22" t="n">
        <v>113950</v>
      </c>
    </row>
    <row r="1181">
      <c r="A1181" s="22" t="n">
        <v>1534</v>
      </c>
      <c r="B1181" s="22" t="inlineStr">
        <is>
          <t>SIMCARD M2M POSPAGO GEMALTO</t>
        </is>
      </c>
      <c r="C1181" s="22" t="n">
        <v>1534</v>
      </c>
    </row>
    <row r="1182">
      <c r="A1182" s="22" t="n">
        <v>84948</v>
      </c>
      <c r="B1182" s="22" t="inlineStr">
        <is>
          <t>USIM TUENTI PREPAGO (CELOF┴N)</t>
        </is>
      </c>
      <c r="C1182" s="22" t="n">
        <v>84948</v>
      </c>
    </row>
    <row r="1183">
      <c r="A1183" s="22" t="n">
        <v>113950</v>
      </c>
      <c r="B1183" s="22" t="inlineStr">
        <is>
          <t>USIM TUENTI PREPAGO NUMERADA (CELOF┴N)</t>
        </is>
      </c>
      <c r="C1183" s="22" t="n">
        <v>113950</v>
      </c>
    </row>
    <row r="1184">
      <c r="A1184" s="22" t="n">
        <v>82944</v>
      </c>
      <c r="B1184" s="22" t="inlineStr">
        <is>
          <t>USIM GENERICA SIN AUTENTICAR</t>
        </is>
      </c>
      <c r="C1184" s="23" t="n">
        <v>113950</v>
      </c>
    </row>
    <row r="1185">
      <c r="A1185" s="22" t="n">
        <v>96946</v>
      </c>
      <c r="B1185" s="22" t="inlineStr">
        <is>
          <t>SUPER CHIP AUTOSERVICIOS INTERNET(numeradas)</t>
        </is>
      </c>
      <c r="C1185" s="22" t="n">
        <v>96946</v>
      </c>
    </row>
    <row r="1186">
      <c r="A1186" s="22" t="n">
        <v>98948</v>
      </c>
      <c r="B1186" s="22" t="inlineStr">
        <is>
          <t>SIM SUPER CHIP AUTOSERVICIOS (numeradas)</t>
        </is>
      </c>
      <c r="C1186" s="22" t="n">
        <v>98948</v>
      </c>
    </row>
    <row r="1187">
      <c r="A1187" s="22" t="n">
        <v>84948</v>
      </c>
      <c r="B1187" s="22" t="inlineStr">
        <is>
          <t>USIM TUENTI (blister)</t>
        </is>
      </c>
      <c r="C1187" s="22" t="inlineStr">
        <is>
          <t>SIN CODIGO</t>
        </is>
      </c>
    </row>
    <row r="1188">
      <c r="A1188" s="22" t="n">
        <v>84948</v>
      </c>
      <c r="B1188" s="22" t="inlineStr">
        <is>
          <t>USIM PREPAGO TUENTI CELOFAN NO NUMERADA PORTABILIDAD</t>
        </is>
      </c>
      <c r="C1188" s="22" t="n">
        <v>84948</v>
      </c>
    </row>
    <row r="1189">
      <c r="A1189" s="22" t="n">
        <v>84948</v>
      </c>
      <c r="B1189" s="22" t="inlineStr">
        <is>
          <t>USIM PREPAGO TUENTI BLISTER NO NUMERADA PORTABILIDAD</t>
        </is>
      </c>
      <c r="C1189" s="22" t="n">
        <v>84948</v>
      </c>
    </row>
    <row r="1190">
      <c r="A1190" s="22" t="n">
        <v>140948</v>
      </c>
      <c r="B1190" s="22" t="inlineStr">
        <is>
          <t>CHIP PREPAGO AUTOSERVICIOS TURISTA numerada</t>
        </is>
      </c>
      <c r="C1190" s="22" t="n">
        <v>140948</v>
      </c>
    </row>
    <row r="1191">
      <c r="A1191" s="22" t="n">
        <v>96946</v>
      </c>
      <c r="B1191" s="23" t="inlineStr">
        <is>
          <t>SUPER CHIP AUTOSERVICIOS DOBLE MEGAS (NUMERADAS)</t>
        </is>
      </c>
      <c r="C1191" s="22" t="n">
        <v>96946</v>
      </c>
    </row>
    <row r="1192">
      <c r="A1192" s="22" t="n"/>
      <c r="B1192" s="22" t="inlineStr">
        <is>
          <t>USIM PREPAGO NUMERADA BLISTER AUTOSERVICIOS TURISTA RETAIL</t>
        </is>
      </c>
      <c r="C1192" s="22" t="n"/>
    </row>
    <row r="1193">
      <c r="A1193" s="22" t="n"/>
      <c r="B1193" s="22" t="inlineStr">
        <is>
          <t>USIM MULTISIM PREPAGO NUMERADA CANAL DIRECTO (DISASHOP)</t>
        </is>
      </c>
      <c r="C1193" s="22" t="n"/>
    </row>
    <row r="1194">
      <c r="A1194" s="22" t="n"/>
      <c r="B1194" s="22" t="inlineStr">
        <is>
          <t>SIMCARD M2M</t>
        </is>
      </c>
      <c r="C1194" s="22" t="n">
        <v>1534</v>
      </c>
    </row>
    <row r="1195">
      <c r="A1195" s="22" t="n">
        <v>98948</v>
      </c>
      <c r="B1195" s="22" t="inlineStr">
        <is>
          <t>USIM NUMERADA COMBO BLISTER AUTOSERVICIO RETAIL + RASCA</t>
        </is>
      </c>
      <c r="C1195" s="22" t="n">
        <v>98948</v>
      </c>
    </row>
    <row r="1196">
      <c r="A1196" s="22" t="n">
        <v>1534</v>
      </c>
      <c r="B1196" s="22" t="inlineStr">
        <is>
          <t>SIMCARD M2M IDEMIA (OBERTHUR)</t>
        </is>
      </c>
      <c r="C1196" s="22" t="n">
        <v>1534</v>
      </c>
    </row>
    <row r="1197">
      <c r="A1197" s="22" t="n">
        <v>113950</v>
      </c>
      <c r="B1197" s="22" t="inlineStr">
        <is>
          <t>Usim Tuenti Prepago Blíster Numerada $ 5.00</t>
        </is>
      </c>
      <c r="C1197" s="22" t="n">
        <v>113950</v>
      </c>
    </row>
    <row r="1198">
      <c r="A1198" s="22" t="n">
        <v>113950</v>
      </c>
      <c r="B1198" s="22" t="inlineStr">
        <is>
          <t>Usim Tuenti Prepago Celofán Numerada $5 SinSticker</t>
        </is>
      </c>
      <c r="C1198" s="22" t="n">
        <v>113950</v>
      </c>
    </row>
    <row r="1199">
      <c r="A1199" s="22" t="n">
        <v>113950</v>
      </c>
      <c r="B1199" s="22" t="inlineStr">
        <is>
          <t>Usim Tuenti Prepago Celofán Numerada $ 5.00</t>
        </is>
      </c>
      <c r="C1199" s="22" t="n">
        <v>113950</v>
      </c>
    </row>
    <row r="1200">
      <c r="A1200" s="22" t="n">
        <v>113950</v>
      </c>
      <c r="B1200" s="22" t="inlineStr">
        <is>
          <t>Usim Tuenti Prepago Blíster Numerada $ 10.00</t>
        </is>
      </c>
      <c r="C1200" s="22" t="n">
        <v>113950</v>
      </c>
    </row>
    <row r="1201">
      <c r="A1201" s="22" t="n">
        <v>113950</v>
      </c>
      <c r="B1201" s="22" t="inlineStr">
        <is>
          <t>Usim Tuenti Prepago Celofán Numerada $ 10.00</t>
        </is>
      </c>
      <c r="C1201" s="22" t="n">
        <v>113950</v>
      </c>
    </row>
    <row r="1202">
      <c r="A1202" s="22" t="n">
        <v>113950</v>
      </c>
      <c r="B1202" s="22" t="inlineStr">
        <is>
          <t>Usim Tuenti Prepago Blíster Numerada $ 15.00</t>
        </is>
      </c>
      <c r="C1202" s="22" t="n">
        <v>113950</v>
      </c>
    </row>
    <row r="1203">
      <c r="A1203" s="22" t="n">
        <v>113950</v>
      </c>
      <c r="B1203" s="22" t="inlineStr">
        <is>
          <t>Usim Tuenti Prepago Celofán Numerada $ 15.00</t>
        </is>
      </c>
      <c r="C1203" s="22" t="n">
        <v>113950</v>
      </c>
    </row>
    <row r="1204">
      <c r="A1204" s="22" t="n">
        <v>113950</v>
      </c>
      <c r="B1204" s="22" t="inlineStr">
        <is>
          <t>Usim Tuenti Prepago Blíster Numerada $ 20.00</t>
        </is>
      </c>
      <c r="C1204" s="22" t="n">
        <v>113950</v>
      </c>
    </row>
    <row r="1205">
      <c r="A1205" s="22" t="n">
        <v>113950</v>
      </c>
      <c r="B1205" s="22" t="inlineStr">
        <is>
          <t>Usim Tuenti Prepago Celofán Numerada $ 20.00</t>
        </is>
      </c>
      <c r="C1205" s="22" t="n">
        <v>113950</v>
      </c>
    </row>
    <row r="1206">
      <c r="A1206" s="22" t="n">
        <v>2324</v>
      </c>
      <c r="B1206" s="22" t="inlineStr">
        <is>
          <t>SIMCARD DESTRUCCIÓN</t>
        </is>
      </c>
      <c r="C1206" s="22" t="n">
        <v>2324</v>
      </c>
    </row>
    <row r="1207">
      <c r="A1207" s="22" t="n">
        <v>1160</v>
      </c>
      <c r="B1207" s="22" t="inlineStr">
        <is>
          <t>SIMCARD PREPAGO PROMO SALDO $0</t>
        </is>
      </c>
      <c r="C1207" s="22" t="n">
        <v>1160</v>
      </c>
    </row>
    <row r="1208">
      <c r="A1208" s="22" t="n">
        <v>2511</v>
      </c>
      <c r="B1208" s="22" t="inlineStr">
        <is>
          <t>Usim Tuenti Prepago Celofán Numerada Freemium$3.00</t>
        </is>
      </c>
      <c r="C1208" s="22" t="n">
        <v>113950</v>
      </c>
    </row>
    <row r="1209">
      <c r="A1209" s="22" t="n">
        <v>1534</v>
      </c>
      <c r="B1209" s="22" t="inlineStr">
        <is>
          <t>SIM M2M INDUSTRIAL 2FF</t>
        </is>
      </c>
      <c r="C1209" s="22" t="n">
        <v>1534</v>
      </c>
    </row>
    <row r="1210">
      <c r="A1210" s="22" t="n">
        <v>1534</v>
      </c>
      <c r="B1210" s="22" t="inlineStr">
        <is>
          <t>SIM M2M INDUSTRIAL 3FF</t>
        </is>
      </c>
      <c r="C1210" s="22" t="n">
        <v>1534</v>
      </c>
    </row>
    <row r="1211">
      <c r="A1211" s="22" t="n">
        <v>1534</v>
      </c>
      <c r="B1211" s="23" t="inlineStr">
        <is>
          <t>SIM M2M INDUSTRIAL 4FF</t>
        </is>
      </c>
      <c r="C1211" s="22" t="n">
        <v>1534</v>
      </c>
    </row>
    <row r="1212">
      <c r="A1212" s="22" t="n">
        <v>162046</v>
      </c>
      <c r="B1212" s="22" t="inlineStr">
        <is>
          <t>Simcard M2M 2FF LTE</t>
        </is>
      </c>
      <c r="C1212" s="22" t="n">
        <v>162046</v>
      </c>
    </row>
    <row r="1213">
      <c r="A1213" s="22" t="n">
        <v>162047</v>
      </c>
      <c r="B1213" s="22" t="inlineStr">
        <is>
          <t>Simcard M2M 3FF LTE</t>
        </is>
      </c>
      <c r="C1213" s="22" t="n">
        <v>162047</v>
      </c>
    </row>
    <row r="1214">
      <c r="A1214" s="22" t="n">
        <v>162048</v>
      </c>
      <c r="B1214" s="22" t="inlineStr">
        <is>
          <t>Simcard M2M 4FF LTE</t>
        </is>
      </c>
      <c r="C1214" s="22" t="n">
        <v>162048</v>
      </c>
    </row>
    <row r="1215">
      <c r="A1215" s="22" t="n">
        <v>162053</v>
      </c>
      <c r="B1215" s="22" t="inlineStr">
        <is>
          <t>CHIP AUTOSERVICIOS COMBO $5</t>
        </is>
      </c>
      <c r="C1215" s="22" t="n">
        <v>162053</v>
      </c>
    </row>
    <row r="1216">
      <c r="A1216" s="22" t="n">
        <v>162054</v>
      </c>
      <c r="B1216" s="22" t="inlineStr">
        <is>
          <t>USIM PRE-ACTIVA COMBO$5</t>
        </is>
      </c>
      <c r="C1216" s="22" t="n">
        <v>162054</v>
      </c>
    </row>
    <row r="1217">
      <c r="A1217" s="22" t="n">
        <v>162054</v>
      </c>
      <c r="B1217" s="22" t="inlineStr">
        <is>
          <t>USIM PRE-ACTIVA COMBO$5 BLISTER M PLAY TV GRATIS</t>
        </is>
      </c>
      <c r="C1217" s="22" t="n">
        <v>162054</v>
      </c>
    </row>
    <row r="1218">
      <c r="A1218" s="22" t="n">
        <v>162082</v>
      </c>
      <c r="B1218" s="22" t="inlineStr">
        <is>
          <t>SIM KITE M2M 2FF STANDARD</t>
        </is>
      </c>
      <c r="C1218" s="22" t="n">
        <v>162082</v>
      </c>
    </row>
    <row r="1219">
      <c r="A1219" s="22" t="n">
        <v>162083</v>
      </c>
      <c r="B1219" s="22" t="inlineStr">
        <is>
          <t>SIM KITE M2M 2FF HIGH TEMP</t>
        </is>
      </c>
      <c r="C1219" s="22" t="n">
        <v>162083</v>
      </c>
    </row>
    <row r="1220">
      <c r="A1220" s="22" t="n">
        <v>162084</v>
      </c>
      <c r="B1220" s="22" t="inlineStr">
        <is>
          <t>SIM KITE M2M 3FF HIGH TEMP</t>
        </is>
      </c>
      <c r="C1220" s="22" t="n">
        <v>162084</v>
      </c>
    </row>
    <row r="1221">
      <c r="A1221" s="22" t="n">
        <v>162085</v>
      </c>
      <c r="B1221" s="22" t="inlineStr">
        <is>
          <t>SIM KITE M2M 3FF INDUSTRIAL</t>
        </is>
      </c>
      <c r="C1221" s="22" t="n">
        <v>162085</v>
      </c>
    </row>
    <row r="1222">
      <c r="A1222" s="22" t="n">
        <v>162086</v>
      </c>
      <c r="B1222" s="22" t="inlineStr">
        <is>
          <t>SIM KITE M2M 4FF</t>
        </is>
      </c>
      <c r="C1222" s="22" t="n">
        <v>162086</v>
      </c>
    </row>
    <row r="1223">
      <c r="A1223" s="22" t="n">
        <v>162114</v>
      </c>
      <c r="B1223" s="22" t="inlineStr">
        <is>
          <t>USIM AKI</t>
        </is>
      </c>
      <c r="C1223" s="22" t="n">
        <v>162114</v>
      </c>
    </row>
    <row r="1224">
      <c r="A1224" s="22" t="n">
        <v>2750</v>
      </c>
      <c r="B1224" s="22" t="inlineStr">
        <is>
          <t>USIM NUMERADA AKIMOVIL</t>
        </is>
      </c>
      <c r="C1224" s="22" t="n">
        <v>2750</v>
      </c>
    </row>
    <row r="1225">
      <c r="A1225" s="22" t="n">
        <v>2751</v>
      </c>
      <c r="B1225" s="22" t="inlineStr">
        <is>
          <t>USIM PORTABILIDAD AKIMOVIL</t>
        </is>
      </c>
      <c r="C1225" s="22" t="n">
        <v>2751</v>
      </c>
    </row>
    <row r="1226">
      <c r="A1226" s="22" t="n">
        <v>2752</v>
      </c>
      <c r="B1226" s="22" t="inlineStr">
        <is>
          <t>USIM REPOSICION AKIMOVIL</t>
        </is>
      </c>
      <c r="C1226" s="22" t="n">
        <v>2752</v>
      </c>
    </row>
    <row r="1227">
      <c r="A1227" s="22" t="n">
        <v>162113</v>
      </c>
      <c r="B1227" s="22" t="inlineStr">
        <is>
          <t>USIM MAXI</t>
        </is>
      </c>
      <c r="C1227" s="22" t="n">
        <v>162113</v>
      </c>
    </row>
    <row r="1228">
      <c r="A1228" s="22" t="n">
        <v>2747</v>
      </c>
      <c r="B1228" s="22" t="inlineStr">
        <is>
          <t>USIM NUMERADA MAXIPLUS</t>
        </is>
      </c>
      <c r="C1228" s="22" t="n">
        <v>2747</v>
      </c>
    </row>
    <row r="1229">
      <c r="A1229" s="22" t="n">
        <v>2748</v>
      </c>
      <c r="B1229" s="22" t="inlineStr">
        <is>
          <t>USIM PORTABILIDAD MAXIPLUS</t>
        </is>
      </c>
      <c r="C1229" s="22" t="n">
        <v>2748</v>
      </c>
    </row>
    <row r="1230">
      <c r="A1230" s="22" t="n">
        <v>2749</v>
      </c>
      <c r="B1230" s="22" t="inlineStr">
        <is>
          <t>USIM REPOSICION MAXIPLUS</t>
        </is>
      </c>
      <c r="C1230" s="22" t="n">
        <v>2749</v>
      </c>
    </row>
    <row r="1231">
      <c r="A1231" s="22" t="n">
        <v>162089</v>
      </c>
      <c r="B1231" s="22" t="inlineStr">
        <is>
          <t>CHIP PREPAGO $5 AUTOSERVICIO</t>
        </is>
      </c>
      <c r="C1231" s="22" t="n">
        <v>162089</v>
      </c>
    </row>
    <row r="1232">
      <c r="A1232" s="22" t="n">
        <v>162090</v>
      </c>
      <c r="B1232" s="22" t="inlineStr">
        <is>
          <t>CHIP PREPAGO $5 NUMERADO</t>
        </is>
      </c>
      <c r="C1232" s="22" t="n">
        <v>162090</v>
      </c>
    </row>
    <row r="1233">
      <c r="A1233" s="22" t="n">
        <v>162091</v>
      </c>
      <c r="B1233" s="22" t="inlineStr">
        <is>
          <t>CHIP PREPAGO $3 AUTOSERVICIO</t>
        </is>
      </c>
      <c r="C1233" s="22" t="n">
        <v>162091</v>
      </c>
    </row>
    <row r="1234">
      <c r="A1234" s="22" t="n">
        <v>162092</v>
      </c>
      <c r="B1234" s="22" t="inlineStr">
        <is>
          <t>CHIP PREPAGO $3 NUMERADO</t>
        </is>
      </c>
      <c r="C1234" s="22" t="n">
        <v>162092</v>
      </c>
    </row>
    <row r="1235">
      <c r="A1235" s="22" t="n">
        <v>162046</v>
      </c>
      <c r="B1235" s="22" t="inlineStr">
        <is>
          <t>SIMCARD M2M 2FF LTE</t>
        </is>
      </c>
      <c r="C1235" s="22" t="n">
        <v>2665</v>
      </c>
    </row>
    <row r="1236">
      <c r="A1236" s="22" t="n">
        <v>162048</v>
      </c>
      <c r="B1236" s="22" t="inlineStr">
        <is>
          <t>SIMCARD M2M 4FF LTE</t>
        </is>
      </c>
      <c r="C1236" s="22" t="n">
        <v>2666</v>
      </c>
    </row>
    <row r="1237">
      <c r="A1237" s="22" t="n">
        <v>2897</v>
      </c>
      <c r="B1237" s="22" t="inlineStr">
        <is>
          <t>DISTRIBUCION NUMERADA</t>
        </is>
      </c>
      <c r="C1237" s="22" t="n">
        <v>105944</v>
      </c>
    </row>
    <row r="1238">
      <c r="A1238" s="22" t="n">
        <v>162119</v>
      </c>
      <c r="B1238" s="22" t="inlineStr">
        <is>
          <t>ESIM EVOUCHERS CODE QR</t>
        </is>
      </c>
      <c r="C1238" s="22" t="n">
        <v>162119</v>
      </c>
    </row>
    <row r="1239">
      <c r="A1239" s="22" t="n">
        <v>162120</v>
      </c>
      <c r="B1239" s="22" t="inlineStr">
        <is>
          <t>HALF SIM MOVISTAR</t>
        </is>
      </c>
      <c r="C1239" s="22" t="n">
        <v>162120</v>
      </c>
    </row>
    <row r="1240">
      <c r="A1240" s="22" t="n">
        <v>162146</v>
      </c>
      <c r="B1240" s="22" t="inlineStr">
        <is>
          <t>USIM MULTISIM MOVISTAR</t>
        </is>
      </c>
      <c r="C1240" s="22" t="n">
        <v>162146</v>
      </c>
    </row>
    <row r="1241">
      <c r="A1241" s="22" t="n">
        <v>162141</v>
      </c>
      <c r="B1241" s="22" t="inlineStr">
        <is>
          <t>HALFSIM MOVISTAR SIN AUTENTICAR</t>
        </is>
      </c>
      <c r="C1241" s="22" t="n">
        <v>162141</v>
      </c>
    </row>
    <row r="1242">
      <c r="A1242" s="22" t="n">
        <v>162142</v>
      </c>
      <c r="B1242" s="22" t="inlineStr">
        <is>
          <t>HALFSIM TUENTI SIN AUTENTICAR</t>
        </is>
      </c>
      <c r="C1242" s="22" t="n">
        <v>162142</v>
      </c>
    </row>
    <row r="1243">
      <c r="A1243" s="22" t="n">
        <v>1</v>
      </c>
      <c r="B1243" s="22" t="inlineStr">
        <is>
          <t>SIMCARD PORTABILIDAD PREPAGO</t>
        </is>
      </c>
      <c r="C1243" s="22" t="n">
        <v>1</v>
      </c>
    </row>
    <row r="1244">
      <c r="A1244" s="22" t="inlineStr">
        <is>
          <t>(en blanco)</t>
        </is>
      </c>
      <c r="B1244" s="22" t="inlineStr">
        <is>
          <t>MICROSIM 3FF PREPAGO PROMO SALDO $0 (NUMERA) 128K</t>
        </is>
      </c>
      <c r="C1244" s="22" t="inlineStr">
        <is>
          <t>(en blanco)</t>
        </is>
      </c>
    </row>
    <row r="1245">
      <c r="A1245" s="22" t="n">
        <v>162146</v>
      </c>
      <c r="B1245" s="22" t="inlineStr">
        <is>
          <t>USIM MULTISIM MOVISTAR</t>
        </is>
      </c>
      <c r="C1245" s="22" t="n">
        <v>162146</v>
      </c>
    </row>
    <row r="1246">
      <c r="A1246" s="22" t="n">
        <v>162148</v>
      </c>
      <c r="B1246" s="22" t="inlineStr">
        <is>
          <t>SIMCARD M2M 3FF LTE</t>
        </is>
      </c>
      <c r="C1246" s="22" t="n">
        <v>162148</v>
      </c>
    </row>
    <row r="1247">
      <c r="A1247" s="22" t="n">
        <v>162142</v>
      </c>
      <c r="B1247" s="3" t="inlineStr">
        <is>
          <t>Halfsim Tuenti Prepago Celofán Numerada $ 5.00</t>
        </is>
      </c>
      <c r="C1247" s="22" t="n">
        <v>162142</v>
      </c>
    </row>
    <row r="1248">
      <c r="A1248" s="22" t="n">
        <v>162142</v>
      </c>
      <c r="B1248" s="22" t="inlineStr">
        <is>
          <t>HALF SIM TUENTI SIN AUTENTICAR</t>
        </is>
      </c>
      <c r="C1248" s="22" t="n">
        <v>162142</v>
      </c>
    </row>
    <row r="1249">
      <c r="A1249" s="22" t="n">
        <v>162121</v>
      </c>
      <c r="B1249" s="22" t="inlineStr">
        <is>
          <t>HALFSIM TUENTI</t>
        </is>
      </c>
      <c r="C1249" s="22" t="n">
        <v>162121</v>
      </c>
    </row>
    <row r="1250">
      <c r="A1250" s="22" t="n">
        <v>162143</v>
      </c>
      <c r="B1250" s="22" t="inlineStr">
        <is>
          <t>HALFSIM M2M 2FF LTE SIN AUTENTICAR</t>
        </is>
      </c>
      <c r="C1250" s="22" t="n">
        <v>162143</v>
      </c>
    </row>
    <row r="1251">
      <c r="A1251" s="22" t="n">
        <v>162144</v>
      </c>
      <c r="B1251" s="22" t="inlineStr">
        <is>
          <t>HALFSIM M2M 3FF LTE SIN AUTENTICAR</t>
        </is>
      </c>
      <c r="C1251" s="22" t="n">
        <v>162144</v>
      </c>
    </row>
    <row r="1252">
      <c r="A1252" s="22" t="n">
        <v>162142</v>
      </c>
      <c r="B1252" s="22" t="inlineStr">
        <is>
          <t>HalfsimTuenti PrepagoCelofanNumerada $5sin sticker</t>
        </is>
      </c>
      <c r="C1252" s="22" t="n">
        <v>162142</v>
      </c>
    </row>
    <row r="1253">
      <c r="A1253" s="22" t="n">
        <v>162142</v>
      </c>
      <c r="B1253" s="22" t="inlineStr">
        <is>
          <t>Halfsim Tuenti Prepago Celofán Numerada $10.00</t>
        </is>
      </c>
      <c r="C1253" s="22" t="n">
        <v>162142</v>
      </c>
    </row>
    <row r="1254">
      <c r="A1254" s="22" t="n">
        <v>162142</v>
      </c>
      <c r="B1254" s="22" t="inlineStr">
        <is>
          <t>Halfsim Tuenti Prepago Celofán Numerada $20.00</t>
        </is>
      </c>
      <c r="C1254" s="22" t="n">
        <v>162142</v>
      </c>
    </row>
    <row r="1255">
      <c r="A1255" s="22" t="n">
        <v>162146</v>
      </c>
      <c r="B1255" s="22" t="inlineStr">
        <is>
          <t>USIM CHIP PREPAGO WIFI MOVIL $5 AUTOSERVICIO</t>
        </is>
      </c>
      <c r="C1255" s="22" t="n">
        <v>162146</v>
      </c>
    </row>
    <row r="1256">
      <c r="A1256" s="22" t="n">
        <v>162142</v>
      </c>
      <c r="B1256" s="22" t="inlineStr">
        <is>
          <t>Halfsim Tuenti Prepago Celofán Numerada $25.00</t>
        </is>
      </c>
      <c r="C1256" s="22" t="n">
        <v>162142</v>
      </c>
    </row>
    <row r="1257">
      <c r="A1257" s="22" t="n">
        <v>162142</v>
      </c>
      <c r="B1257" s="22" t="inlineStr">
        <is>
          <t xml:space="preserve">Halfsim Tuenti Prepago Celofán Numerada $10.00 </t>
        </is>
      </c>
      <c r="C1257" s="22" t="n">
        <v>162142</v>
      </c>
    </row>
    <row r="1258">
      <c r="A1258" s="22" t="n">
        <v>162121</v>
      </c>
      <c r="B1258" s="22" t="inlineStr">
        <is>
          <t>HALFSIM TUENTI CELOFAN PORTABILIDAD</t>
        </is>
      </c>
      <c r="C1258" s="22" t="n">
        <v>162121</v>
      </c>
    </row>
    <row r="1259">
      <c r="A1259" s="22" t="n">
        <v>162121</v>
      </c>
      <c r="B1259" s="22" t="inlineStr">
        <is>
          <t>HALFSIM TUENTI CELOFAN REPOSICION</t>
        </is>
      </c>
      <c r="C1259" s="22" t="n">
        <v>162121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Hoja7">
    <tabColor rgb="FF7030A0"/>
    <outlinePr summaryBelow="1" summaryRight="1"/>
    <pageSetUpPr/>
  </sheetPr>
  <dimension ref="A1:J196"/>
  <sheetViews>
    <sheetView workbookViewId="0">
      <selection activeCell="G11" sqref="G11"/>
    </sheetView>
  </sheetViews>
  <sheetFormatPr baseColWidth="10" defaultColWidth="11.44140625" defaultRowHeight="10.2"/>
  <cols>
    <col collapsed="1" width="55.44140625" customWidth="1" style="2" min="1" max="2"/>
    <col collapsed="1" width="11.44140625" customWidth="1" style="2" min="3" max="6"/>
    <col collapsed="1" width="14.33203125" bestFit="1" customWidth="1" style="2" min="7" max="7"/>
    <col collapsed="1" width="11.44140625" customWidth="1" style="2" min="8" max="8"/>
    <col collapsed="1" width="18.33203125" bestFit="1" customWidth="1" style="2" min="9" max="9"/>
    <col collapsed="1" width="15.109375" customWidth="1" style="2" min="10" max="10"/>
    <col collapsed="1" width="11.44140625" customWidth="1" style="2" min="11" max="16384"/>
  </cols>
  <sheetData>
    <row r="1">
      <c r="A1" s="11" t="inlineStr">
        <is>
          <t>REFERENCIA SICSA</t>
        </is>
      </c>
      <c r="B1" s="12" t="inlineStr">
        <is>
          <t>REFERENCIA SCL</t>
        </is>
      </c>
      <c r="F1" s="8" t="inlineStr">
        <is>
          <t>CANAL</t>
        </is>
      </c>
      <c r="G1" s="9" t="inlineStr">
        <is>
          <t>CANAL 2</t>
        </is>
      </c>
      <c r="I1" s="1" t="inlineStr">
        <is>
          <t>ALMACEN</t>
        </is>
      </c>
    </row>
    <row r="2">
      <c r="A2" s="6" t="inlineStr">
        <is>
          <t>MICROSIM 3FF POSPAGO 128K</t>
        </is>
      </c>
      <c r="B2" s="6" t="inlineStr">
        <is>
          <t>MICROSIM 3FF POSPAGO 128K</t>
        </is>
      </c>
      <c r="F2" s="6" t="inlineStr">
        <is>
          <t>Indirecto</t>
        </is>
      </c>
      <c r="G2" s="6" t="inlineStr">
        <is>
          <t>CANAL INDIRECTO</t>
        </is>
      </c>
      <c r="I2" s="3" t="inlineStr">
        <is>
          <t>Bodega Cuarentena</t>
        </is>
      </c>
      <c r="J2" s="4" t="inlineStr">
        <is>
          <t>NO DISPONIBLE</t>
        </is>
      </c>
    </row>
    <row r="3">
      <c r="A3" s="6" t="inlineStr">
        <is>
          <t>MICROSIM 3FF PREPAGO 128K</t>
        </is>
      </c>
      <c r="B3" s="6" t="inlineStr">
        <is>
          <t>MICROSIM 3FF PREPAGO 128K</t>
        </is>
      </c>
      <c r="F3" s="6" t="inlineStr">
        <is>
          <t>Tienda Virtual</t>
        </is>
      </c>
      <c r="G3" s="6" t="inlineStr">
        <is>
          <t>CANAL INDIRECTO</t>
        </is>
      </c>
      <c r="I3" s="3" t="inlineStr">
        <is>
          <t>Bodega Produccion</t>
        </is>
      </c>
      <c r="J3" s="4" t="inlineStr">
        <is>
          <t>DISPONIBLE</t>
        </is>
      </c>
    </row>
    <row r="4">
      <c r="A4" s="6" t="inlineStr">
        <is>
          <t>MICROSIM 3FF PREPAGO PROMO SALDO $0 (NUMERADA) 128K</t>
        </is>
      </c>
      <c r="B4" s="6" t="inlineStr">
        <is>
          <t>MICROSIM 3FF PREPAGO 128K (NUMERADA)</t>
        </is>
      </c>
      <c r="F4" s="6" t="inlineStr">
        <is>
          <t>Retail</t>
        </is>
      </c>
      <c r="G4" s="6" t="inlineStr">
        <is>
          <t>CANAL INDIRECTO</t>
        </is>
      </c>
      <c r="I4" s="3" t="inlineStr">
        <is>
          <t>Bodega Servicio Técnico</t>
        </is>
      </c>
      <c r="J4" s="4" t="inlineStr">
        <is>
          <t>NO DISPONIBLE</t>
        </is>
      </c>
    </row>
    <row r="5">
      <c r="A5" s="6" t="inlineStr">
        <is>
          <t>MICROSIM 3FF PREPAGO PROMO SALDO $3 (NUMERADA) 128K</t>
        </is>
      </c>
      <c r="B5" s="6" t="inlineStr">
        <is>
          <t>MICROSIM 3FF PREPAGO 128K (NUMERADA)</t>
        </is>
      </c>
      <c r="F5" s="6" t="inlineStr">
        <is>
          <t>Directo</t>
        </is>
      </c>
      <c r="G5" s="2" t="inlineStr">
        <is>
          <t>CANAL DIRECTO</t>
        </is>
      </c>
      <c r="I5" s="3" t="inlineStr">
        <is>
          <t>Bunker Tarjetas</t>
        </is>
      </c>
      <c r="J5" s="4" t="inlineStr">
        <is>
          <t>DISPONIBLE</t>
        </is>
      </c>
    </row>
    <row r="6">
      <c r="A6" s="6" t="inlineStr">
        <is>
          <t>MICROSIM PORTABILIDAD 3FF POSPAGO 128K</t>
        </is>
      </c>
      <c r="B6" s="6" t="inlineStr">
        <is>
          <t>MICROSIM 3FF POSPAGO 128K</t>
        </is>
      </c>
      <c r="F6" s="5" t="inlineStr">
        <is>
          <t>Cliente Final</t>
        </is>
      </c>
      <c r="G6" s="6" t="inlineStr">
        <is>
          <t>CANAL INDIRECTO</t>
        </is>
      </c>
      <c r="I6" s="3" t="inlineStr">
        <is>
          <t>Devolucion</t>
        </is>
      </c>
      <c r="J6" s="4" t="inlineStr">
        <is>
          <t>NO DISPONIBLE</t>
        </is>
      </c>
    </row>
    <row r="7">
      <c r="A7" s="6" t="inlineStr">
        <is>
          <t>MICROSIM REPOSICION 3FF POSPAGO 128K</t>
        </is>
      </c>
      <c r="B7" s="6" t="inlineStr">
        <is>
          <t>MICROSIM 3FF POSPAGO 128K</t>
        </is>
      </c>
      <c r="F7" s="2" t="inlineStr">
        <is>
          <t>CANAL ONLINE</t>
        </is>
      </c>
      <c r="G7" s="2" t="inlineStr">
        <is>
          <t>CANAL DIRECTO</t>
        </is>
      </c>
      <c r="I7" s="3" t="inlineStr">
        <is>
          <t>Devolucion Delivery</t>
        </is>
      </c>
      <c r="J7" s="4" t="inlineStr">
        <is>
          <t>NO DISPONIBLE</t>
        </is>
      </c>
    </row>
    <row r="8">
      <c r="A8" s="6" t="inlineStr">
        <is>
          <t>MINISIMCARD CUT POSPAGO</t>
        </is>
      </c>
      <c r="B8" s="6" t="inlineStr">
        <is>
          <t>MICROSIM 3FF POSPAGO</t>
        </is>
      </c>
      <c r="F8" s="2" t="inlineStr">
        <is>
          <t>BTB</t>
        </is>
      </c>
      <c r="G8" s="2" t="inlineStr">
        <is>
          <t>CANAL DIRECTO</t>
        </is>
      </c>
      <c r="I8" s="3" t="inlineStr">
        <is>
          <t>Matriz /tarjetas</t>
        </is>
      </c>
      <c r="J8" s="4" t="inlineStr">
        <is>
          <t>DISPONIBLE</t>
        </is>
      </c>
    </row>
    <row r="9">
      <c r="A9" s="6" t="inlineStr">
        <is>
          <t>NANO SIMCARD 128K 4FF POSPAGO</t>
        </is>
      </c>
      <c r="B9" s="6" t="inlineStr">
        <is>
          <t>NANO SIMCARD 4FF POSPAGO 128K</t>
        </is>
      </c>
      <c r="F9" s="2" t="inlineStr">
        <is>
          <t>CONSORCIO SEGURIDAD</t>
        </is>
      </c>
      <c r="G9" s="2" t="inlineStr">
        <is>
          <t>CANAL DIRECTO</t>
        </is>
      </c>
      <c r="I9" s="3" t="inlineStr">
        <is>
          <t>Scrap</t>
        </is>
      </c>
      <c r="J9" s="4" t="inlineStr">
        <is>
          <t>NO DISPONIBLE</t>
        </is>
      </c>
    </row>
    <row r="10">
      <c r="A10" s="6" t="inlineStr">
        <is>
          <t>NANO SIMCARD 4FF POSPAGO 128K</t>
        </is>
      </c>
      <c r="B10" s="6" t="inlineStr">
        <is>
          <t>NANO SIMCARD 4FF POSPAGO 128K</t>
        </is>
      </c>
      <c r="F10" s="2" t="n">
        <v>2083</v>
      </c>
      <c r="G10" s="2" t="inlineStr">
        <is>
          <t>CANAL DIRECTO</t>
        </is>
      </c>
      <c r="I10" s="3" t="inlineStr">
        <is>
          <t>Tienda Virtual</t>
        </is>
      </c>
      <c r="J10" s="4" t="inlineStr">
        <is>
          <t>DISPONIBLE</t>
        </is>
      </c>
    </row>
    <row r="11">
      <c r="A11" s="6" t="inlineStr">
        <is>
          <t>NANO SIMCARD CUT 128K 4FF POSPAGO</t>
        </is>
      </c>
      <c r="B11" s="6" t="inlineStr">
        <is>
          <t>NANO SIMCARD 4FF POSPAGO 128K</t>
        </is>
      </c>
      <c r="F11" s="2" t="inlineStr">
        <is>
          <t>CASINDQUICAS1118</t>
        </is>
      </c>
      <c r="G11" s="2" t="inlineStr">
        <is>
          <t>CANAL DIRECTO</t>
        </is>
      </c>
      <c r="I11" s="6" t="inlineStr">
        <is>
          <t>CONTINGENCIA GYE</t>
        </is>
      </c>
      <c r="J11" s="6" t="inlineStr">
        <is>
          <t>NO DISPONIBLE</t>
        </is>
      </c>
    </row>
    <row r="12" ht="14.4" customHeight="1">
      <c r="A12" s="6" t="inlineStr">
        <is>
          <t>PACK 10 CHIPS PREP PROMO PLAST SALDO $0 (NUMERADA) 128K</t>
        </is>
      </c>
      <c r="B12" s="6" t="inlineStr">
        <is>
          <t>SIMCARD 2FF PREPAGO 128K (NUMERADA)</t>
        </is>
      </c>
      <c r="I12" s="41" t="inlineStr">
        <is>
          <t>SIN AUTENTICAR</t>
        </is>
      </c>
      <c r="J12" s="4" t="inlineStr">
        <is>
          <t>DISPONIBLE</t>
        </is>
      </c>
    </row>
    <row r="13" ht="10.8" customHeight="1" thickBot="1">
      <c r="A13" s="6" t="inlineStr">
        <is>
          <t>PACK 2 CHIPS PREP 2FF PROMO PLAST SALDO $0 NUM 128K DISTRIM</t>
        </is>
      </c>
      <c r="B13" s="6" t="inlineStr">
        <is>
          <t>SIMCARD 2FF PREPAGO 128K (NUMERADA)</t>
        </is>
      </c>
      <c r="I13" s="53" t="inlineStr">
        <is>
          <t>No Autentificado</t>
        </is>
      </c>
      <c r="J13" s="54" t="inlineStr">
        <is>
          <t>DISPONIBLE</t>
        </is>
      </c>
    </row>
    <row r="14" ht="14.4" customHeight="1">
      <c r="A14" s="6" t="inlineStr">
        <is>
          <t>PACK 2 CHIPS PREP 2FF/3FF PROMO PLASTI SALDO $0 (NUMERADA) 128K</t>
        </is>
      </c>
      <c r="B14" s="6" t="inlineStr">
        <is>
          <t>SIMCARD 2FF PREPAGO 128K (NUMERADA)</t>
        </is>
      </c>
      <c r="I14" s="55" t="inlineStr">
        <is>
          <t>BODEGA CENTRAL</t>
        </is>
      </c>
      <c r="J14" s="56" t="inlineStr">
        <is>
          <t>DISPONIBLE</t>
        </is>
      </c>
    </row>
    <row r="15" ht="14.4" customHeight="1">
      <c r="A15" s="6" t="inlineStr">
        <is>
          <t>PACK 2 CHIPS PREP 2FF/3FF PROMO PLASTI+SALDO $0 (NUMERADA) 128K</t>
        </is>
      </c>
      <c r="B15" s="6" t="inlineStr">
        <is>
          <t>SIMCARD 2FF PREPAGO 128K (NUMERADA)</t>
        </is>
      </c>
      <c r="I15" s="57" t="inlineStr">
        <is>
          <t>DELIVERY</t>
        </is>
      </c>
      <c r="J15" s="58" t="inlineStr">
        <is>
          <t>DISPONIBLE</t>
        </is>
      </c>
    </row>
    <row r="16" ht="14.4" customHeight="1">
      <c r="A16" s="6" t="inlineStr">
        <is>
          <t>PACK 2 CHIPS PREP PROMO PLASTI SALDO $0 (NUMERADA) 128K</t>
        </is>
      </c>
      <c r="B16" s="6" t="inlineStr">
        <is>
          <t>SIMCARD 2FF PREPAGO 128K (NUMERADA)</t>
        </is>
      </c>
      <c r="I16" s="57" t="inlineStr">
        <is>
          <t>PRODUCCION</t>
        </is>
      </c>
      <c r="J16" s="58" t="inlineStr">
        <is>
          <t>DISPONIBLE</t>
        </is>
      </c>
    </row>
    <row r="17" ht="15" customHeight="1" thickBot="1">
      <c r="A17" s="6" t="inlineStr">
        <is>
          <t>PACK 5 CHIPS PREP PROMO PLASTI SALDO $0 (NUMERADA) 128K</t>
        </is>
      </c>
      <c r="B17" s="6" t="inlineStr">
        <is>
          <t>SIMCARD 2FF PREPAGO 128K (NUMERADA)</t>
        </is>
      </c>
      <c r="I17" s="59" t="inlineStr">
        <is>
          <t>MATERIA PRIMA</t>
        </is>
      </c>
      <c r="J17" s="60" t="inlineStr">
        <is>
          <t>DISPONIBLE</t>
        </is>
      </c>
    </row>
    <row r="18" ht="14.4" customHeight="1">
      <c r="A18" s="6" t="inlineStr">
        <is>
          <t>SIMCARD 2FF POSTPAGO 128K</t>
        </is>
      </c>
      <c r="B18" s="6" t="inlineStr">
        <is>
          <t>SIMCARD 2FF POSTPAGO 128K</t>
        </is>
      </c>
    </row>
    <row r="19" ht="14.4" customHeight="1">
      <c r="A19" s="6" t="inlineStr">
        <is>
          <t>SIMCARD 2FF POSTPAGO+128K</t>
        </is>
      </c>
      <c r="B19" s="6" t="inlineStr">
        <is>
          <t>SIMCARD 2FF POSTPAGO 128K</t>
        </is>
      </c>
    </row>
    <row r="20" ht="14.4" customHeight="1">
      <c r="A20" s="6" t="inlineStr">
        <is>
          <t>SIMCARD 2FF PREPAGO 128K</t>
        </is>
      </c>
      <c r="B20" s="6" t="inlineStr">
        <is>
          <t>SIMCARD 2FF PREPAGO 128K</t>
        </is>
      </c>
    </row>
    <row r="21" ht="14.4" customHeight="1">
      <c r="A21" s="6" t="inlineStr">
        <is>
          <t>SIMCARD 2FF PREPAGO PROMO SALDO $0 (NUMERADA) 128K</t>
        </is>
      </c>
      <c r="B21" s="6" t="inlineStr">
        <is>
          <t>SIMCARD 2FF PREPAGO 128K (NUMERADA)</t>
        </is>
      </c>
    </row>
    <row r="22" ht="14.4" customHeight="1">
      <c r="A22" s="6" t="inlineStr">
        <is>
          <t>SIMCARD 2FF PREPAGO PROMO SALDO $0 (NUMERADA) 128K VIRTCORP</t>
        </is>
      </c>
      <c r="B22" s="6" t="inlineStr">
        <is>
          <t>SIMCARD 2FF PREPAGO 128K (NUMERADA)</t>
        </is>
      </c>
    </row>
    <row r="23" ht="14.4" customHeight="1">
      <c r="A23" s="6" t="inlineStr">
        <is>
          <t>SIMCARD 2FF PREPAGO PROMOSALDO $0 (NUMERADA) 128K (PROYECTO</t>
        </is>
      </c>
      <c r="B23" s="6" t="inlineStr">
        <is>
          <t>SIMCARD 2FF PREPAGO 128K (NUMERADA)</t>
        </is>
      </c>
    </row>
    <row r="24" ht="14.4" customHeight="1">
      <c r="A24" s="6" t="inlineStr">
        <is>
          <t>SIMCARD 2FF PREPAGO+128K</t>
        </is>
      </c>
      <c r="B24" s="6" t="inlineStr">
        <is>
          <t>SIMCARD 2FF PREPAGO 128K</t>
        </is>
      </c>
    </row>
    <row r="25" ht="14.4" customHeight="1">
      <c r="A25" s="6" t="inlineStr">
        <is>
          <t>SIMCARD 2FF/3FF POSPAGO 128K</t>
        </is>
      </c>
      <c r="B25" s="6" t="inlineStr">
        <is>
          <t>SIMCARD 2FF POSTPAGO 128K</t>
        </is>
      </c>
    </row>
    <row r="26" ht="14.4" customHeight="1">
      <c r="A26" s="6" t="inlineStr">
        <is>
          <t>SIMCARD 2FF/3FF POSPAGO+128K</t>
        </is>
      </c>
      <c r="B26" s="6" t="inlineStr">
        <is>
          <t>SIMCARD 2FF POSTPAGO 128K</t>
        </is>
      </c>
    </row>
    <row r="27" ht="14.4" customHeight="1">
      <c r="A27" s="6" t="inlineStr">
        <is>
          <t>SIMCARD M2M POSPAGO GD BURTI</t>
        </is>
      </c>
      <c r="B27" s="6" t="inlineStr">
        <is>
          <t>SIMCARD M2M POSPAGO GD BURTI</t>
        </is>
      </c>
    </row>
    <row r="28" ht="14.4" customHeight="1">
      <c r="A28" s="6" t="inlineStr">
        <is>
          <t>SIMCARD M2M POSPAGO GEMALTO</t>
        </is>
      </c>
      <c r="B28" s="6" t="inlineStr">
        <is>
          <t>SIMCARD M2M POSPAGO GEMALTO</t>
        </is>
      </c>
    </row>
    <row r="29" ht="14.4" customHeight="1">
      <c r="A29" s="6" t="inlineStr">
        <is>
          <t>SIMCARD PORTABILIDAD (POSPAGO) 128K</t>
        </is>
      </c>
      <c r="B29" s="6" t="inlineStr">
        <is>
          <t>SIMCARD 2FF POSTPAGO 128K</t>
        </is>
      </c>
    </row>
    <row r="30" ht="14.4" customHeight="1">
      <c r="A30" s="6" t="inlineStr">
        <is>
          <t>SIMCARD PORTABILIDAD (POSPAGO)+128K</t>
        </is>
      </c>
      <c r="B30" s="6" t="inlineStr">
        <is>
          <t>SIMCARD 2FF POSTPAGO 128K</t>
        </is>
      </c>
    </row>
    <row r="31" ht="14.4" customHeight="1">
      <c r="A31" s="6" t="inlineStr">
        <is>
          <t>SIMCARD PORTABILIDAD PREPAGO 128K</t>
        </is>
      </c>
      <c r="B31" s="6" t="inlineStr">
        <is>
          <t>SIMCARD 2FF PREPAGO 128K</t>
        </is>
      </c>
    </row>
    <row r="32" ht="14.4" customHeight="1">
      <c r="A32" s="6" t="inlineStr">
        <is>
          <t>SIMCARD PORTABILIDAD PREPAGO 2FF/3FF 128K</t>
        </is>
      </c>
      <c r="B32" s="6" t="inlineStr">
        <is>
          <t>SIMCARD 2FF PREPAGO 128K</t>
        </is>
      </c>
    </row>
    <row r="33" ht="14.4" customHeight="1">
      <c r="A33" s="6" t="inlineStr">
        <is>
          <t>SIMCARD PORTABILIDAD PREPAGO 2FF/3FF+128K</t>
        </is>
      </c>
      <c r="B33" s="6" t="inlineStr">
        <is>
          <t>SIMCARD 2FF PREPAGO 128K</t>
        </is>
      </c>
    </row>
    <row r="34" ht="14.4" customHeight="1">
      <c r="A34" s="6" t="inlineStr">
        <is>
          <t>SIMCARD PORTABILIDAD PREPAGO+128K</t>
        </is>
      </c>
      <c r="B34" s="6" t="inlineStr">
        <is>
          <t>SIMCARD 2FF PREPAGO 128K</t>
        </is>
      </c>
    </row>
    <row r="35" ht="14.4" customHeight="1">
      <c r="A35" s="6" t="inlineStr">
        <is>
          <t>SIMCARD POSPAGO</t>
        </is>
      </c>
      <c r="B35" s="6" t="inlineStr">
        <is>
          <t>SIMCARD 2FF POSTPAGO</t>
        </is>
      </c>
    </row>
    <row r="36" ht="14.4" customHeight="1">
      <c r="A36" s="6" t="inlineStr">
        <is>
          <t>SIMCARD POSPAGO 128K</t>
        </is>
      </c>
      <c r="B36" s="6" t="inlineStr">
        <is>
          <t>SIMCARD 2FF POSTPAGO 128K</t>
        </is>
      </c>
    </row>
    <row r="37" ht="14.4" customHeight="1">
      <c r="A37" s="6" t="inlineStr">
        <is>
          <t>SIMCARD POSPAGO+128K</t>
        </is>
      </c>
      <c r="B37" s="6" t="inlineStr">
        <is>
          <t>SIMCARD 2FF POSTPAGO 128K</t>
        </is>
      </c>
    </row>
    <row r="38" ht="14.4" customHeight="1">
      <c r="A38" s="6" t="inlineStr">
        <is>
          <t>SIMCARD PREPAGO</t>
        </is>
      </c>
      <c r="B38" s="6" t="inlineStr">
        <is>
          <t>SIMCARD 2FF PREPAGO</t>
        </is>
      </c>
    </row>
    <row r="39" ht="14.4" customHeight="1">
      <c r="A39" s="6" t="inlineStr">
        <is>
          <t>SIMCARD PREPAGO 128K</t>
        </is>
      </c>
      <c r="B39" s="6" t="inlineStr">
        <is>
          <t>SIMCARD 2FF PREPAGO 128K</t>
        </is>
      </c>
    </row>
    <row r="40" ht="14.4" customHeight="1">
      <c r="A40" s="6" t="inlineStr">
        <is>
          <t>SIMCARD PREPAGO 128K 2FF/3FF</t>
        </is>
      </c>
      <c r="B40" s="6" t="inlineStr">
        <is>
          <t>SIMCARD 2FF PREPAGO 128K</t>
        </is>
      </c>
    </row>
    <row r="41" ht="14.4" customHeight="1">
      <c r="A41" s="6" t="inlineStr">
        <is>
          <t>SIMCARD PREPAGO 2FF/3FF PROMO SALDO $0 (NUMERADA) 128K</t>
        </is>
      </c>
      <c r="B41" s="6" t="inlineStr">
        <is>
          <t>SIMCARD 2FF PREPAGO 128K (NUMERADA)</t>
        </is>
      </c>
    </row>
    <row r="42" ht="14.4" customHeight="1">
      <c r="A42" s="6" t="inlineStr">
        <is>
          <t>SIMCARD PREPAGO 2FF/3FF PROMO SALDO $0 (NUMERADA) 128K (PROYECTO MULTINIVEL SOLO DA DISTRIMARKET, SOBRE ASIGNACION)</t>
        </is>
      </c>
      <c r="B42" s="6" t="inlineStr">
        <is>
          <t>SIMCARD 2FF PREPAGO 128K (NUMERADA)</t>
        </is>
      </c>
    </row>
    <row r="43" ht="14.4" customHeight="1">
      <c r="A43" s="6" t="inlineStr">
        <is>
          <t>SIMCARD PREPAGO 2FF/3FF PROMO+SALDO $0 (NUMERADA) 128K</t>
        </is>
      </c>
      <c r="B43" s="6" t="inlineStr">
        <is>
          <t>SIMCARD 2FF PREPAGO 128K (NUMERADA)</t>
        </is>
      </c>
    </row>
    <row r="44" ht="14.4" customHeight="1">
      <c r="A44" s="6" t="inlineStr">
        <is>
          <t>SIMCARD PREPAGO ECOSIM 128K</t>
        </is>
      </c>
      <c r="B44" s="6" t="inlineStr">
        <is>
          <t>SIMCARD 2FF PREPAGO 128K</t>
        </is>
      </c>
    </row>
    <row r="45" ht="14.4" customHeight="1">
      <c r="A45" s="6" t="inlineStr">
        <is>
          <t>SIMCARD PREPAGO MOVISTAR AUTOSERVICIOS</t>
        </is>
      </c>
      <c r="B45" s="3" t="inlineStr">
        <is>
          <t>SIM SUPER CHIP AUTOSERVICIOS (numeradas)</t>
        </is>
      </c>
    </row>
    <row r="46" ht="14.4" customHeight="1">
      <c r="A46" s="6" t="inlineStr">
        <is>
          <t>SIMCARD PREPAGO PROMO SALDO $0 (NUMERADA) 128K</t>
        </is>
      </c>
      <c r="B46" s="6" t="inlineStr">
        <is>
          <t>SIMCARD 2FF PREPAGO 128K (NUMERADA)</t>
        </is>
      </c>
    </row>
    <row r="47" ht="14.4" customHeight="1">
      <c r="A47" s="6" t="inlineStr">
        <is>
          <t>SIMCARD PREPAGO PROMO SALDO $0+(NUMERADA) 128K</t>
        </is>
      </c>
      <c r="B47" s="6" t="inlineStr">
        <is>
          <t>SIMCARD 2FF PREPAGO 128K (NUMERADA)</t>
        </is>
      </c>
    </row>
    <row r="48" ht="14.4" customHeight="1">
      <c r="A48" s="6" t="inlineStr">
        <is>
          <t>SIMCARD PREPAGO PROMO SALDO $3 (NUMERADA) 128K</t>
        </is>
      </c>
      <c r="B48" s="6" t="inlineStr">
        <is>
          <t>SIMCARD 2FF PREPAGO 128K (NUMERADA)</t>
        </is>
      </c>
    </row>
    <row r="49" ht="14.4" customHeight="1">
      <c r="A49" s="6" t="inlineStr">
        <is>
          <t>SIMCARD PREPAGO PROMO SALDO $3+(NUMERADA) 128K</t>
        </is>
      </c>
      <c r="B49" s="6" t="inlineStr">
        <is>
          <t>SIMCARD 2FF PREPAGO 128K (NUMERADA)</t>
        </is>
      </c>
    </row>
    <row r="50" ht="14.4" customHeight="1">
      <c r="A50" s="6" t="inlineStr">
        <is>
          <t>SIMCARD PREPAGO PROMOSALDO $0 (NUMERADA) 128K (PROYECTO MULTINIVEL SOLO DA DISTRIMARKET, SOBRE ASIGNACION)</t>
        </is>
      </c>
      <c r="B50" s="6" t="inlineStr">
        <is>
          <t>SIMCARD 2FF PREPAGO 128K (NUMERADA)</t>
        </is>
      </c>
    </row>
    <row r="51" ht="14.4" customHeight="1">
      <c r="A51" s="6" t="inlineStr">
        <is>
          <t>SIMCARD PREPAGO+128K</t>
        </is>
      </c>
      <c r="B51" s="6" t="inlineStr">
        <is>
          <t>SIMCARD 2FF PREPAGO 128K</t>
        </is>
      </c>
    </row>
    <row r="52" ht="14.4" customHeight="1">
      <c r="A52" s="6" t="inlineStr">
        <is>
          <t>SIMCARD REPOSICION (POSPAGO) (SOBRE ASIGNACION) 128K</t>
        </is>
      </c>
      <c r="B52" s="6" t="inlineStr">
        <is>
          <t>SIMCARD 2FF POSTPAGO 128K</t>
        </is>
      </c>
    </row>
    <row r="53" ht="14.4" customHeight="1">
      <c r="A53" s="6" t="inlineStr">
        <is>
          <t>SIMCARD REPOSICION (PREPAGO) (SOBRE ASIGNACION,SIMCARDS VIRGEN)</t>
        </is>
      </c>
      <c r="B53" s="6" t="inlineStr">
        <is>
          <t>SIMCARD 2FF PREPAGO</t>
        </is>
      </c>
    </row>
    <row r="54" ht="14.4" customHeight="1">
      <c r="A54" s="6" t="inlineStr">
        <is>
          <t>SIMCARD REPOSICION (PREPAGO)+(SOBRE ASIGNACION,SIMCARDS VIRGEN)</t>
        </is>
      </c>
      <c r="B54" s="6" t="inlineStr">
        <is>
          <t>SIMCARD 2FF PREPAGO</t>
        </is>
      </c>
    </row>
    <row r="55" ht="14.4" customHeight="1">
      <c r="A55" s="6" t="inlineStr">
        <is>
          <t>SIMCARD REPOSICION PREPAGO 128K</t>
        </is>
      </c>
      <c r="B55" s="6" t="inlineStr">
        <is>
          <t>SIMCARD 2FF PREPAGO 128K</t>
        </is>
      </c>
    </row>
    <row r="56" ht="14.4" customHeight="1">
      <c r="A56" s="6" t="inlineStr">
        <is>
          <t>SIMCARD REPOSICION PREPAGO 2FF/3FF 128K</t>
        </is>
      </c>
      <c r="B56" s="6" t="inlineStr">
        <is>
          <t>SIMCARD 2FF PREPAGO 128K</t>
        </is>
      </c>
    </row>
    <row r="57" ht="14.4" customHeight="1">
      <c r="A57" s="6" t="inlineStr">
        <is>
          <t>SIMCARD REPOSICION PREPAGO+128K</t>
        </is>
      </c>
      <c r="B57" s="6" t="inlineStr">
        <is>
          <t>SIMCARD 2FF PREPAGO 128K</t>
        </is>
      </c>
    </row>
    <row r="58" ht="14.4" customHeight="1">
      <c r="A58" s="6" t="inlineStr">
        <is>
          <t>SOLO CHIP POSPAGO BLANCO 128K</t>
        </is>
      </c>
      <c r="B58" s="6" t="inlineStr">
        <is>
          <t>SIMCARD 2FF POSTPAGO 128K</t>
        </is>
      </c>
    </row>
    <row r="59" ht="14.4" customHeight="1">
      <c r="A59" s="6" t="inlineStr">
        <is>
          <t>SUPER CHIP AUTOSERVICIOS INTERNET</t>
        </is>
      </c>
      <c r="B59" s="3" t="inlineStr">
        <is>
          <t>SUPER CHIP AUTOSERVICIOS INTERNET(numeradas)</t>
        </is>
      </c>
    </row>
    <row r="60" ht="14.4" customHeight="1">
      <c r="A60" s="6" t="inlineStr">
        <is>
          <t>USIM MULTISIM PORTABILIDAD POSPAGO</t>
        </is>
      </c>
      <c r="B60" s="6" t="inlineStr">
        <is>
          <t>USIM MULTISIM POS</t>
        </is>
      </c>
    </row>
    <row r="61" ht="14.4" customHeight="1">
      <c r="A61" s="6" t="inlineStr">
        <is>
          <t>USIM MULTISIM PORTABILIDAD PREPAGO</t>
        </is>
      </c>
      <c r="B61" s="6" t="inlineStr">
        <is>
          <t>USIM MULTISIM PRE</t>
        </is>
      </c>
    </row>
    <row r="62" ht="14.4" customHeight="1">
      <c r="A62" s="6" t="inlineStr">
        <is>
          <t>USIM MULTISIM POSPAGO</t>
        </is>
      </c>
      <c r="B62" s="6" t="inlineStr">
        <is>
          <t>USIM MULTISIM POS</t>
        </is>
      </c>
    </row>
    <row r="63" ht="14.4" customHeight="1">
      <c r="A63" s="6" t="inlineStr">
        <is>
          <t>USIM MULTISIM POSPAGO RETAIL</t>
        </is>
      </c>
      <c r="B63" s="6" t="inlineStr">
        <is>
          <t>USIM MULTISIM POS</t>
        </is>
      </c>
    </row>
    <row r="64" ht="14.4" customHeight="1">
      <c r="A64" s="6" t="inlineStr">
        <is>
          <t>USIM MULTISIM PREPAGO</t>
        </is>
      </c>
      <c r="B64" s="6" t="inlineStr">
        <is>
          <t>USIM MULTISIM PRE</t>
        </is>
      </c>
    </row>
    <row r="65" ht="14.4" customHeight="1">
      <c r="A65" s="6" t="inlineStr">
        <is>
          <t>USIM MULTISIM PREPAGO SALDO $3 (NUMERAD PROYECTO MULTINIVEL)</t>
        </is>
      </c>
      <c r="B65" s="6" t="inlineStr">
        <is>
          <t>USIM MULTISIM PREPAGO NUMERADA</t>
        </is>
      </c>
    </row>
    <row r="66" ht="14.4" customHeight="1">
      <c r="A66" s="6" t="inlineStr">
        <is>
          <t>USIM MULTISIM PREPAGO SALDO $3 (NUMERADA)</t>
        </is>
      </c>
      <c r="B66" s="6" t="inlineStr">
        <is>
          <t>USIM MULTISIM PREPAGO NUMERADA</t>
        </is>
      </c>
    </row>
    <row r="67" ht="14.4" customHeight="1">
      <c r="A67" s="6" t="inlineStr">
        <is>
          <t>USIM MULTISIM PREPAGO SALDO $3 ANILLOS AZULES (NUMERADAS)</t>
        </is>
      </c>
      <c r="B67" s="6" t="inlineStr">
        <is>
          <t>USIM MULTISIM PREPAGO NUMERADA</t>
        </is>
      </c>
    </row>
    <row r="68" ht="14.4" customHeight="1">
      <c r="A68" s="6" t="inlineStr">
        <is>
          <t>USIM MULTISIM PREPAGO SALDO $3  NUMERADA ALPHACEL</t>
        </is>
      </c>
      <c r="B68" s="6" t="inlineStr">
        <is>
          <t>USIM MULTISIM PREPAGO NUMERADA</t>
        </is>
      </c>
    </row>
    <row r="69" ht="14.4" customHeight="1">
      <c r="A69" s="6" t="inlineStr">
        <is>
          <t>USIM MULTISIM PREPAGO SALDO $3ÿ NUMERADA ALPHACEL</t>
        </is>
      </c>
      <c r="B69" s="6" t="inlineStr">
        <is>
          <t>USIM MULTISIM PREPAGO NUMERADA</t>
        </is>
      </c>
    </row>
    <row r="70" ht="14.4" customHeight="1">
      <c r="A70" s="6" t="inlineStr">
        <is>
          <t>USIM MULTISIM REPOSICION POSPAGO</t>
        </is>
      </c>
      <c r="B70" s="6" t="inlineStr">
        <is>
          <t>USIM MULTISIM POS</t>
        </is>
      </c>
    </row>
    <row r="71" ht="14.4" customHeight="1">
      <c r="A71" s="6" t="inlineStr">
        <is>
          <t>USIM MULTISIM REPOSICION PREPAGO</t>
        </is>
      </c>
      <c r="B71" s="6" t="inlineStr">
        <is>
          <t>USIM MULTISIM PRE</t>
        </is>
      </c>
    </row>
    <row r="72" ht="14.4" customHeight="1">
      <c r="A72" s="6" t="inlineStr">
        <is>
          <t>USIM TUENTI (blister)</t>
        </is>
      </c>
      <c r="B72" s="6" t="inlineStr">
        <is>
          <t>USIM TUENTI (blister)</t>
        </is>
      </c>
    </row>
    <row r="73" ht="14.4" customHeight="1">
      <c r="A73" s="6" t="inlineStr">
        <is>
          <t>USIM TUENTI PREPAGO (CELOFµN)</t>
        </is>
      </c>
      <c r="B73" s="6" t="inlineStr">
        <is>
          <t>USIM TUENTI PREPAGO (CELOFÁN)</t>
        </is>
      </c>
    </row>
    <row r="74" ht="14.4" customHeight="1">
      <c r="A74" s="6" t="inlineStr">
        <is>
          <t>USIM TUENTI PREPAGO (CELOFÁN)</t>
        </is>
      </c>
      <c r="B74" s="6" t="inlineStr">
        <is>
          <t>USIM TUENTI PREPAGO (CELOFÁN)</t>
        </is>
      </c>
    </row>
    <row r="75" ht="14.4" customHeight="1">
      <c r="A75" s="6" t="inlineStr">
        <is>
          <t>USIM TUENTI PREPAGO (SLIDING KITS)</t>
        </is>
      </c>
      <c r="B75" s="6" t="inlineStr">
        <is>
          <t>USIM TUENTI PREPAGO (SLIDING KITS)</t>
        </is>
      </c>
    </row>
    <row r="76" ht="14.4" customHeight="1">
      <c r="A76" s="6" t="inlineStr">
        <is>
          <t>USIM TUENTI PREPAGO NUMERADA (blister)</t>
        </is>
      </c>
      <c r="B76" s="6" t="inlineStr">
        <is>
          <t>USIM TUENTI PREPAGO NUMERADA (blister)</t>
        </is>
      </c>
    </row>
    <row r="77" ht="14.4" customHeight="1">
      <c r="A77" s="6" t="inlineStr">
        <is>
          <t>USIM TUENTI PREPAGO NUMERADA (CELOFµN)</t>
        </is>
      </c>
      <c r="B77" s="6" t="inlineStr">
        <is>
          <t>USIM TUENTI PREPAGO NUMERADA (CELOFÁN)</t>
        </is>
      </c>
    </row>
    <row r="78" ht="14.4" customHeight="1">
      <c r="A78" s="6" t="inlineStr">
        <is>
          <t>USIM TUENTI PREPAGO NUMERADA (CELOFÁN)</t>
        </is>
      </c>
      <c r="B78" s="6" t="inlineStr">
        <is>
          <t>USIM TUENTI PREPAGO NUMERADA (CELOFÁN)</t>
        </is>
      </c>
    </row>
    <row r="79" ht="14.4" customHeight="1">
      <c r="A79" s="6" t="inlineStr">
        <is>
          <t>USIM TUENTI PREPAGO NUMERADA (SLIDING KITS)</t>
        </is>
      </c>
      <c r="B79" s="6" t="inlineStr">
        <is>
          <t>USIM TUENTI PREPAGO NUMERADA (SLIDING KITS)</t>
        </is>
      </c>
    </row>
    <row r="80" ht="14.4" customHeight="1">
      <c r="A80" s="5" t="inlineStr">
        <is>
          <t>SIMCARD PREPAGO PROMOSALDO $0 (NUMERADA) 128K (PROYECTO MULTINIVEL  SOLO DA DISTRIMARKET, SOBRE ASIGNACION)</t>
        </is>
      </c>
      <c r="B80" s="6" t="inlineStr">
        <is>
          <t>SIMCARD 2FF PREPAGO 128K (NUMERADA)</t>
        </is>
      </c>
    </row>
    <row r="81" ht="14.4" customHeight="1">
      <c r="A81" s="5" t="inlineStr">
        <is>
          <t>SIMCARD PREPAGO 2FF/3FF PROMO SALDO $0 (NUMERADA) 128K (PROYECTO MULTINIVEL  SOLO DA DISTRIMARKET, SOBRE ASIGNACION)</t>
        </is>
      </c>
      <c r="B81" s="6" t="inlineStr">
        <is>
          <t>SIMCARD 2FF PREPAGO 128K (NUMERADA)</t>
        </is>
      </c>
    </row>
    <row r="82" ht="14.4" customHeight="1">
      <c r="A82" s="5" t="inlineStr">
        <is>
          <t>PACK 2 CHIPS PREP 2FF  PROMO PLAST SALDO $0 NUM 128K DISTRIM</t>
        </is>
      </c>
      <c r="B82" s="6" t="inlineStr">
        <is>
          <t>SIMCARD 2FF PREPAGO 128K (NUMERADA)</t>
        </is>
      </c>
    </row>
    <row r="83" ht="14.4" customHeight="1">
      <c r="A83" s="5" t="inlineStr">
        <is>
          <t>SIMCARD 2FF/3FF REPOSICION POSPAGO (SOBRE ASIGNACION) 128K</t>
        </is>
      </c>
      <c r="B83" s="6" t="inlineStr">
        <is>
          <t>SIMCARD 2FF POSTPAGO 128K</t>
        </is>
      </c>
    </row>
    <row r="84" ht="14.4" customHeight="1">
      <c r="A84" s="5" t="inlineStr">
        <is>
          <t>SIMCARD PREPAGO 2FF/3FF PROMO SALDO $0 128K NUMERADA ALPHACEL</t>
        </is>
      </c>
      <c r="B84" s="6" t="inlineStr">
        <is>
          <t>SIMCARD 2FF PREPAGO 128K (NUMERADA)</t>
        </is>
      </c>
    </row>
    <row r="85" ht="14.4" customHeight="1">
      <c r="A85" s="3" t="inlineStr">
        <is>
          <t>USIM TUENTI PREPAGO (CELOF┴N)</t>
        </is>
      </c>
      <c r="B85" s="6" t="inlineStr">
        <is>
          <t>USIM TUENTI PREPAGO (CELOFÁN)</t>
        </is>
      </c>
    </row>
    <row r="86" ht="14.4" customHeight="1">
      <c r="A86" s="3" t="inlineStr">
        <is>
          <t>USIM TUENTI PREPAGO NUMERADA (CELOF┴N)</t>
        </is>
      </c>
      <c r="B86" s="6" t="inlineStr">
        <is>
          <t>USIM TUENTI PREPAGO NUMERADA (CELOFÁN)</t>
        </is>
      </c>
    </row>
    <row r="87" ht="14.4" customHeight="1">
      <c r="A87" s="3" t="inlineStr">
        <is>
          <t>USIM TUENTI PREPAGO (CELOF┴N)</t>
        </is>
      </c>
      <c r="B87" s="6" t="inlineStr">
        <is>
          <t>USIM TUENTI PREPAGO (CELOFÁN)</t>
        </is>
      </c>
    </row>
    <row r="88" ht="14.4" customHeight="1">
      <c r="A88" s="6" t="inlineStr">
        <is>
          <t>SIM SUPERCHIP AUTOSERVICIOS (SIN RASCA)</t>
        </is>
      </c>
      <c r="B88" s="3" t="inlineStr">
        <is>
          <t>SIM SUPER CHIP AUTOSERVICIOS (numeradas)</t>
        </is>
      </c>
    </row>
    <row r="89" ht="14.4" customHeight="1">
      <c r="A89" s="6" t="inlineStr">
        <is>
          <t>USIM MULTISIM PREPAGO SALDO $3 NUMERADA ALPHACEL</t>
        </is>
      </c>
      <c r="B89" s="6" t="inlineStr">
        <is>
          <t>USIM MULTISIM PREPAGO NUMERADA</t>
        </is>
      </c>
    </row>
    <row r="90" ht="14.4" customHeight="1">
      <c r="A90" s="3" t="inlineStr">
        <is>
          <t>USIM GENERICA SIN AUTENTICAR</t>
        </is>
      </c>
      <c r="B90" s="3" t="inlineStr">
        <is>
          <t>USIM GENERICA SIN AUTENTICAR</t>
        </is>
      </c>
    </row>
    <row r="91" ht="14.4" customHeight="1">
      <c r="A91" s="3" t="inlineStr">
        <is>
          <t>SUPER CHIP AUTOSERVICIOS INTERNET(numeradas)</t>
        </is>
      </c>
      <c r="B91" s="3" t="inlineStr">
        <is>
          <t>SUPER CHIP AUTOSERVICIOS INTERNET(numeradas)</t>
        </is>
      </c>
    </row>
    <row r="92" ht="14.4" customHeight="1">
      <c r="A92" s="3" t="inlineStr">
        <is>
          <t>SIM SUPER CHIP AUTOSERVICIOS (numeradas)</t>
        </is>
      </c>
      <c r="B92" s="3" t="inlineStr">
        <is>
          <t>SIM SUPER CHIP AUTOSERVICIOS (numeradas)</t>
        </is>
      </c>
    </row>
    <row r="93" ht="14.4" customHeight="1">
      <c r="A93" s="3" t="inlineStr">
        <is>
          <t>USIM TUENTI (blister)</t>
        </is>
      </c>
      <c r="B93" s="6" t="inlineStr">
        <is>
          <t>USIM TUENTI (blister)</t>
        </is>
      </c>
    </row>
    <row r="94" ht="14.4" customHeight="1">
      <c r="A94" s="6" t="inlineStr">
        <is>
          <t>USIM PREPAGO TUENTI CELOFAN NO NUMERADA PORTABILIDAD</t>
        </is>
      </c>
      <c r="B94" s="6" t="inlineStr">
        <is>
          <t>USIM TUENTI PREPAGO (CELOFÁN)</t>
        </is>
      </c>
    </row>
    <row r="95" ht="14.4" customHeight="1">
      <c r="A95" s="6" t="inlineStr">
        <is>
          <t>USIM PREPAGO TUENTI BLISTER NO NUMERADA PORTABILIDAD</t>
        </is>
      </c>
      <c r="B95" s="6" t="inlineStr">
        <is>
          <t>USIM TUENTI (blister)</t>
        </is>
      </c>
    </row>
    <row r="96" ht="14.4" customHeight="1">
      <c r="A96" s="6" t="inlineStr">
        <is>
          <t>CHIP PREPAGO AUTOSERVICIOS TURISTA (numerada)</t>
        </is>
      </c>
      <c r="B96" s="6" t="inlineStr">
        <is>
          <t>CHIP PREPAGO AUTOSERVICIOS TURISTA numerada</t>
        </is>
      </c>
    </row>
    <row r="97" ht="14.4" customHeight="1">
      <c r="A97" s="3" t="inlineStr">
        <is>
          <t>SUPER CHIP AUTOSERVICIOS DOBLE MEGAS (NUMERADAS)</t>
        </is>
      </c>
      <c r="B97" s="3" t="inlineStr">
        <is>
          <t>SUPER CHIP AUTOSERVICIOS DOBLE MEGAS (NUMERADAS)</t>
        </is>
      </c>
    </row>
    <row r="98" ht="14.4" customHeight="1">
      <c r="A98" s="3" t="inlineStr">
        <is>
          <t>USIM MULTISIM PREPAGO SALDO $3á NUMERADA ALPHACEL</t>
        </is>
      </c>
      <c r="B98" s="6" t="inlineStr">
        <is>
          <t>USIM MULTISIM PREPAGO NUMERADA</t>
        </is>
      </c>
    </row>
    <row r="99" ht="14.4" customHeight="1">
      <c r="A99" s="3" t="inlineStr">
        <is>
          <t>USIM MULTISIM PREPAGO NUMERADA MASIVO</t>
        </is>
      </c>
      <c r="B99" s="6" t="inlineStr">
        <is>
          <t>USIM MULTISIM PREPAGO NUMERADA</t>
        </is>
      </c>
    </row>
    <row r="100" ht="14.4" customHeight="1">
      <c r="A100" s="3" t="inlineStr">
        <is>
          <t>USIM MULTISIM PREPAGO NUMERADA RETAIL</t>
        </is>
      </c>
      <c r="B100" s="6" t="inlineStr">
        <is>
          <t>USIM MULTISIM PREPAGO NUMERADA</t>
        </is>
      </c>
    </row>
    <row r="101" ht="14.4" customHeight="1">
      <c r="A101" s="3" t="inlineStr">
        <is>
          <t>USIM MULTISIM PREPAGO NUMERADA CANAL DIRECTO</t>
        </is>
      </c>
      <c r="B101" s="6" t="inlineStr">
        <is>
          <t>USIM MULTISIM PREPAGO NUMERADA</t>
        </is>
      </c>
    </row>
    <row r="102" ht="14.4" customHeight="1">
      <c r="A102" s="6" t="inlineStr">
        <is>
          <t>USIM MULTISIM PREPAGO NUMERADA PDVM</t>
        </is>
      </c>
      <c r="B102" s="6" t="inlineStr">
        <is>
          <t>USIM MULTISIM PREPAGO NUMERADA</t>
        </is>
      </c>
    </row>
    <row r="103" ht="14.4" customHeight="1">
      <c r="A103" s="6" t="inlineStr">
        <is>
          <t>USIM MULTISIM PREPAGO PORTABILIDAD PDVM</t>
        </is>
      </c>
      <c r="B103" s="6" t="inlineStr">
        <is>
          <t>USIM MULTISIM PRE</t>
        </is>
      </c>
    </row>
    <row r="104" ht="14.4" customHeight="1">
      <c r="A104" s="6" t="inlineStr">
        <is>
          <t>USIM PREPAGO NUMERADA COMBO BLISTER AUTOSERVICIO RETAIL</t>
        </is>
      </c>
      <c r="B104" s="3" t="inlineStr">
        <is>
          <t>SIM SUPER CHIP AUTOSERVICIOS (numeradas)</t>
        </is>
      </c>
    </row>
    <row r="105" ht="14.4" customHeight="1">
      <c r="A105" s="6" t="inlineStr">
        <is>
          <t xml:space="preserve">CHIP PREPAGO AUTOSERVICIOS TURISTA (numerada) </t>
        </is>
      </c>
      <c r="B105" s="6" t="inlineStr">
        <is>
          <t>CHIP PREPAGO AUTOSERVICIOS TURISTA numerada</t>
        </is>
      </c>
    </row>
    <row r="106" ht="14.4" customHeight="1">
      <c r="A106" s="6" t="inlineStr">
        <is>
          <t>USIM PREPAGO NUMERADA BLISTER AUTOSERVICIOS TURISTA RETAIL</t>
        </is>
      </c>
      <c r="B106" s="6" t="inlineStr">
        <is>
          <t>CHIP PREPAGO AUTOSERVICIOS TURISTA numerada</t>
        </is>
      </c>
    </row>
    <row r="107" ht="14.4" customHeight="1">
      <c r="A107" s="3" t="inlineStr">
        <is>
          <t>USIM MULTISIM PREPAGO NUMERADA RETAIL CON EQUIPO</t>
        </is>
      </c>
      <c r="B107" s="6" t="inlineStr">
        <is>
          <t>USIM MULTISIM PREPAGO NUMERADA</t>
        </is>
      </c>
    </row>
    <row r="108" ht="14.4" customHeight="1">
      <c r="A108" s="6" t="inlineStr">
        <is>
          <t>USIM MULTISIM PREPAGO NUMERADA CANAL DIRECTO (DISASHOP)</t>
        </is>
      </c>
      <c r="B108" s="6" t="inlineStr">
        <is>
          <t>USIM MULTISIM PREPAGO NUMERADA</t>
        </is>
      </c>
    </row>
    <row r="109" ht="14.4" customHeight="1">
      <c r="A109" s="6" t="inlineStr">
        <is>
          <t>SIMCARD M2M</t>
        </is>
      </c>
      <c r="B109" s="6" t="inlineStr">
        <is>
          <t>SIMCARD M2M</t>
        </is>
      </c>
    </row>
    <row r="110" ht="14.4" customHeight="1">
      <c r="A110" s="6" t="inlineStr">
        <is>
          <t>USIM NUMERADA COMBO BLISTER AUTOSERVICIO RETAIL + RASCA</t>
        </is>
      </c>
      <c r="B110" s="6" t="inlineStr">
        <is>
          <t>USIM NUMERADA COMBO BLISTER AUTOSERVICIO RETAIL + RASCA</t>
        </is>
      </c>
    </row>
    <row r="111" ht="14.4" customHeight="1">
      <c r="A111" s="3" t="inlineStr">
        <is>
          <t>Usim Tuenti Prepago Blíster Numerada $ 5.00</t>
        </is>
      </c>
      <c r="B111" s="3" t="inlineStr">
        <is>
          <t>Usim Tuenti Prepago Blíster Numerada $ 5.00</t>
        </is>
      </c>
    </row>
    <row r="112" ht="14.4" customHeight="1">
      <c r="A112" s="3" t="inlineStr">
        <is>
          <t>USIM TUENTI PREPAGO (CELOFAN)</t>
        </is>
      </c>
      <c r="B112" s="3" t="inlineStr">
        <is>
          <t>USIM TUENTI PREPAGO (CELOFÁN)</t>
        </is>
      </c>
    </row>
    <row r="113" ht="14.4" customHeight="1">
      <c r="A113" s="3" t="inlineStr">
        <is>
          <t>USIM PREPAGO TUENTI BLISTER NO NUMERADA PORTABILID</t>
        </is>
      </c>
      <c r="B113" s="3" t="inlineStr">
        <is>
          <t>USIM TUENTI (blister)</t>
        </is>
      </c>
    </row>
    <row r="114" ht="14.4" customHeight="1">
      <c r="A114" s="3" t="inlineStr">
        <is>
          <t>USIM PREPAGO NUMERADA BLISTER AUTOSERVICIOS TURIST</t>
        </is>
      </c>
      <c r="B114" s="3" t="inlineStr">
        <is>
          <t>CHIP PREPAGO AUTOSERVICIOS TURISTA numerada</t>
        </is>
      </c>
    </row>
    <row r="115" ht="14.4" customHeight="1">
      <c r="A115" s="3" t="inlineStr">
        <is>
          <t>USIM TUENTI PREPAGO NUMERADA (CELOFAN)</t>
        </is>
      </c>
      <c r="B115" s="3" t="inlineStr">
        <is>
          <t>USIM TUENTI PREPAGO NUMERADA (CELOFÁN)</t>
        </is>
      </c>
    </row>
    <row r="116" ht="14.4" customHeight="1">
      <c r="A116" s="3" t="inlineStr">
        <is>
          <t>USIM PREPAGO TUENTI CELOFAN NO NUMERADA PORTABILID</t>
        </is>
      </c>
      <c r="B116" s="3" t="inlineStr">
        <is>
          <t>USIM TUENTI PREPAGO (CELOFÁN)</t>
        </is>
      </c>
    </row>
    <row r="117" ht="14.4" customHeight="1">
      <c r="A117" s="3" t="inlineStr">
        <is>
          <t>USIM PREPAGO NUMERADA COMBO BLISTER AUTOSERVICIO R</t>
        </is>
      </c>
      <c r="B117" s="3" t="inlineStr">
        <is>
          <t>SIM SUPER CHIP AUTOSERVICIOS (numeradas)</t>
        </is>
      </c>
    </row>
    <row r="118" ht="14.4" customHeight="1">
      <c r="A118" s="3" t="inlineStr">
        <is>
          <t>USIM MULTISIM PREPAGO NUMERADA CANAL DIRECTO (DISA</t>
        </is>
      </c>
      <c r="B118" s="3" t="inlineStr">
        <is>
          <t>USIM MULTISIM PREPAGO NUMERADA</t>
        </is>
      </c>
    </row>
    <row r="119" ht="14.4" customHeight="1">
      <c r="A119" s="3" t="inlineStr">
        <is>
          <t>SIMCARD PREPAGO 2FF/3FF PROMO SALDO $0</t>
        </is>
      </c>
      <c r="B119" s="3" t="inlineStr">
        <is>
          <t>SIMCARD 2FF PREPAGO 128K (NUMERADA)</t>
        </is>
      </c>
    </row>
    <row r="120" ht="14.4" customHeight="1">
      <c r="A120" s="3" t="inlineStr">
        <is>
          <t>SIMCARD 2FF PREPAGO</t>
        </is>
      </c>
      <c r="B120" s="3" t="inlineStr">
        <is>
          <t>SIMCARD 2FF PREPAGO 128K</t>
        </is>
      </c>
    </row>
    <row r="121" ht="14.4" customHeight="1">
      <c r="A121" s="3" t="inlineStr">
        <is>
          <t>SIMCARD 2FF POSTPAGO</t>
        </is>
      </c>
      <c r="B121" s="3" t="inlineStr">
        <is>
          <t>SIMCARD 2FF POSTPAGO 128K</t>
        </is>
      </c>
    </row>
    <row r="122" ht="14.4" customHeight="1">
      <c r="A122" s="3" t="inlineStr">
        <is>
          <t>USIM MULTISIM PREPAGO SALDO $3 (NUMERAD PROYECTO M</t>
        </is>
      </c>
      <c r="B122" s="3" t="inlineStr">
        <is>
          <t>USIM MULTISIM PREPAGO NUMERADA</t>
        </is>
      </c>
    </row>
    <row r="123" ht="14.4" customHeight="1">
      <c r="A123" s="3" t="inlineStr">
        <is>
          <t>SIMCARD M2M IDEMIA (OBERTHUR)</t>
        </is>
      </c>
      <c r="B123" s="3" t="inlineStr">
        <is>
          <t>SIMCARD M2M IDEMIA (OBERTHUR)</t>
        </is>
      </c>
    </row>
    <row r="124" ht="14.4" customHeight="1">
      <c r="A124" s="6" t="inlineStr">
        <is>
          <t>Usim Tuenti Prepago Celofán Numerada $5 SinSticker</t>
        </is>
      </c>
      <c r="B124" s="6" t="inlineStr">
        <is>
          <t>Usim Tuenti Prepago Celofán Numerada $5 SinSticker</t>
        </is>
      </c>
    </row>
    <row r="125" ht="14.4" customHeight="1">
      <c r="A125" s="6" t="inlineStr">
        <is>
          <t>Usim Tuenti Prepago Celofán Numerada $ 5.00</t>
        </is>
      </c>
      <c r="B125" s="6" t="inlineStr">
        <is>
          <t>Usim Tuenti Prepago Celofán Numerada $ 5.00</t>
        </is>
      </c>
    </row>
    <row r="126" ht="14.4" customHeight="1">
      <c r="A126" s="3" t="inlineStr">
        <is>
          <t>Usim Tuenti Prepago Blíster Numerada $ 10.00</t>
        </is>
      </c>
      <c r="B126" s="3" t="inlineStr">
        <is>
          <t>Usim Tuenti Prepago Blíster Numerada $ 10.00</t>
        </is>
      </c>
    </row>
    <row r="127" ht="14.4" customHeight="1">
      <c r="A127" s="3" t="inlineStr">
        <is>
          <t>Usim Tuenti Prepago Celofán Numerada $ 10.00</t>
        </is>
      </c>
      <c r="B127" s="3" t="inlineStr">
        <is>
          <t>Usim Tuenti Prepago Celofán Numerada $ 10.00</t>
        </is>
      </c>
    </row>
    <row r="128" ht="14.4" customHeight="1">
      <c r="A128" s="6" t="inlineStr">
        <is>
          <t>Usim Tuenti Prepago Blíster Numerada $ 15.00</t>
        </is>
      </c>
      <c r="B128" s="6" t="inlineStr">
        <is>
          <t>Usim Tuenti Prepago Blíster Numerada $ 15.00</t>
        </is>
      </c>
    </row>
    <row r="129" ht="14.4" customHeight="1">
      <c r="A129" s="6" t="inlineStr">
        <is>
          <t>Usim Tuenti Prepago Celofán Numerada $ 15.00</t>
        </is>
      </c>
      <c r="B129" s="6" t="inlineStr">
        <is>
          <t>Usim Tuenti Prepago Celofán Numerada $ 15.00</t>
        </is>
      </c>
    </row>
    <row r="130" ht="14.4" customHeight="1">
      <c r="A130" s="6" t="inlineStr">
        <is>
          <t>Usim Tuenti Prepago Blíster Numerada $ 20.00</t>
        </is>
      </c>
      <c r="B130" s="6" t="inlineStr">
        <is>
          <t>Usim Tuenti Prepago Blíster Numerada $ 20.00</t>
        </is>
      </c>
    </row>
    <row r="131" ht="14.4" customHeight="1">
      <c r="A131" s="6" t="inlineStr">
        <is>
          <t>Usim Tuenti Prepago Celofán Numerada $ 20.00</t>
        </is>
      </c>
      <c r="B131" s="6" t="inlineStr">
        <is>
          <t>Usim Tuenti Prepago Celofán Numerada $ 20.00</t>
        </is>
      </c>
    </row>
    <row r="132" ht="14.4" customHeight="1">
      <c r="A132" s="6" t="inlineStr">
        <is>
          <t>SIMCARD DESTRUCCIÓN</t>
        </is>
      </c>
      <c r="B132" s="6" t="inlineStr">
        <is>
          <t>SIMCARD DESTRUCCIÓN</t>
        </is>
      </c>
    </row>
    <row r="133" ht="14.4" customHeight="1">
      <c r="A133" s="6" t="inlineStr">
        <is>
          <t>SIMCARD PREPAGO PROMO SALDO $0</t>
        </is>
      </c>
      <c r="B133" s="6" t="inlineStr">
        <is>
          <t>SIMCARD PREPAGO PROMO SALDO $0</t>
        </is>
      </c>
    </row>
    <row r="134" ht="14.4" customHeight="1">
      <c r="A134" s="6" t="inlineStr">
        <is>
          <t>Usim Tuenti Prepago Celofán Numerada Freemium$3.00</t>
        </is>
      </c>
      <c r="B134" s="6" t="inlineStr">
        <is>
          <t>Usim Tuenti Prepago Celofán Numerada Freemium$3.00</t>
        </is>
      </c>
    </row>
    <row r="135" ht="14.4" customHeight="1">
      <c r="A135" s="6" t="inlineStr">
        <is>
          <t>SIM M2M INDUSTRIAL 2FF</t>
        </is>
      </c>
      <c r="B135" s="6" t="inlineStr">
        <is>
          <t>SIM M2M INDUSTRIAL 2FF</t>
        </is>
      </c>
    </row>
    <row r="136" ht="14.4" customHeight="1">
      <c r="A136" s="6" t="inlineStr">
        <is>
          <t>SIM M2M INDUSTRIAL 3FF</t>
        </is>
      </c>
      <c r="B136" s="6" t="inlineStr">
        <is>
          <t>SIM M2M INDUSTRIAL 3FF</t>
        </is>
      </c>
    </row>
    <row r="137" ht="14.4" customHeight="1">
      <c r="A137" s="3" t="inlineStr">
        <is>
          <t>SIM M2M INDUSTRIAL 4FF</t>
        </is>
      </c>
      <c r="B137" s="3" t="inlineStr">
        <is>
          <t>SIM M2M INDUSTRIAL 4FF</t>
        </is>
      </c>
    </row>
    <row r="138" ht="14.4" customHeight="1">
      <c r="A138" s="6" t="inlineStr">
        <is>
          <t>GEMALTO M2M 3FF PREPAGO</t>
        </is>
      </c>
      <c r="B138" s="6" t="inlineStr">
        <is>
          <t>Simcard M2M 3FF LTE</t>
        </is>
      </c>
    </row>
    <row r="139" ht="14.4" customHeight="1">
      <c r="A139" s="6" t="inlineStr">
        <is>
          <t>EC-64K-M2M-PR-2FF-CEL-CONEC</t>
        </is>
      </c>
      <c r="B139" s="6" t="inlineStr">
        <is>
          <t>Simcard M2M 2FF LTE</t>
        </is>
      </c>
    </row>
    <row r="140" ht="14.4" customHeight="1">
      <c r="A140" s="6" t="inlineStr">
        <is>
          <t>EC-64K-M2M-PR-4FF-CEL-CONEC</t>
        </is>
      </c>
      <c r="B140" s="6" t="inlineStr">
        <is>
          <t>Simcard M2M 4FF LTE</t>
        </is>
      </c>
    </row>
    <row r="141" ht="14.4" customHeight="1">
      <c r="A141" s="6" t="inlineStr">
        <is>
          <t>CHIP AUTOSERVICIOS COMBO $5</t>
        </is>
      </c>
      <c r="B141" s="6" t="inlineStr">
        <is>
          <t>CHIP AUTOSERVICIOS COMBO $5</t>
        </is>
      </c>
    </row>
    <row r="142" ht="14.4" customHeight="1">
      <c r="A142" s="6" t="inlineStr">
        <is>
          <t>USIM PRE-ACTIVA COMBO $5</t>
        </is>
      </c>
      <c r="B142" s="6" t="inlineStr">
        <is>
          <t>USIM PRE-ACTIVA COMBO$5</t>
        </is>
      </c>
    </row>
    <row r="143" ht="14.4" customHeight="1">
      <c r="A143" s="6" t="inlineStr">
        <is>
          <t>USIM PRE-ACTIVA COMBO$5 BLISTER M PLAY TV GRATIS</t>
        </is>
      </c>
      <c r="B143" s="6" t="inlineStr">
        <is>
          <t>USIM PRE-ACTIVA COMBO$5 BLISTER M PLAY TV GRATIS</t>
        </is>
      </c>
    </row>
    <row r="144" ht="14.4" customHeight="1">
      <c r="A144" s="6" t="inlineStr">
        <is>
          <t>SIM KITE M2M 2FF STANDARD</t>
        </is>
      </c>
      <c r="B144" s="6" t="inlineStr">
        <is>
          <t>SIM KITE M2M 2FF STANDARD</t>
        </is>
      </c>
    </row>
    <row r="145" ht="14.4" customHeight="1">
      <c r="A145" s="6" t="inlineStr">
        <is>
          <t>SIM KITE M2M 2FF HIGH TEMP</t>
        </is>
      </c>
      <c r="B145" s="6" t="inlineStr">
        <is>
          <t>SIM KITE M2M 2FF HIGH TEMP</t>
        </is>
      </c>
    </row>
    <row r="146" ht="14.4" customHeight="1">
      <c r="A146" s="6" t="inlineStr">
        <is>
          <t>SIM KITE M2M 3FF HIGH TEMP</t>
        </is>
      </c>
      <c r="B146" s="6" t="inlineStr">
        <is>
          <t>SIM KITE M2M 3FF HIGH TEMP</t>
        </is>
      </c>
    </row>
    <row r="147" ht="14.4" customHeight="1">
      <c r="A147" s="6" t="inlineStr">
        <is>
          <t>SIM KITE M2M 3FF INDUSTRIAL</t>
        </is>
      </c>
      <c r="B147" s="6" t="inlineStr">
        <is>
          <t>SIM KITE M2M 3FF INDUSTRIAL</t>
        </is>
      </c>
    </row>
    <row r="148" ht="14.4" customHeight="1">
      <c r="A148" s="6" t="inlineStr">
        <is>
          <t>SIM KITE M2M 4FF</t>
        </is>
      </c>
      <c r="B148" s="6" t="inlineStr">
        <is>
          <t>SIM KITE M2M 4FF</t>
        </is>
      </c>
    </row>
    <row r="149" ht="14.4" customHeight="1">
      <c r="A149" s="3" t="inlineStr">
        <is>
          <t>USIM AKI</t>
        </is>
      </c>
      <c r="B149" s="3" t="inlineStr">
        <is>
          <t>USIM AKI</t>
        </is>
      </c>
    </row>
    <row r="150" ht="14.4" customHeight="1">
      <c r="A150" s="3" t="inlineStr">
        <is>
          <t>USIM NUMERADA AKIMOVIL</t>
        </is>
      </c>
      <c r="B150" s="3" t="inlineStr">
        <is>
          <t>USIM NUMERADA AKIMOVIL</t>
        </is>
      </c>
    </row>
    <row r="151" ht="14.4" customHeight="1">
      <c r="A151" s="3" t="inlineStr">
        <is>
          <t>USIM PORTABILIDAD AKIMOVIL</t>
        </is>
      </c>
      <c r="B151" s="3" t="inlineStr">
        <is>
          <t>USIM PORTABILIDAD AKIMOVIL</t>
        </is>
      </c>
    </row>
    <row r="152" ht="14.4" customHeight="1">
      <c r="A152" s="3" t="inlineStr">
        <is>
          <t>USIM REPOSICION AKIMOVIL</t>
        </is>
      </c>
      <c r="B152" s="3" t="inlineStr">
        <is>
          <t>USIM REPOSICION AKIMOVIL</t>
        </is>
      </c>
    </row>
    <row r="153" ht="14.4" customHeight="1">
      <c r="A153" s="3" t="inlineStr">
        <is>
          <t>USIM MAXI</t>
        </is>
      </c>
      <c r="B153" s="3" t="inlineStr">
        <is>
          <t>USIM MAXI</t>
        </is>
      </c>
    </row>
    <row r="154" ht="14.4" customHeight="1">
      <c r="A154" s="3" t="inlineStr">
        <is>
          <t>USIM NUMERADA MAXIPLUS</t>
        </is>
      </c>
      <c r="B154" s="3" t="inlineStr">
        <is>
          <t>USIM NUMERADA MAXIPLUS</t>
        </is>
      </c>
    </row>
    <row r="155" ht="14.4" customHeight="1">
      <c r="A155" s="3" t="inlineStr">
        <is>
          <t>USIM PORTABILIDAD MAXIPLUS</t>
        </is>
      </c>
      <c r="B155" s="3" t="inlineStr">
        <is>
          <t>USIM PORTABILIDAD MAXIPLUS</t>
        </is>
      </c>
    </row>
    <row r="156" ht="14.4" customHeight="1">
      <c r="A156" s="3" t="inlineStr">
        <is>
          <t>USIM REPOSICION MAXIPLUS</t>
        </is>
      </c>
      <c r="B156" s="3" t="inlineStr">
        <is>
          <t>USIM REPOSICION MAXIPLUS</t>
        </is>
      </c>
    </row>
    <row r="157" ht="14.4" customHeight="1">
      <c r="A157" s="28" t="inlineStr">
        <is>
          <t>CHIP PREPAGO $5 AUTOSERVICIO</t>
        </is>
      </c>
      <c r="B157" s="29" t="inlineStr">
        <is>
          <t>CHIP PREPAGO $5 AUTOSERVICIO</t>
        </is>
      </c>
    </row>
    <row r="158" ht="14.4" customHeight="1">
      <c r="A158" s="28" t="inlineStr">
        <is>
          <t>CHIP PREPAGO $5 NUMERADO</t>
        </is>
      </c>
      <c r="B158" s="29" t="inlineStr">
        <is>
          <t>CHIP PREPAGO $5 NUMERADO</t>
        </is>
      </c>
    </row>
    <row r="159" ht="14.4" customHeight="1">
      <c r="A159" s="28" t="inlineStr">
        <is>
          <t>CHIP PREPAGO $3 AUTOSERVICIO</t>
        </is>
      </c>
      <c r="B159" s="29" t="inlineStr">
        <is>
          <t>CHIP PREPAGO $3 AUTOSERVICIO</t>
        </is>
      </c>
    </row>
    <row r="160" ht="14.4" customHeight="1">
      <c r="A160" s="28" t="inlineStr">
        <is>
          <t>CHIP PREPAGO $3 NUMERADO</t>
        </is>
      </c>
      <c r="B160" s="29" t="inlineStr">
        <is>
          <t>CHIP PREPAGO $3 NUMERADO</t>
        </is>
      </c>
    </row>
    <row r="161" ht="14.4" customHeight="1">
      <c r="A161" s="3" t="inlineStr">
        <is>
          <t>SIMCARD M2M 2FF LTE</t>
        </is>
      </c>
      <c r="B161" s="3" t="inlineStr">
        <is>
          <t>SIMCARD M2M 2FF LTE</t>
        </is>
      </c>
    </row>
    <row r="162" ht="14.4" customHeight="1">
      <c r="A162" s="3" t="inlineStr">
        <is>
          <t>SIMCARD M2M 4FF LTE</t>
        </is>
      </c>
      <c r="B162" s="3" t="inlineStr">
        <is>
          <t>SIMCARD M2M 4FF LTE</t>
        </is>
      </c>
    </row>
    <row r="163" ht="14.4" customHeight="1">
      <c r="A163" s="3" t="inlineStr">
        <is>
          <t xml:space="preserve">SIMCARD PORTABILIDAD PREPAGO </t>
        </is>
      </c>
      <c r="B163" s="3" t="inlineStr">
        <is>
          <t xml:space="preserve">SIMCARD PORTABILIDAD PREPAGO </t>
        </is>
      </c>
    </row>
    <row r="164" ht="14.4" customHeight="1">
      <c r="A164" s="3" t="inlineStr">
        <is>
          <t>TUENTI VIRGEN REPOSICION 5.00</t>
        </is>
      </c>
      <c r="B164" s="3" t="inlineStr">
        <is>
          <t>TUENTI VIRGEN REPOSICION 5.00</t>
        </is>
      </c>
    </row>
    <row r="165" ht="14.4" customHeight="1">
      <c r="A165" s="3" t="inlineStr">
        <is>
          <t>TUENTI VIRGEN REPOSICION SIN COSTO</t>
        </is>
      </c>
      <c r="B165" s="3" t="inlineStr">
        <is>
          <t>TUENTI VIRGEN REPOSICION SIN COSTO</t>
        </is>
      </c>
    </row>
    <row r="166" ht="14.4" customHeight="1">
      <c r="A166" s="3" t="inlineStr">
        <is>
          <t>SIMCARDS HOMOLOGACION</t>
        </is>
      </c>
      <c r="B166" s="3" t="inlineStr">
        <is>
          <t>SIMCARDS HOMOLOGACION</t>
        </is>
      </c>
    </row>
    <row r="167" ht="14.4" customHeight="1">
      <c r="A167" s="3" t="inlineStr">
        <is>
          <t>DISTRIBUCION NUMERADA</t>
        </is>
      </c>
      <c r="B167" s="3" t="inlineStr">
        <is>
          <t>DISTRIBUCION NUMERADA</t>
        </is>
      </c>
    </row>
    <row r="168" ht="14.4" customHeight="1">
      <c r="A168" s="2" t="inlineStr">
        <is>
          <t>ESIM EVOUCHERS CODE QR</t>
        </is>
      </c>
      <c r="B168" s="2" t="inlineStr">
        <is>
          <t>ESIM EVOUCHERS CODE QR</t>
        </is>
      </c>
    </row>
    <row r="169" ht="14.4" customHeight="1">
      <c r="A169" s="2" t="inlineStr">
        <is>
          <t>HALF SIM MOVISTAR</t>
        </is>
      </c>
      <c r="B169" s="2" t="inlineStr">
        <is>
          <t>HALF SIM MOVISTAR</t>
        </is>
      </c>
    </row>
    <row r="170" ht="14.4" customHeight="1">
      <c r="A170" s="2" t="inlineStr">
        <is>
          <t>USIM MULTISIM MOVISTAR</t>
        </is>
      </c>
      <c r="B170" s="2" t="inlineStr">
        <is>
          <t>USIM MULTISIM MOVISTAR</t>
        </is>
      </c>
    </row>
    <row r="171" ht="14.4" customHeight="1">
      <c r="A171" s="2" t="inlineStr">
        <is>
          <t>HALFSIM MOVISTAR SIN AUTENTICAR</t>
        </is>
      </c>
      <c r="B171" s="2" t="inlineStr">
        <is>
          <t>HALFSIM MOVISTAR SIN AUTENTICAR</t>
        </is>
      </c>
    </row>
    <row r="172" ht="14.4" customHeight="1">
      <c r="A172" s="2" t="inlineStr">
        <is>
          <t>HALFSIM TUENTI SIN AUTENTICAR</t>
        </is>
      </c>
      <c r="B172" s="2" t="inlineStr">
        <is>
          <t>HALFSIM TUENTI SIN AUTENTICAR</t>
        </is>
      </c>
    </row>
    <row r="173" ht="14.4" customHeight="1">
      <c r="A173" s="2" t="inlineStr">
        <is>
          <t>SIMCARD PORTABILIDAD PREPAGO</t>
        </is>
      </c>
      <c r="B173" s="2" t="inlineStr">
        <is>
          <t>SIMCARD PORTABILIDAD PREPAGO</t>
        </is>
      </c>
    </row>
    <row r="174" ht="14.4" customHeight="1">
      <c r="A174" s="2" t="inlineStr">
        <is>
          <t>MICROSIM 3FF PREPAGO PROMO SALDO $0 (NUMERA) 128K</t>
        </is>
      </c>
      <c r="B174" s="2" t="inlineStr">
        <is>
          <t>MICROSIM 3FF PREPAGO PROMO SALDO $0 (NUMERA) 128K</t>
        </is>
      </c>
    </row>
    <row r="175" ht="14.4" customHeight="1">
      <c r="A175" s="2" t="inlineStr">
        <is>
          <t>USIM MULTISIM MOVISTAR</t>
        </is>
      </c>
      <c r="B175" s="2" t="inlineStr">
        <is>
          <t>USIM MULTISIM MOVISTAR</t>
        </is>
      </c>
    </row>
    <row r="176" ht="14.4" customHeight="1">
      <c r="A176" s="2" t="inlineStr">
        <is>
          <t>SIMCARD M2M 3FF LTE</t>
        </is>
      </c>
      <c r="B176" s="2" t="inlineStr">
        <is>
          <t>SIMCARD M2M 3FF LTE</t>
        </is>
      </c>
    </row>
    <row r="177" ht="14.4" customHeight="1">
      <c r="A177" s="2" t="inlineStr">
        <is>
          <t>Halfsim Tuenti Prepago Celofán Numerada $ 5.00</t>
        </is>
      </c>
      <c r="B177" s="2" t="inlineStr">
        <is>
          <t>Halfsim Tuenti Prepago Celofán Numerada $ 5.00</t>
        </is>
      </c>
    </row>
    <row r="178" ht="14.4" customHeight="1">
      <c r="A178" s="2" t="inlineStr">
        <is>
          <t>HALF SIM TUENTI SIN AUTENTICAR</t>
        </is>
      </c>
      <c r="B178" s="2" t="inlineStr">
        <is>
          <t>HALF SIM TUENTI SIN AUTENTICAR</t>
        </is>
      </c>
    </row>
    <row r="179" ht="14.4" customHeight="1">
      <c r="A179" s="2" t="inlineStr">
        <is>
          <t>HALFSIM TUENTI</t>
        </is>
      </c>
      <c r="B179" s="2" t="inlineStr">
        <is>
          <t>HALFSIM TUENTI</t>
        </is>
      </c>
    </row>
    <row r="180" ht="14.4" customHeight="1">
      <c r="A180" s="2" t="inlineStr">
        <is>
          <t>HALFSIM M2M 2FF LTE SIN AUTENTICAR</t>
        </is>
      </c>
      <c r="B180" s="2" t="inlineStr">
        <is>
          <t>HALFSIM M2M 2FF LTE SIN AUTENTICAR</t>
        </is>
      </c>
    </row>
    <row r="181" ht="14.4" customHeight="1">
      <c r="A181" s="2" t="inlineStr">
        <is>
          <t>HALFSIM M2M 3FF LTE SIN AUTENTICAR</t>
        </is>
      </c>
      <c r="B181" s="2" t="inlineStr">
        <is>
          <t>HALFSIM M2M 3FF LTE SIN AUTENTICAR</t>
        </is>
      </c>
    </row>
    <row r="182" ht="14.4" customHeight="1">
      <c r="A182" s="2" t="inlineStr">
        <is>
          <t>HalfsimTuenti PrepagoCelofanNumerada $5sin sticker</t>
        </is>
      </c>
      <c r="B182" s="2" t="inlineStr">
        <is>
          <t>HalfsimTuenti PrepagoCelofanNumerada $5sin sticker</t>
        </is>
      </c>
    </row>
    <row r="183" ht="14.4" customHeight="1">
      <c r="A183" s="2" t="inlineStr">
        <is>
          <t>Halfsim Tuenti Prepago Celofán Numerada $10.00</t>
        </is>
      </c>
      <c r="B183" s="2" t="inlineStr">
        <is>
          <t>Halfsim Tuenti Prepago Celofán Numerada $10.00</t>
        </is>
      </c>
    </row>
    <row r="184" ht="14.4" customHeight="1">
      <c r="A184" s="2" t="inlineStr">
        <is>
          <t>Halfsim Tuenti Prepago Celofán Numerada $20.00</t>
        </is>
      </c>
      <c r="B184" s="2" t="inlineStr">
        <is>
          <t>Halfsim Tuenti Prepago Celofán Numerada $20.00</t>
        </is>
      </c>
    </row>
    <row r="185" ht="14.4" customHeight="1">
      <c r="A185" s="2" t="inlineStr">
        <is>
          <t>USIM CHIP PREPAGO WIFI MOVIL $5 AUTOSERVICIO</t>
        </is>
      </c>
      <c r="B185" s="2" t="inlineStr">
        <is>
          <t>USIM CHIP PREPAGO WIFI MOVIL $5 AUTOSERVICIO</t>
        </is>
      </c>
    </row>
    <row r="186" ht="14.4" customHeight="1">
      <c r="A186" s="2" t="inlineStr">
        <is>
          <t>Halfsim Tuenti Prepago Celofán Numerada $25.00</t>
        </is>
      </c>
      <c r="B186" s="2" t="inlineStr">
        <is>
          <t>Halfsim Tuenti Prepago Celofán Numerada $25.00</t>
        </is>
      </c>
    </row>
    <row r="187" ht="14.4" customHeight="1">
      <c r="A187" s="2" t="inlineStr">
        <is>
          <t xml:space="preserve">Halfsim Tuenti Prepago Celofán Numerada $10.00 </t>
        </is>
      </c>
      <c r="B187" s="2" t="inlineStr">
        <is>
          <t xml:space="preserve">Halfsim Tuenti Prepago Celofán Numerada $10.00 </t>
        </is>
      </c>
    </row>
    <row r="188" ht="14.4" customHeight="1">
      <c r="A188" s="2" t="inlineStr">
        <is>
          <t>HALFSIM TUENTI CELOFAN PORTABILIDAD</t>
        </is>
      </c>
      <c r="B188" s="2" t="inlineStr">
        <is>
          <t>HALFSIM TUENTI CELOFAN PORTABILIDAD</t>
        </is>
      </c>
    </row>
    <row r="189" ht="14.4" customHeight="1">
      <c r="A189" s="2" t="inlineStr">
        <is>
          <t>HALFSIM TUENTI CELOFAN REPOSICION</t>
        </is>
      </c>
      <c r="B189" s="2" t="inlineStr">
        <is>
          <t>HALFSIM TUENTI CELOFAN REPOSICION</t>
        </is>
      </c>
    </row>
    <row r="190" ht="14.4" customHeight="1"/>
    <row r="191" ht="14.4" customHeight="1"/>
    <row r="192" ht="14.4" customHeight="1"/>
    <row r="193" ht="14.4" customHeight="1"/>
    <row r="194" ht="14.4" customHeight="1"/>
    <row r="195" ht="14.4" customHeight="1"/>
    <row r="196" ht="14.4" customHeight="1"/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Hoja3">
    <tabColor rgb="FFFFFF00"/>
    <outlinePr summaryBelow="1" summaryRight="1"/>
    <pageSetUpPr/>
  </sheetPr>
  <dimension ref="A1:T54"/>
  <sheetViews>
    <sheetView zoomScale="90" zoomScaleNormal="90" workbookViewId="0">
      <selection activeCell="D11" sqref="D11"/>
    </sheetView>
  </sheetViews>
  <sheetFormatPr baseColWidth="10" defaultColWidth="11.44140625" defaultRowHeight="10.2"/>
  <cols>
    <col collapsed="1" width="15.88671875" bestFit="1" customWidth="1" style="2" min="1" max="1"/>
    <col collapsed="1" width="42.6640625" bestFit="1" customWidth="1" style="2" min="2" max="2"/>
    <col collapsed="1" width="21" customWidth="1" style="2" min="3" max="4"/>
    <col collapsed="1" width="21" bestFit="1" customWidth="1" style="2" min="5" max="5"/>
    <col collapsed="1" width="21" customWidth="1" style="2" min="6" max="7"/>
    <col collapsed="1" width="13" customWidth="1" style="2" min="8" max="8"/>
    <col collapsed="1" width="31.109375" bestFit="1" customWidth="1" style="141" min="9" max="9"/>
    <col collapsed="1" width="11.44140625" customWidth="1" style="2" min="10" max="13"/>
    <col collapsed="1" width="15.88671875" bestFit="1" customWidth="1" style="2" min="14" max="14"/>
    <col collapsed="1" width="21.44140625" customWidth="1" style="2" min="15" max="15"/>
    <col collapsed="1" width="21" customWidth="1" style="2" min="16" max="17"/>
    <col collapsed="1" width="13" customWidth="1" style="2" min="18" max="18"/>
    <col collapsed="1" width="21" customWidth="1" style="2" min="19" max="19"/>
    <col collapsed="1" width="13" customWidth="1" style="2" min="20" max="20"/>
    <col collapsed="1" width="11.44140625" customWidth="1" style="2" min="21" max="16384"/>
  </cols>
  <sheetData>
    <row r="1">
      <c r="A1" s="42" t="inlineStr">
        <is>
          <t>STATUS</t>
        </is>
      </c>
      <c r="B1" s="42" t="inlineStr">
        <is>
          <t>DISPONIBLE</t>
        </is>
      </c>
      <c r="N1" s="42" t="inlineStr">
        <is>
          <t>STATUS</t>
        </is>
      </c>
      <c r="O1" s="42" t="inlineStr">
        <is>
          <t>DISPONIBLE</t>
        </is>
      </c>
    </row>
    <row r="3" ht="14.4" customHeight="1">
      <c r="A3" s="42" t="inlineStr">
        <is>
          <t>Suma de STOCK</t>
        </is>
      </c>
      <c r="B3" s="42" t="n"/>
      <c r="C3" s="42" t="inlineStr">
        <is>
          <t>DISPONIBILIDAD</t>
        </is>
      </c>
      <c r="D3" s="42" t="inlineStr">
        <is>
          <t>ALMACEN</t>
        </is>
      </c>
      <c r="E3" s="42" t="n"/>
      <c r="F3" s="42" t="n"/>
      <c r="G3" s="42" t="n"/>
      <c r="H3" s="42" t="n"/>
      <c r="N3" s="42" t="inlineStr">
        <is>
          <t>Suma de STOCK</t>
        </is>
      </c>
      <c r="O3" s="42" t="n"/>
      <c r="P3" s="42" t="inlineStr">
        <is>
          <t>DISPONIBILIDAD</t>
        </is>
      </c>
      <c r="Q3" s="42" t="inlineStr">
        <is>
          <t>ALMACEN</t>
        </is>
      </c>
      <c r="R3" s="42" t="n"/>
    </row>
    <row r="4" ht="14.4" customHeight="1">
      <c r="A4" s="42" t="n"/>
      <c r="B4" s="42" t="n"/>
      <c r="C4" s="42" t="inlineStr">
        <is>
          <t>STOCK DISPONIBLE</t>
        </is>
      </c>
      <c r="D4" s="42" t="inlineStr">
        <is>
          <t>STOCK DISPONIBLE</t>
        </is>
      </c>
      <c r="E4" s="42" t="inlineStr">
        <is>
          <t>STOCK DISPONIBLE</t>
        </is>
      </c>
      <c r="F4" s="42" t="inlineStr">
        <is>
          <t>STOCK DISPONIBLE</t>
        </is>
      </c>
      <c r="G4" s="42" t="inlineStr">
        <is>
          <t>STOCK DISPONIBLE</t>
        </is>
      </c>
      <c r="H4" s="42" t="inlineStr">
        <is>
          <t>Total general</t>
        </is>
      </c>
      <c r="I4" s="84" t="inlineStr">
        <is>
          <t>STOCK DISPONIBLE PRODUCIDO</t>
        </is>
      </c>
      <c r="N4" s="42" t="n"/>
      <c r="O4" s="42" t="n"/>
      <c r="P4" s="42" t="inlineStr">
        <is>
          <t>STOCK DISPONIBLE</t>
        </is>
      </c>
      <c r="Q4" s="42" t="inlineStr">
        <is>
          <t>STOCK DISPONIBLE</t>
        </is>
      </c>
      <c r="R4" s="42" t="inlineStr">
        <is>
          <t>Total general</t>
        </is>
      </c>
    </row>
    <row r="5" ht="14.4" customHeight="1">
      <c r="A5" s="42" t="inlineStr">
        <is>
          <t>SCL 2</t>
        </is>
      </c>
      <c r="B5" s="42" t="inlineStr">
        <is>
          <t>ARTICULO SCL</t>
        </is>
      </c>
      <c r="C5" s="42" t="inlineStr">
        <is>
          <t>Bunker Tarjetas</t>
        </is>
      </c>
      <c r="D5" s="42" t="inlineStr">
        <is>
          <t>Matriz /tarjetas</t>
        </is>
      </c>
      <c r="E5" s="42" t="inlineStr">
        <is>
          <t>Tienda Virtual</t>
        </is>
      </c>
      <c r="F5" s="42" t="inlineStr">
        <is>
          <t>Bodega Produccion</t>
        </is>
      </c>
      <c r="G5" s="42" t="inlineStr">
        <is>
          <t>SIN AUTENTICAR</t>
        </is>
      </c>
      <c r="H5" s="42" t="n"/>
      <c r="I5" s="142" t="n"/>
      <c r="N5" s="42" t="inlineStr">
        <is>
          <t>SCL 2</t>
        </is>
      </c>
      <c r="O5" s="42" t="inlineStr">
        <is>
          <t>ARTICULO SCL</t>
        </is>
      </c>
      <c r="P5" s="42" t="inlineStr">
        <is>
          <t>Matriz /tarjetas</t>
        </is>
      </c>
      <c r="Q5" s="42" t="inlineStr">
        <is>
          <t>SIN AUTENTICAR</t>
        </is>
      </c>
      <c r="R5" s="42" t="n"/>
    </row>
    <row r="6" ht="14.4" customHeight="1">
      <c r="A6" s="42" t="n">
        <v>714</v>
      </c>
      <c r="B6" s="42" t="inlineStr">
        <is>
          <t>SIMCARD 2FF PREPAGO 128K</t>
        </is>
      </c>
      <c r="C6" s="42" t="n">
        <v>25</v>
      </c>
      <c r="D6" s="42" t="n"/>
      <c r="E6" s="42" t="n"/>
      <c r="F6" s="42" t="n"/>
      <c r="G6" s="42" t="n"/>
      <c r="H6" s="42" t="n">
        <v>25</v>
      </c>
      <c r="I6" s="143">
        <f>+C6+E6</f>
        <v/>
      </c>
      <c r="N6" s="42" t="n">
        <v>105944</v>
      </c>
      <c r="O6" s="42" t="inlineStr">
        <is>
          <t>DISTRIBUCION NUMERADA</t>
        </is>
      </c>
      <c r="P6" s="42" t="n">
        <v>22773</v>
      </c>
      <c r="Q6" s="42" t="n"/>
      <c r="R6" s="42" t="n">
        <v>22773</v>
      </c>
    </row>
    <row r="7" ht="14.4" customHeight="1">
      <c r="A7" s="42" t="n">
        <v>1534</v>
      </c>
      <c r="B7" s="42" t="inlineStr">
        <is>
          <t>SIMCARD M2M POSPAGO GEMALTO</t>
        </is>
      </c>
      <c r="C7" s="42" t="n">
        <v>23463</v>
      </c>
      <c r="D7" s="42" t="n"/>
      <c r="E7" s="42" t="n">
        <v>3849</v>
      </c>
      <c r="F7" s="42" t="n"/>
      <c r="G7" s="42" t="n"/>
      <c r="H7" s="42" t="n">
        <v>27312</v>
      </c>
      <c r="I7" s="143">
        <f>+C7+E7</f>
        <v/>
      </c>
      <c r="N7" s="42" t="n">
        <v>162113</v>
      </c>
      <c r="O7" s="42" t="inlineStr">
        <is>
          <t>USIM MAXI</t>
        </is>
      </c>
      <c r="P7" s="42" t="n">
        <v>29840</v>
      </c>
      <c r="Q7" s="42" t="n">
        <v>149991</v>
      </c>
      <c r="R7" s="42" t="n">
        <v>179831</v>
      </c>
    </row>
    <row r="8" ht="14.4" customHeight="1">
      <c r="A8" s="42" t="n">
        <v>84948</v>
      </c>
      <c r="B8" s="42" t="inlineStr">
        <is>
          <t>USIM TUENTI PREPAGO (CELOFÁN)</t>
        </is>
      </c>
      <c r="C8" s="42" t="n">
        <v>1</v>
      </c>
      <c r="D8" s="42" t="n"/>
      <c r="E8" s="42" t="n"/>
      <c r="F8" s="42" t="n"/>
      <c r="G8" s="42" t="n"/>
      <c r="H8" s="42" t="n">
        <v>1</v>
      </c>
      <c r="I8" s="143">
        <f>+C8+E8</f>
        <v/>
      </c>
      <c r="N8" s="42" t="n">
        <v>162114</v>
      </c>
      <c r="O8" s="42" t="inlineStr">
        <is>
          <t>USIM AKI</t>
        </is>
      </c>
      <c r="P8" s="42" t="n"/>
      <c r="Q8" s="42" t="n">
        <v>149991</v>
      </c>
      <c r="R8" s="42" t="n">
        <v>149991</v>
      </c>
    </row>
    <row r="9" ht="14.4" customHeight="1">
      <c r="A9" s="42" t="n">
        <v>96946</v>
      </c>
      <c r="B9" s="42" t="inlineStr">
        <is>
          <t>SUPER CHIP AUTOSERVICIOS INTERNET(numeradas)</t>
        </is>
      </c>
      <c r="C9" s="42" t="n">
        <v>1541</v>
      </c>
      <c r="D9" s="42" t="n"/>
      <c r="E9" s="42" t="n"/>
      <c r="F9" s="42" t="n"/>
      <c r="G9" s="42" t="n"/>
      <c r="H9" s="42" t="n">
        <v>1541</v>
      </c>
      <c r="I9" s="143">
        <f>+C9+E9</f>
        <v/>
      </c>
      <c r="N9" s="42" t="inlineStr">
        <is>
          <t>Total general</t>
        </is>
      </c>
      <c r="O9" s="42" t="n"/>
      <c r="P9" s="42" t="n">
        <v>52613</v>
      </c>
      <c r="Q9" s="42" t="n">
        <v>299982</v>
      </c>
      <c r="R9" s="42" t="n">
        <v>352595</v>
      </c>
    </row>
    <row r="10" ht="14.4" customHeight="1">
      <c r="A10" s="42" t="n">
        <v>98948</v>
      </c>
      <c r="B10" s="42" t="inlineStr">
        <is>
          <t>SIM SUPER CHIP AUTOSERVICIOS (numeradas)</t>
        </is>
      </c>
      <c r="C10" s="42" t="n"/>
      <c r="D10" s="42" t="n">
        <v>152</v>
      </c>
      <c r="E10" s="42" t="n"/>
      <c r="F10" s="42" t="n"/>
      <c r="G10" s="42" t="n"/>
      <c r="H10" s="42" t="n">
        <v>152</v>
      </c>
      <c r="I10" s="143">
        <f>+C10+E10</f>
        <v/>
      </c>
    </row>
    <row r="11" ht="14.4" customHeight="1">
      <c r="A11" s="42" t="n">
        <v>105944</v>
      </c>
      <c r="B11" s="42" t="inlineStr">
        <is>
          <t>DISTRIBUCION NUMERADA</t>
        </is>
      </c>
      <c r="C11" s="42" t="n"/>
      <c r="D11" s="42" t="n">
        <v>22773</v>
      </c>
      <c r="E11" s="42" t="n"/>
      <c r="F11" s="42" t="n"/>
      <c r="G11" s="42" t="n"/>
      <c r="H11" s="42" t="n">
        <v>22773</v>
      </c>
      <c r="I11" s="143">
        <f>+C11+E11</f>
        <v/>
      </c>
    </row>
    <row r="12" ht="14.4" customHeight="1">
      <c r="A12" s="42" t="n">
        <v>113950</v>
      </c>
      <c r="B12" s="42" t="inlineStr">
        <is>
          <t>Usim Tuenti Prepago Celofán Numerada $5 SinSticker</t>
        </is>
      </c>
      <c r="C12" s="42" t="n">
        <v>2309</v>
      </c>
      <c r="D12" s="42" t="n"/>
      <c r="E12" s="42" t="n"/>
      <c r="F12" s="42" t="n"/>
      <c r="G12" s="42" t="n"/>
      <c r="H12" s="42" t="n">
        <v>2309</v>
      </c>
      <c r="I12" s="143">
        <f>+C12+E12</f>
        <v/>
      </c>
    </row>
    <row r="13" ht="14.4" customHeight="1">
      <c r="A13" s="42" t="n">
        <v>113950</v>
      </c>
      <c r="B13" s="42" t="inlineStr">
        <is>
          <t>Usim Tuenti Prepago Celofán Numerada $ 5.00</t>
        </is>
      </c>
      <c r="C13" s="42" t="n">
        <v>12056</v>
      </c>
      <c r="D13" s="42" t="n"/>
      <c r="E13" s="42" t="n">
        <v>12</v>
      </c>
      <c r="F13" s="42" t="n"/>
      <c r="G13" s="42" t="n"/>
      <c r="H13" s="42" t="n">
        <v>12068</v>
      </c>
      <c r="I13" s="143">
        <f>+C13+E13</f>
        <v/>
      </c>
    </row>
    <row r="14" ht="14.4" customHeight="1">
      <c r="A14" s="42" t="n">
        <v>113950</v>
      </c>
      <c r="B14" s="42" t="inlineStr">
        <is>
          <t>Usim Tuenti Prepago Celofán Numerada Freemium$3.00</t>
        </is>
      </c>
      <c r="C14" s="42" t="n">
        <v>774</v>
      </c>
      <c r="D14" s="42" t="n"/>
      <c r="E14" s="42" t="n"/>
      <c r="F14" s="42" t="n"/>
      <c r="G14" s="42" t="n"/>
      <c r="H14" s="42" t="n">
        <v>774</v>
      </c>
      <c r="I14" s="143">
        <f>+C14+E14</f>
        <v/>
      </c>
    </row>
    <row r="15" ht="14.4" customHeight="1">
      <c r="A15" s="42" t="n">
        <v>113950</v>
      </c>
      <c r="B15" s="42" t="inlineStr">
        <is>
          <t>USIM GENERICA SIN AUTENTICAR</t>
        </is>
      </c>
      <c r="C15" s="42" t="n">
        <v>8</v>
      </c>
      <c r="D15" s="42" t="n"/>
      <c r="E15" s="42" t="n"/>
      <c r="F15" s="42" t="n"/>
      <c r="G15" s="42" t="n"/>
      <c r="H15" s="42" t="n">
        <v>8</v>
      </c>
      <c r="I15" s="143">
        <f>+C15+E15</f>
        <v/>
      </c>
    </row>
    <row r="16" ht="14.4" customHeight="1">
      <c r="A16" s="42" t="n">
        <v>140948</v>
      </c>
      <c r="B16" s="42" t="inlineStr">
        <is>
          <t>CHIP PREPAGO AUTOSERVICIOS TURISTA numerada</t>
        </is>
      </c>
      <c r="C16" s="42" t="n">
        <v>5</v>
      </c>
      <c r="D16" s="42" t="n"/>
      <c r="E16" s="42" t="n"/>
      <c r="F16" s="42" t="n"/>
      <c r="G16" s="42" t="n"/>
      <c r="H16" s="42" t="n">
        <v>5</v>
      </c>
      <c r="I16" s="143">
        <f>+C16+E16</f>
        <v/>
      </c>
    </row>
    <row r="17" ht="14.4" customHeight="1">
      <c r="A17" s="42" t="n">
        <v>162047</v>
      </c>
      <c r="B17" s="42" t="inlineStr">
        <is>
          <t>SIMCARD M2M 3FF LTE</t>
        </is>
      </c>
      <c r="C17" s="42" t="n">
        <v>9126</v>
      </c>
      <c r="D17" s="42" t="n"/>
      <c r="E17" s="42" t="n">
        <v>1417</v>
      </c>
      <c r="F17" s="42" t="n"/>
      <c r="G17" s="42" t="n"/>
      <c r="H17" s="42" t="n">
        <v>10543</v>
      </c>
      <c r="I17" s="143">
        <f>+C17+E17</f>
        <v/>
      </c>
    </row>
    <row r="18" ht="14.4" customHeight="1">
      <c r="A18" s="42" t="n">
        <v>162046</v>
      </c>
      <c r="B18" s="42" t="inlineStr">
        <is>
          <t>SIMCARD M2M 2FF LTE</t>
        </is>
      </c>
      <c r="C18" s="42" t="n">
        <v>398</v>
      </c>
      <c r="D18" s="42" t="n">
        <v>9996</v>
      </c>
      <c r="E18" s="42" t="n">
        <v>2273</v>
      </c>
      <c r="F18" s="42" t="n"/>
      <c r="G18" s="42" t="n"/>
      <c r="H18" s="42" t="n">
        <v>12667</v>
      </c>
      <c r="I18" s="143">
        <f>+C18+E18</f>
        <v/>
      </c>
    </row>
    <row r="19" ht="14.4" customHeight="1">
      <c r="A19" s="42" t="n">
        <v>162048</v>
      </c>
      <c r="B19" s="42" t="inlineStr">
        <is>
          <t>SIMCARD M2M 4FF LTE</t>
        </is>
      </c>
      <c r="C19" s="42" t="n">
        <v>2755</v>
      </c>
      <c r="D19" s="42" t="n"/>
      <c r="E19" s="42" t="n">
        <v>206</v>
      </c>
      <c r="F19" s="42" t="n"/>
      <c r="G19" s="42" t="n"/>
      <c r="H19" s="42" t="n">
        <v>2961</v>
      </c>
      <c r="I19" s="143">
        <f>+C19+E19</f>
        <v/>
      </c>
    </row>
    <row r="20" ht="14.4" customHeight="1">
      <c r="A20" s="42" t="n">
        <v>2748</v>
      </c>
      <c r="B20" s="42" t="inlineStr">
        <is>
          <t>USIM PORTABILIDAD MAXIPLUS</t>
        </is>
      </c>
      <c r="C20" s="42" t="n">
        <v>5524</v>
      </c>
      <c r="D20" s="42" t="n"/>
      <c r="E20" s="42" t="n"/>
      <c r="F20" s="42" t="n"/>
      <c r="G20" s="42" t="n"/>
      <c r="H20" s="42" t="n">
        <v>5524</v>
      </c>
      <c r="I20" s="143">
        <f>+C20+E20</f>
        <v/>
      </c>
    </row>
    <row r="21" ht="14.4" customHeight="1">
      <c r="A21" s="42" t="n">
        <v>2749</v>
      </c>
      <c r="B21" s="42" t="inlineStr">
        <is>
          <t>USIM REPOSICION MAXIPLUS</t>
        </is>
      </c>
      <c r="C21" s="42" t="n">
        <v>842</v>
      </c>
      <c r="D21" s="42" t="n"/>
      <c r="E21" s="42" t="n"/>
      <c r="F21" s="42" t="n"/>
      <c r="G21" s="42" t="n"/>
      <c r="H21" s="42" t="n">
        <v>842</v>
      </c>
      <c r="I21" s="143">
        <f>+C21+E21</f>
        <v/>
      </c>
    </row>
    <row r="22" ht="14.4" customHeight="1">
      <c r="A22" s="42" t="n">
        <v>2751</v>
      </c>
      <c r="B22" s="42" t="inlineStr">
        <is>
          <t>USIM PORTABILIDAD AKIMOVIL</t>
        </is>
      </c>
      <c r="C22" s="42" t="n">
        <v>2624</v>
      </c>
      <c r="D22" s="42" t="n"/>
      <c r="E22" s="42" t="n"/>
      <c r="F22" s="42" t="n"/>
      <c r="G22" s="42" t="n"/>
      <c r="H22" s="42" t="n">
        <v>2624</v>
      </c>
      <c r="I22" s="143">
        <f>+C22+E22</f>
        <v/>
      </c>
    </row>
    <row r="23" ht="14.4" customHeight="1">
      <c r="A23" s="42" t="n">
        <v>2752</v>
      </c>
      <c r="B23" s="42" t="inlineStr">
        <is>
          <t>USIM REPOSICION AKIMOVIL</t>
        </is>
      </c>
      <c r="C23" s="42" t="n">
        <v>592</v>
      </c>
      <c r="D23" s="42" t="n"/>
      <c r="E23" s="42" t="n"/>
      <c r="F23" s="42" t="n"/>
      <c r="G23" s="42" t="n"/>
      <c r="H23" s="42" t="n">
        <v>592</v>
      </c>
      <c r="I23" s="143">
        <f>+C23+E23</f>
        <v/>
      </c>
    </row>
    <row r="24" ht="14.4" customHeight="1">
      <c r="A24" s="42" t="n">
        <v>2747</v>
      </c>
      <c r="B24" s="42" t="inlineStr">
        <is>
          <t>USIM NUMERADA MAXIPLUS</t>
        </is>
      </c>
      <c r="C24" s="42" t="n">
        <v>15520</v>
      </c>
      <c r="D24" s="42" t="n"/>
      <c r="E24" s="42" t="n"/>
      <c r="F24" s="42" t="n"/>
      <c r="G24" s="42" t="n"/>
      <c r="H24" s="42" t="n">
        <v>15520</v>
      </c>
      <c r="I24" s="143">
        <f>+C24+E24</f>
        <v/>
      </c>
    </row>
    <row r="25" ht="14.4" customHeight="1">
      <c r="A25" s="42" t="n">
        <v>2750</v>
      </c>
      <c r="B25" s="42" t="inlineStr">
        <is>
          <t>USIM NUMERADA AKIMOVIL</t>
        </is>
      </c>
      <c r="C25" s="42" t="n">
        <v>483</v>
      </c>
      <c r="D25" s="42" t="n"/>
      <c r="E25" s="42" t="n"/>
      <c r="F25" s="42" t="n"/>
      <c r="G25" s="42" t="n"/>
      <c r="H25" s="42" t="n">
        <v>483</v>
      </c>
      <c r="I25" s="143">
        <f>+C25+E25</f>
        <v/>
      </c>
    </row>
    <row r="26" ht="14.4" customHeight="1">
      <c r="A26" s="42" t="n">
        <v>162092</v>
      </c>
      <c r="B26" s="42" t="inlineStr">
        <is>
          <t>CHIP PREPAGO $3 NUMERADO</t>
        </is>
      </c>
      <c r="C26" s="42" t="n">
        <v>60414</v>
      </c>
      <c r="D26" s="42" t="n"/>
      <c r="E26" s="42" t="n"/>
      <c r="F26" s="42" t="n">
        <v>39994</v>
      </c>
      <c r="G26" s="42" t="n"/>
      <c r="H26" s="42" t="n">
        <v>100408</v>
      </c>
      <c r="I26" s="143">
        <f>+C26+E26</f>
        <v/>
      </c>
    </row>
    <row r="27" ht="14.4" customHeight="1">
      <c r="A27" s="42" t="n">
        <v>162089</v>
      </c>
      <c r="B27" s="42" t="inlineStr">
        <is>
          <t>CHIP PREPAGO $5 AUTOSERVICIO</t>
        </is>
      </c>
      <c r="C27" s="42" t="n">
        <v>2940</v>
      </c>
      <c r="D27" s="42" t="n"/>
      <c r="E27" s="42" t="n"/>
      <c r="F27" s="42" t="n"/>
      <c r="G27" s="42" t="n"/>
      <c r="H27" s="42" t="n">
        <v>2940</v>
      </c>
      <c r="I27" s="143">
        <f>+C27+E27</f>
        <v/>
      </c>
    </row>
    <row r="28" ht="14.4" customHeight="1">
      <c r="A28" s="42" t="n">
        <v>162090</v>
      </c>
      <c r="B28" s="42" t="inlineStr">
        <is>
          <t>CHIP PREPAGO $5 NUMERADO</t>
        </is>
      </c>
      <c r="C28" s="42" t="n">
        <v>9259</v>
      </c>
      <c r="D28" s="42" t="n"/>
      <c r="E28" s="42" t="n"/>
      <c r="F28" s="42" t="n"/>
      <c r="G28" s="42" t="n"/>
      <c r="H28" s="42" t="n">
        <v>9259</v>
      </c>
      <c r="I28" s="143">
        <f>+C28+E28</f>
        <v/>
      </c>
    </row>
    <row r="29" ht="14.4" customHeight="1">
      <c r="A29" s="42" t="n">
        <v>162082</v>
      </c>
      <c r="B29" s="42" t="inlineStr">
        <is>
          <t>SIM KITE M2M 2FF STANDARD</t>
        </is>
      </c>
      <c r="C29" s="42" t="n"/>
      <c r="D29" s="42" t="n">
        <v>10000</v>
      </c>
      <c r="E29" s="42" t="n">
        <v>5179</v>
      </c>
      <c r="F29" s="42" t="n"/>
      <c r="G29" s="42" t="n">
        <v>25000</v>
      </c>
      <c r="H29" s="42" t="n">
        <v>40179</v>
      </c>
      <c r="I29" s="143">
        <f>+C29+E29</f>
        <v/>
      </c>
    </row>
    <row r="30" ht="14.4" customHeight="1">
      <c r="A30" s="42" t="n">
        <v>162084</v>
      </c>
      <c r="B30" s="42" t="inlineStr">
        <is>
          <t>SIM KITE M2M 3FF HIGH TEMP</t>
        </is>
      </c>
      <c r="C30" s="42" t="n"/>
      <c r="D30" s="42" t="n">
        <v>5000</v>
      </c>
      <c r="E30" s="42" t="n">
        <v>4975</v>
      </c>
      <c r="F30" s="42" t="n"/>
      <c r="G30" s="42" t="n">
        <v>10000</v>
      </c>
      <c r="H30" s="42" t="n">
        <v>19975</v>
      </c>
      <c r="I30" s="143">
        <f>+C30+E30</f>
        <v/>
      </c>
    </row>
    <row r="31" ht="14.4" customHeight="1">
      <c r="A31" s="42" t="n">
        <v>162086</v>
      </c>
      <c r="B31" s="42" t="inlineStr">
        <is>
          <t>SIM KITE M2M 4FF</t>
        </is>
      </c>
      <c r="C31" s="42" t="n"/>
      <c r="D31" s="42" t="n">
        <v>2500</v>
      </c>
      <c r="E31" s="42" t="n">
        <v>2498</v>
      </c>
      <c r="F31" s="42" t="n"/>
      <c r="G31" s="42" t="n">
        <v>5000</v>
      </c>
      <c r="H31" s="42" t="n">
        <v>9998</v>
      </c>
      <c r="I31" s="143">
        <f>+C31+E31</f>
        <v/>
      </c>
    </row>
    <row r="32" ht="14.4" customHeight="1">
      <c r="A32" s="42" t="n">
        <v>162113</v>
      </c>
      <c r="B32" s="42" t="inlineStr">
        <is>
          <t>USIM MAXI</t>
        </is>
      </c>
      <c r="C32" s="42" t="n"/>
      <c r="D32" s="42" t="n">
        <v>29840</v>
      </c>
      <c r="E32" s="42" t="n"/>
      <c r="F32" s="42" t="n"/>
      <c r="G32" s="42" t="n">
        <v>149991</v>
      </c>
      <c r="H32" s="42" t="n">
        <v>179831</v>
      </c>
      <c r="I32" s="143">
        <f>+C32+E32</f>
        <v/>
      </c>
    </row>
    <row r="33" ht="14.4" customHeight="1">
      <c r="A33" s="42" t="n">
        <v>162114</v>
      </c>
      <c r="B33" s="42" t="inlineStr">
        <is>
          <t>USIM AKI</t>
        </is>
      </c>
      <c r="C33" s="42" t="n"/>
      <c r="D33" s="42" t="n"/>
      <c r="E33" s="42" t="n"/>
      <c r="F33" s="42" t="n"/>
      <c r="G33" s="42" t="n">
        <v>149991</v>
      </c>
      <c r="H33" s="42" t="n">
        <v>149991</v>
      </c>
      <c r="I33" s="143">
        <f>+C33+E33</f>
        <v/>
      </c>
    </row>
    <row r="34" ht="14.4" customHeight="1">
      <c r="A34" s="42" t="n">
        <v>162119</v>
      </c>
      <c r="B34" s="42" t="inlineStr">
        <is>
          <t>ESIM EVOUCHERS CODE QR</t>
        </is>
      </c>
      <c r="C34" s="42" t="n">
        <v>129</v>
      </c>
      <c r="D34" s="42" t="n"/>
      <c r="E34" s="42" t="n">
        <v>266</v>
      </c>
      <c r="F34" s="42" t="n"/>
      <c r="G34" s="42" t="n"/>
      <c r="H34" s="42" t="n">
        <v>395</v>
      </c>
      <c r="I34" s="143">
        <f>+C34+E34</f>
        <v/>
      </c>
    </row>
    <row r="35" ht="14.4" customHeight="1">
      <c r="A35" s="42" t="n">
        <v>162146</v>
      </c>
      <c r="B35" s="42" t="inlineStr">
        <is>
          <t>USIM MULTISIM MOVISTAR</t>
        </is>
      </c>
      <c r="C35" s="42" t="n">
        <v>70818</v>
      </c>
      <c r="D35" s="42" t="n">
        <v>92378</v>
      </c>
      <c r="E35" s="42" t="n">
        <v>10209</v>
      </c>
      <c r="F35" s="42" t="n"/>
      <c r="G35" s="42" t="n"/>
      <c r="H35" s="42" t="n">
        <v>173405</v>
      </c>
      <c r="I35" s="143">
        <f>+C35+E35</f>
        <v/>
      </c>
    </row>
    <row r="36" ht="14.4" customHeight="1">
      <c r="A36" s="42" t="n">
        <v>162142</v>
      </c>
      <c r="B36" s="42" t="inlineStr">
        <is>
          <t>Halfsim Tuenti Prepago Celofán Numerada $ 5.00</t>
        </is>
      </c>
      <c r="C36" s="42" t="n">
        <v>24787</v>
      </c>
      <c r="D36" s="42" t="n"/>
      <c r="E36" s="42" t="n"/>
      <c r="F36" s="42" t="n"/>
      <c r="G36" s="42" t="n"/>
      <c r="H36" s="42" t="n">
        <v>24787</v>
      </c>
      <c r="I36" s="143">
        <f>+C36+E36</f>
        <v/>
      </c>
    </row>
    <row r="37" ht="14.4" customHeight="1">
      <c r="A37" s="42" t="n">
        <v>162142</v>
      </c>
      <c r="B37" s="42" t="inlineStr">
        <is>
          <t>HalfsimTuenti PrepagoCelofanNumerada $5sin sticker</t>
        </is>
      </c>
      <c r="C37" s="42" t="n">
        <v>17361</v>
      </c>
      <c r="D37" s="42" t="n"/>
      <c r="E37" s="42" t="n"/>
      <c r="F37" s="42" t="n"/>
      <c r="G37" s="42" t="n"/>
      <c r="H37" s="42" t="n">
        <v>17361</v>
      </c>
      <c r="I37" s="143">
        <f>+C37+E37</f>
        <v/>
      </c>
    </row>
    <row r="38" ht="14.4" customHeight="1">
      <c r="A38" s="42" t="n">
        <v>162142</v>
      </c>
      <c r="B38" s="42" t="inlineStr">
        <is>
          <t>Halfsim Tuenti Prepago Celofán Numerada $10.00</t>
        </is>
      </c>
      <c r="C38" s="42" t="n">
        <v>1422</v>
      </c>
      <c r="D38" s="42" t="n"/>
      <c r="E38" s="42" t="n"/>
      <c r="F38" s="42" t="n"/>
      <c r="G38" s="42" t="n"/>
      <c r="H38" s="42" t="n">
        <v>1422</v>
      </c>
      <c r="I38" s="143">
        <f>+C38+E38</f>
        <v/>
      </c>
    </row>
    <row r="39" ht="14.4" customHeight="1">
      <c r="A39" s="42" t="n">
        <v>162142</v>
      </c>
      <c r="B39" s="42" t="inlineStr">
        <is>
          <t>Halfsim Tuenti Prepago Celofán Numerada $20.00</t>
        </is>
      </c>
      <c r="C39" s="42" t="n">
        <v>963</v>
      </c>
      <c r="D39" s="42" t="n"/>
      <c r="E39" s="42" t="n"/>
      <c r="F39" s="42" t="n"/>
      <c r="G39" s="42" t="n"/>
      <c r="H39" s="42" t="n">
        <v>963</v>
      </c>
      <c r="I39" s="143">
        <f>+C39+E39+D39</f>
        <v/>
      </c>
    </row>
    <row r="40" ht="14.4" customHeight="1">
      <c r="A40" s="42" t="n">
        <v>162142</v>
      </c>
      <c r="B40" s="42" t="inlineStr">
        <is>
          <t>Halfsim Tuenti Prepago Celofán Numerada $25.00</t>
        </is>
      </c>
      <c r="C40" s="42" t="n">
        <v>978</v>
      </c>
      <c r="D40" s="42" t="n"/>
      <c r="E40" s="42" t="n"/>
      <c r="F40" s="42" t="n"/>
      <c r="G40" s="42" t="n"/>
      <c r="H40" s="42" t="n">
        <v>978</v>
      </c>
      <c r="I40" s="143">
        <f>+C40+E40+D40</f>
        <v/>
      </c>
    </row>
    <row r="41" ht="14.4" customHeight="1">
      <c r="A41" s="42" t="n">
        <v>162120</v>
      </c>
      <c r="B41" s="42" t="inlineStr">
        <is>
          <t>HALF SIM MOVISTAR</t>
        </is>
      </c>
      <c r="C41" s="42" t="n"/>
      <c r="D41" s="42" t="n">
        <v>494922</v>
      </c>
      <c r="E41" s="42" t="n"/>
      <c r="F41" s="42" t="n"/>
      <c r="G41" s="42" t="n">
        <v>179969</v>
      </c>
      <c r="H41" s="42" t="n">
        <v>674891</v>
      </c>
      <c r="I41" s="143">
        <f>+C41+E41+D41</f>
        <v/>
      </c>
    </row>
    <row r="42" ht="14.4" customHeight="1">
      <c r="A42" s="42" t="n">
        <v>162121</v>
      </c>
      <c r="B42" s="42" t="inlineStr">
        <is>
          <t>HALFSIM TUENTI</t>
        </is>
      </c>
      <c r="C42" s="42" t="n"/>
      <c r="D42" s="42" t="n">
        <v>99990</v>
      </c>
      <c r="E42" s="42" t="n"/>
      <c r="F42" s="42" t="n"/>
      <c r="G42" s="42" t="n">
        <v>245986</v>
      </c>
      <c r="H42" s="42" t="n">
        <v>345976</v>
      </c>
      <c r="I42" s="143">
        <f>+C42+E42+D42</f>
        <v/>
      </c>
    </row>
    <row r="43" ht="14.4" customHeight="1">
      <c r="A43" s="42" t="n">
        <v>162121</v>
      </c>
      <c r="B43" s="42" t="inlineStr">
        <is>
          <t>HALFSIM TUENTI CELOFAN PORTABILIDAD</t>
        </is>
      </c>
      <c r="C43" s="42" t="n">
        <v>8584</v>
      </c>
      <c r="D43" s="42" t="n"/>
      <c r="E43" s="42" t="n"/>
      <c r="F43" s="42" t="n"/>
      <c r="G43" s="42" t="n"/>
      <c r="H43" s="42" t="n">
        <v>8584</v>
      </c>
      <c r="I43" s="143">
        <f>+C43+E43</f>
        <v/>
      </c>
    </row>
    <row r="44" ht="14.4" customHeight="1">
      <c r="A44" s="42" t="n">
        <v>162121</v>
      </c>
      <c r="B44" s="42" t="inlineStr">
        <is>
          <t>HALFSIM TUENTI CELOFAN REPOSICION</t>
        </is>
      </c>
      <c r="C44" s="42" t="n">
        <v>3998</v>
      </c>
      <c r="D44" s="42" t="n"/>
      <c r="E44" s="42" t="n"/>
      <c r="F44" s="42" t="n"/>
      <c r="G44" s="42" t="n"/>
      <c r="H44" s="42" t="n">
        <v>3998</v>
      </c>
      <c r="I44" s="143">
        <f>+C44+E44</f>
        <v/>
      </c>
    </row>
    <row r="45" ht="14.4" customHeight="1">
      <c r="A45" s="42" t="n">
        <v>162143</v>
      </c>
      <c r="B45" s="42" t="inlineStr">
        <is>
          <t>HALFSIM M2M 2FF LTE SIN AUTENTICAR</t>
        </is>
      </c>
      <c r="C45" s="42" t="n"/>
      <c r="D45" s="42" t="n"/>
      <c r="E45" s="42" t="n"/>
      <c r="F45" s="42" t="n"/>
      <c r="G45" s="42" t="n">
        <v>29996</v>
      </c>
      <c r="H45" s="42" t="n">
        <v>29996</v>
      </c>
      <c r="I45" s="143">
        <f>+C45+E45</f>
        <v/>
      </c>
    </row>
    <row r="46" ht="14.4" customHeight="1">
      <c r="A46" s="42" t="n">
        <v>162144</v>
      </c>
      <c r="B46" s="42" t="inlineStr">
        <is>
          <t>HALFSIM M2M 3FF LTE SIN AUTENTICAR</t>
        </is>
      </c>
      <c r="C46" s="42" t="n"/>
      <c r="D46" s="42" t="n"/>
      <c r="E46" s="42" t="n"/>
      <c r="F46" s="42" t="n"/>
      <c r="G46" s="42" t="n">
        <v>24996</v>
      </c>
      <c r="H46" s="42" t="n">
        <v>24996</v>
      </c>
      <c r="I46" s="143">
        <f>+C46+E46+D46</f>
        <v/>
      </c>
    </row>
    <row r="47" ht="14.4" customHeight="1">
      <c r="A47" s="42" t="inlineStr">
        <is>
          <t>Total general</t>
        </is>
      </c>
      <c r="B47" s="42" t="n"/>
      <c r="C47" s="144" t="n">
        <v>279699</v>
      </c>
      <c r="D47" s="144" t="n">
        <v>767551</v>
      </c>
      <c r="E47" s="144" t="n">
        <v>30884</v>
      </c>
      <c r="F47" s="42" t="n">
        <v>39994</v>
      </c>
      <c r="G47" s="42" t="n">
        <v>820929</v>
      </c>
      <c r="H47" s="144" t="n">
        <v>1939057</v>
      </c>
      <c r="I47" s="143">
        <f>+C47+E47+D47</f>
        <v/>
      </c>
    </row>
    <row r="48" ht="14.4" customHeight="1">
      <c r="I48" s="143">
        <f>+C48+E48</f>
        <v/>
      </c>
      <c r="T48" s="145" t="n"/>
    </row>
    <row r="49" ht="14.4" customHeight="1">
      <c r="I49" s="143">
        <f>+C49+E49</f>
        <v/>
      </c>
    </row>
    <row r="50" ht="14.4" customHeight="1">
      <c r="I50" s="143">
        <f>+C50+E50</f>
        <v/>
      </c>
      <c r="T50" s="146" t="n"/>
    </row>
    <row r="51" ht="14.4" customHeight="1">
      <c r="I51" s="143">
        <f>+C51+E51</f>
        <v/>
      </c>
    </row>
    <row r="52" ht="14.4" customHeight="1"/>
    <row r="53" ht="14.4" customHeight="1"/>
    <row r="54" ht="14.4" customHeight="1"/>
  </sheetData>
  <mergeCells count="1">
    <mergeCell ref="I4:I5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codeName="Hoja5">
    <tabColor theme="8" tint="-0.499984740745262"/>
    <outlinePr summaryBelow="1" summaryRight="1"/>
    <pageSetUpPr/>
  </sheetPr>
  <dimension ref="A3:N543"/>
  <sheetViews>
    <sheetView showGridLines="0" workbookViewId="0">
      <selection activeCell="B8" sqref="B8"/>
    </sheetView>
  </sheetViews>
  <sheetFormatPr baseColWidth="10" defaultColWidth="11.44140625" defaultRowHeight="10.2"/>
  <cols>
    <col collapsed="1" width="14.6640625" bestFit="1" customWidth="1" style="2" min="1" max="1"/>
    <col collapsed="1" width="38.109375" customWidth="1" style="2" min="2" max="2"/>
    <col collapsed="1" width="13.88671875" bestFit="1" customWidth="1" style="2" min="3" max="3"/>
    <col collapsed="1" width="11.44140625" customWidth="1" style="2" min="4" max="4"/>
    <col collapsed="1" width="13.44140625" customWidth="1" style="2" min="5" max="5"/>
    <col collapsed="1" width="17.44140625" bestFit="1" customWidth="1" style="10" min="6" max="6"/>
    <col collapsed="1" width="19.33203125" bestFit="1" customWidth="1" style="10" min="7" max="7"/>
    <col collapsed="1" width="48.88671875" customWidth="1" style="2" min="8" max="8"/>
    <col collapsed="1" width="18.44140625" customWidth="1" style="2" min="9" max="9"/>
    <col collapsed="1" width="9.44140625" customWidth="1" style="2" min="10" max="11"/>
    <col collapsed="1" width="1.88671875" bestFit="1" customWidth="1" style="2" min="12" max="12"/>
    <col collapsed="1" width="4.44140625" bestFit="1" customWidth="1" style="2" min="13" max="13"/>
    <col collapsed="1" width="5.33203125" bestFit="1" customWidth="1" style="2" min="14" max="14"/>
    <col collapsed="1" width="11.44140625" customWidth="1" style="2" min="15" max="16384"/>
  </cols>
  <sheetData>
    <row r="3" ht="14.4" customHeight="1"/>
    <row r="4" ht="14.4" customHeight="1">
      <c r="A4" s="36" t="inlineStr">
        <is>
          <t>CANAL 2</t>
        </is>
      </c>
      <c r="B4" s="36" t="inlineStr">
        <is>
          <t>DESCRIPCION SCL 2</t>
        </is>
      </c>
      <c r="C4" s="36" t="inlineStr">
        <is>
          <t>Suma de CANTIDAD</t>
        </is>
      </c>
    </row>
    <row r="5" ht="14.4" customHeight="1">
      <c r="A5" s="37" t="inlineStr">
        <is>
          <t>CANAL INDIRECTO</t>
        </is>
      </c>
      <c r="B5" s="38" t="inlineStr">
        <is>
          <t>CHIP PREPAGO $3 NUMERADO</t>
        </is>
      </c>
      <c r="C5" s="38" t="n">
        <v>91075</v>
      </c>
    </row>
    <row r="6" ht="14.4" customHeight="1">
      <c r="A6" s="37" t="inlineStr">
        <is>
          <t>CANAL INDIRECTO</t>
        </is>
      </c>
      <c r="B6" s="38" t="inlineStr">
        <is>
          <t>CHIP PREPAGO $5 AUTOSERVICIO</t>
        </is>
      </c>
      <c r="C6" s="38" t="n">
        <v>3445</v>
      </c>
    </row>
    <row r="7" ht="14.4" customHeight="1">
      <c r="A7" s="37" t="inlineStr">
        <is>
          <t>CANAL INDIRECTO</t>
        </is>
      </c>
      <c r="B7" s="38" t="inlineStr">
        <is>
          <t>SIM KITE M2M 2FF STANDARD</t>
        </is>
      </c>
      <c r="C7" s="38" t="n">
        <v>8097</v>
      </c>
    </row>
    <row r="8" ht="14.4" customHeight="1">
      <c r="A8" s="37" t="inlineStr">
        <is>
          <t>CANAL INDIRECTO</t>
        </is>
      </c>
      <c r="B8" s="38" t="inlineStr">
        <is>
          <t>SIMCARD M2M POSPAGO GEMALTO</t>
        </is>
      </c>
      <c r="C8" s="38" t="n">
        <v>421</v>
      </c>
    </row>
    <row r="9" ht="14.4" customHeight="1">
      <c r="A9" s="37" t="inlineStr">
        <is>
          <t>CANAL INDIRECTO</t>
        </is>
      </c>
      <c r="B9" s="38" t="inlineStr">
        <is>
          <t>USIM TUENTI PREPAGO (CELOFÁN)</t>
        </is>
      </c>
      <c r="C9" s="38" t="n">
        <v>9768</v>
      </c>
    </row>
    <row r="10" ht="14.4" customHeight="1">
      <c r="A10" s="37" t="inlineStr">
        <is>
          <t>CANAL INDIRECTO</t>
        </is>
      </c>
      <c r="B10" s="38" t="inlineStr">
        <is>
          <t>Usim Tuenti Prepago Blíster Numerada $ 10.00</t>
        </is>
      </c>
      <c r="C10" s="38" t="n">
        <v>204</v>
      </c>
    </row>
    <row r="11" ht="14.4" customHeight="1">
      <c r="A11" s="37" t="inlineStr">
        <is>
          <t>CANAL INDIRECTO</t>
        </is>
      </c>
      <c r="B11" s="38" t="inlineStr">
        <is>
          <t>Usim Tuenti Prepago Blíster Numerada $ 20.00</t>
        </is>
      </c>
      <c r="C11" s="38" t="n">
        <v>28</v>
      </c>
    </row>
    <row r="12" ht="14.4" customHeight="1">
      <c r="A12" s="37" t="inlineStr">
        <is>
          <t>CANAL INDIRECTO</t>
        </is>
      </c>
      <c r="B12" s="38" t="inlineStr">
        <is>
          <t>Usim Tuenti Prepago Blíster Numerada $ 5.00</t>
        </is>
      </c>
      <c r="C12" s="38" t="n">
        <v>19810</v>
      </c>
    </row>
    <row r="13" ht="14.4" customHeight="1">
      <c r="A13" s="37" t="inlineStr">
        <is>
          <t>CANAL INDIRECTO</t>
        </is>
      </c>
      <c r="B13" s="38" t="inlineStr">
        <is>
          <t>Usim Tuenti Prepago Celofán Numerada $ 5.00</t>
        </is>
      </c>
      <c r="C13" s="38" t="n">
        <v>33100</v>
      </c>
    </row>
    <row r="14" ht="14.4" customHeight="1">
      <c r="A14" s="37" t="inlineStr">
        <is>
          <t>CANAL INDIRECTO</t>
        </is>
      </c>
      <c r="B14" s="38" t="inlineStr">
        <is>
          <t>Usim Tuenti Prepago Celofán Numerada $5 SinSticker</t>
        </is>
      </c>
      <c r="C14" s="38" t="n">
        <v>14434</v>
      </c>
    </row>
    <row r="15" ht="14.4" customHeight="1">
      <c r="A15" s="37" t="inlineStr">
        <is>
          <t>CANAL INDIRECTO</t>
        </is>
      </c>
      <c r="B15" s="38" t="inlineStr">
        <is>
          <t>SIM KITE M2M 3FF HIGH TEMP</t>
        </is>
      </c>
      <c r="C15" s="38" t="n">
        <v>26</v>
      </c>
    </row>
    <row r="16" ht="14.4" customHeight="1">
      <c r="A16" s="37" t="inlineStr">
        <is>
          <t>CANAL INDIRECTO</t>
        </is>
      </c>
      <c r="B16" s="38" t="inlineStr">
        <is>
          <t>USIM MULTISIM MOVISTAR</t>
        </is>
      </c>
      <c r="C16" s="38" t="n">
        <v>44514</v>
      </c>
    </row>
    <row r="17" ht="14.4" customHeight="1">
      <c r="A17" s="37" t="inlineStr">
        <is>
          <t>CANAL INDIRECTO</t>
        </is>
      </c>
      <c r="B17" s="38" t="inlineStr">
        <is>
          <t>SIMCARD M2M 2FF LTE</t>
        </is>
      </c>
      <c r="C17" s="38" t="n">
        <v>151</v>
      </c>
    </row>
    <row r="18" ht="14.4" customHeight="1">
      <c r="A18" s="37" t="inlineStr">
        <is>
          <t>CANAL INDIRECTO</t>
        </is>
      </c>
      <c r="B18" s="38" t="inlineStr">
        <is>
          <t>CHIP PREPAGO $5 NUMERADO</t>
        </is>
      </c>
      <c r="C18" s="38" t="n">
        <v>1950</v>
      </c>
    </row>
    <row r="19" ht="14.4" customHeight="1">
      <c r="A19" s="37" t="inlineStr">
        <is>
          <t>CANAL INDIRECTO</t>
        </is>
      </c>
      <c r="B19" s="38" t="inlineStr">
        <is>
          <t>SIM KITE M2M 4FF</t>
        </is>
      </c>
      <c r="C19" s="38" t="n">
        <v>5</v>
      </c>
    </row>
    <row r="20" ht="14.4" customHeight="1">
      <c r="A20" s="37" t="inlineStr">
        <is>
          <t>CANAL INDIRECTO</t>
        </is>
      </c>
      <c r="B20" s="38" t="inlineStr">
        <is>
          <t>Halfsim Tuenti Prepago Celofán Numerada $ 5.00</t>
        </is>
      </c>
      <c r="C20" s="38" t="n">
        <v>14209</v>
      </c>
    </row>
    <row r="21" ht="14.4" customHeight="1">
      <c r="A21" s="37" t="inlineStr">
        <is>
          <t>CANAL INDIRECTO</t>
        </is>
      </c>
      <c r="B21" s="38" t="inlineStr">
        <is>
          <t>USIM MAXI</t>
        </is>
      </c>
      <c r="C21" s="38" t="n">
        <v>9</v>
      </c>
    </row>
    <row r="22" ht="14.4" customHeight="1">
      <c r="A22" s="37" t="inlineStr">
        <is>
          <t>CANAL INDIRECTO</t>
        </is>
      </c>
      <c r="B22" s="38" t="inlineStr">
        <is>
          <t>USIM AKI</t>
        </is>
      </c>
      <c r="C22" s="38" t="n">
        <v>9</v>
      </c>
    </row>
    <row r="23" ht="14.4" customHeight="1">
      <c r="A23" s="37" t="inlineStr">
        <is>
          <t>CANAL INDIRECTO</t>
        </is>
      </c>
      <c r="B23" s="38" t="inlineStr">
        <is>
          <t>HALFSIM M2M 2FF LTE SIN AUTENTICAR</t>
        </is>
      </c>
      <c r="C23" s="38" t="n">
        <v>4</v>
      </c>
    </row>
    <row r="24" ht="14.4" customHeight="1">
      <c r="A24" s="37" t="inlineStr">
        <is>
          <t>CANAL INDIRECTO</t>
        </is>
      </c>
      <c r="B24" s="38" t="inlineStr">
        <is>
          <t>HALFSIM M2M 3FF LTE SIN AUTENTICAR</t>
        </is>
      </c>
      <c r="C24" s="38" t="n">
        <v>4</v>
      </c>
    </row>
    <row r="25" ht="14.4" customHeight="1">
      <c r="A25" s="37" t="inlineStr">
        <is>
          <t>CANAL INDIRECTO</t>
        </is>
      </c>
      <c r="B25" s="38" t="inlineStr">
        <is>
          <t>HALFSIM TUENTI</t>
        </is>
      </c>
      <c r="C25" s="38" t="n">
        <v>3014</v>
      </c>
    </row>
    <row r="26" ht="14.4" customHeight="1">
      <c r="A26" s="37" t="inlineStr">
        <is>
          <t>CANAL INDIRECTO</t>
        </is>
      </c>
      <c r="B26" s="38" t="inlineStr">
        <is>
          <t xml:space="preserve">Halfsim Tuenti Prepago Celofán Numerada $10.00 </t>
        </is>
      </c>
      <c r="C26" s="38" t="n">
        <v>53</v>
      </c>
      <c r="G26" s="39" t="n"/>
      <c r="H26" s="39" t="n"/>
      <c r="I26" s="39" t="n"/>
    </row>
    <row r="27" ht="14.4" customHeight="1">
      <c r="A27" s="37" t="inlineStr">
        <is>
          <t>CANAL INDIRECTO</t>
        </is>
      </c>
      <c r="B27" s="38" t="inlineStr">
        <is>
          <t>Halfsim Tuenti Prepago Celofán Numerada $10.00</t>
        </is>
      </c>
      <c r="C27" s="38" t="n">
        <v>25</v>
      </c>
      <c r="G27" s="39" t="n"/>
      <c r="H27" s="39" t="n"/>
      <c r="I27" s="39" t="n"/>
    </row>
    <row r="28" ht="14.4" customHeight="1">
      <c r="A28" s="37" t="inlineStr">
        <is>
          <t>CANAL INDIRECTO</t>
        </is>
      </c>
      <c r="B28" s="38" t="inlineStr">
        <is>
          <t>Halfsim Tuenti Prepago Celofán Numerada $20.00</t>
        </is>
      </c>
      <c r="C28" s="38" t="n">
        <v>37</v>
      </c>
    </row>
    <row r="29" ht="14.4" customHeight="1">
      <c r="A29" s="37" t="inlineStr">
        <is>
          <t>CANAL INDIRECTO</t>
        </is>
      </c>
      <c r="B29" s="38" t="inlineStr">
        <is>
          <t>HALFSIM TUENTI CELOFAN PORTABILIDAD</t>
        </is>
      </c>
      <c r="C29" s="38" t="n">
        <v>4414</v>
      </c>
    </row>
    <row r="30" ht="14.4" customHeight="1">
      <c r="A30" s="37" t="inlineStr">
        <is>
          <t>CANAL INDIRECTO</t>
        </is>
      </c>
      <c r="B30" s="38" t="inlineStr">
        <is>
          <t>USIM TUENTI PREPAGO NUMERADA (CELOFÁN)</t>
        </is>
      </c>
      <c r="C30" s="38" t="n">
        <v>3</v>
      </c>
    </row>
    <row r="31" ht="14.4" customHeight="1">
      <c r="A31" s="37" t="inlineStr">
        <is>
          <t>CANAL INDIRECTO</t>
        </is>
      </c>
      <c r="B31" s="38" t="inlineStr">
        <is>
          <t>Halfsim Tuenti Prepago Celofán Numerada $25.00</t>
        </is>
      </c>
      <c r="C31" s="38" t="n">
        <v>22</v>
      </c>
    </row>
    <row r="32" ht="14.4" customHeight="1">
      <c r="A32" s="37" t="inlineStr">
        <is>
          <t>CANAL INDIRECTO</t>
        </is>
      </c>
      <c r="B32" s="38" t="inlineStr">
        <is>
          <t>HalfsimTuenti PrepagoCelofanNumerada $5sin sticker</t>
        </is>
      </c>
      <c r="C32" s="38" t="n">
        <v>137</v>
      </c>
    </row>
    <row r="33" ht="14.4" customHeight="1">
      <c r="A33" s="37" t="inlineStr">
        <is>
          <t>CANAL DIRECTO</t>
        </is>
      </c>
      <c r="B33" s="38" t="inlineStr">
        <is>
          <t>CHIP PREPAGO $3 NUMERADO</t>
        </is>
      </c>
      <c r="C33" s="38" t="n">
        <v>7900</v>
      </c>
    </row>
    <row r="34" ht="14.4" customHeight="1">
      <c r="A34" s="37" t="inlineStr">
        <is>
          <t>CANAL DIRECTO</t>
        </is>
      </c>
      <c r="B34" s="38" t="inlineStr">
        <is>
          <t>USIM MULTISIM MOVISTAR</t>
        </is>
      </c>
      <c r="C34" s="38" t="n">
        <v>5100</v>
      </c>
    </row>
    <row r="35" ht="14.4" customHeight="1">
      <c r="A35" s="37" t="inlineStr">
        <is>
          <t>CANAL DIRECTO</t>
        </is>
      </c>
      <c r="B35" s="38" t="inlineStr">
        <is>
          <t>HALF SIM MOVISTAR</t>
        </is>
      </c>
      <c r="C35" s="38" t="n">
        <v>1</v>
      </c>
    </row>
    <row r="36" ht="14.4" customHeight="1">
      <c r="A36" s="37" t="inlineStr">
        <is>
          <t>CANAL DIRECTO</t>
        </is>
      </c>
      <c r="B36" s="38" t="inlineStr">
        <is>
          <t>USIM CHIP PREPAGO WIFI MOVIL $5 AUTOSERVICIO</t>
        </is>
      </c>
      <c r="C36" s="38" t="n">
        <v>1500</v>
      </c>
    </row>
    <row r="37" ht="14.4" customHeight="1">
      <c r="A37" s="38" t="inlineStr">
        <is>
          <t>Total general</t>
        </is>
      </c>
      <c r="B37" s="38" t="n"/>
      <c r="C37" s="38" t="n">
        <v>263469</v>
      </c>
    </row>
    <row r="38" ht="14.4" customHeight="1"/>
    <row r="39" ht="14.4" customHeight="1"/>
    <row r="40" ht="14.4" customHeight="1"/>
    <row r="540">
      <c r="F540" s="10" t="inlineStr">
        <is>
          <t>8959300320527010000</t>
        </is>
      </c>
      <c r="G540" s="2" t="inlineStr">
        <is>
          <t>USIM MULTISIM POSPAGO</t>
        </is>
      </c>
      <c r="I540" s="10" t="n"/>
      <c r="L540" s="2" t="n">
        <v>1</v>
      </c>
      <c r="M540" s="2" t="n">
        <v>1599</v>
      </c>
      <c r="N540" s="2" t="n">
        <v>81944</v>
      </c>
    </row>
    <row r="541">
      <c r="F541" s="10" t="inlineStr">
        <is>
          <t>8959300320527160000</t>
        </is>
      </c>
      <c r="G541" s="2" t="inlineStr">
        <is>
          <t>USIM MULTISIM POSPAGO</t>
        </is>
      </c>
      <c r="I541" s="10" t="n"/>
      <c r="L541" s="2" t="n">
        <v>1</v>
      </c>
      <c r="M541" s="2" t="n">
        <v>1599</v>
      </c>
      <c r="N541" s="2" t="n">
        <v>81944</v>
      </c>
    </row>
    <row r="542">
      <c r="F542" s="10" t="inlineStr">
        <is>
          <t>8959300320527160000</t>
        </is>
      </c>
      <c r="G542" s="2" t="inlineStr">
        <is>
          <t>USIM MULTISIM POSPAGO</t>
        </is>
      </c>
      <c r="I542" s="10" t="n"/>
      <c r="L542" s="2" t="n">
        <v>1</v>
      </c>
      <c r="M542" s="2" t="n">
        <v>1599</v>
      </c>
      <c r="N542" s="2" t="n">
        <v>81944</v>
      </c>
    </row>
    <row r="543">
      <c r="F543" s="10" t="inlineStr">
        <is>
          <t>8959300320527160000</t>
        </is>
      </c>
      <c r="G543" s="2" t="inlineStr">
        <is>
          <t>USIM MULTISIM POSPAGO</t>
        </is>
      </c>
      <c r="I543" s="10" t="n"/>
      <c r="L543" s="2" t="n">
        <v>1</v>
      </c>
      <c r="M543" s="2" t="n">
        <v>1599</v>
      </c>
      <c r="N543" s="2" t="n">
        <v>81944</v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ALMACEN</t>
        </is>
      </c>
      <c r="B1" t="inlineStr">
        <is>
          <t>DESCRIPCION</t>
        </is>
      </c>
      <c r="C1" t="inlineStr">
        <is>
          <t>ARTICULO DEL CLIENTE</t>
        </is>
      </c>
      <c r="D1" t="inlineStr">
        <is>
          <t>COD ARTICULO</t>
        </is>
      </c>
      <c r="E1" t="inlineStr">
        <is>
          <t>STOCK</t>
        </is>
      </c>
      <c r="F1" t="inlineStr">
        <is>
          <t>STATUS</t>
        </is>
      </c>
      <c r="G1" t="inlineStr">
        <is>
          <t>ARTICULO SCL</t>
        </is>
      </c>
      <c r="H1" t="inlineStr">
        <is>
          <t>SCL 2</t>
        </is>
      </c>
      <c r="I1" t="inlineStr">
        <is>
          <t>DISPONIBILIDAD</t>
        </is>
      </c>
    </row>
    <row r="2">
      <c r="A2" t="inlineStr">
        <is>
          <t>BODEGA CENTRAL</t>
        </is>
      </c>
      <c r="B2" t="inlineStr">
        <is>
          <t>HALFSIM AKIMOVIL SIM NUMERADA 15D</t>
        </is>
      </c>
      <c r="C2" t="inlineStr">
        <is>
          <t>162524_07</t>
        </is>
      </c>
      <c r="D2" t="inlineStr">
        <is>
          <t>162524</t>
        </is>
      </c>
      <c r="E2" t="n">
        <v>4000</v>
      </c>
      <c r="F2" t="inlineStr">
        <is>
          <t>DISPONIBLE</t>
        </is>
      </c>
      <c r="I2" t="inlineStr">
        <is>
          <t>STOCK DISPONIBLE</t>
        </is>
      </c>
    </row>
    <row r="3">
      <c r="A3" t="inlineStr">
        <is>
          <t>BODEGA CENTRAL</t>
        </is>
      </c>
      <c r="B3" t="inlineStr">
        <is>
          <t>HALFSIM MAXIPLUS SIM NUMERADA 15D</t>
        </is>
      </c>
      <c r="C3" t="inlineStr">
        <is>
          <t>162523_07</t>
        </is>
      </c>
      <c r="D3" t="inlineStr">
        <is>
          <t>162523</t>
        </is>
      </c>
      <c r="E3" t="n">
        <v>2000</v>
      </c>
      <c r="F3" t="inlineStr">
        <is>
          <t>DISPONIBLE</t>
        </is>
      </c>
      <c r="I3" t="inlineStr">
        <is>
          <t>STOCK DISPONIBLE</t>
        </is>
      </c>
    </row>
    <row r="4">
      <c r="A4" t="inlineStr">
        <is>
          <t>BODEGA CENTRAL</t>
        </is>
      </c>
      <c r="B4" t="inlineStr">
        <is>
          <t>HALFSIM MAXIPLUS SIM NUMERADA 30D</t>
        </is>
      </c>
      <c r="C4" t="inlineStr">
        <is>
          <t>162523_08</t>
        </is>
      </c>
      <c r="D4" t="inlineStr">
        <is>
          <t>162523</t>
        </is>
      </c>
      <c r="E4" t="n">
        <v>2000</v>
      </c>
      <c r="F4" t="inlineStr">
        <is>
          <t>DISPONIBLE</t>
        </is>
      </c>
      <c r="I4" t="inlineStr">
        <is>
          <t>STOCK DISPONIBLE</t>
        </is>
      </c>
    </row>
    <row r="5">
      <c r="A5" t="inlineStr">
        <is>
          <t>BODEGA CENTRAL</t>
        </is>
      </c>
      <c r="B5" t="inlineStr">
        <is>
          <t>HALFSIM TIGO</t>
        </is>
      </c>
      <c r="C5" t="inlineStr">
        <is>
          <t>163140</t>
        </is>
      </c>
      <c r="D5" t="inlineStr">
        <is>
          <t>163140</t>
        </is>
      </c>
      <c r="E5" t="n">
        <v>1999</v>
      </c>
      <c r="F5" t="inlineStr">
        <is>
          <t>DISPONIBLE</t>
        </is>
      </c>
      <c r="I5" t="inlineStr">
        <is>
          <t>STOCK DISPONIBLE</t>
        </is>
      </c>
    </row>
    <row r="6">
      <c r="A6" t="inlineStr">
        <is>
          <t>MATERIA PRIMA</t>
        </is>
      </c>
      <c r="B6" t="inlineStr">
        <is>
          <t>ESIM TIGO DIGITAL</t>
        </is>
      </c>
      <c r="C6" t="inlineStr">
        <is>
          <t>163141</t>
        </is>
      </c>
      <c r="D6" t="inlineStr">
        <is>
          <t>163141</t>
        </is>
      </c>
      <c r="E6" t="n">
        <v>139986</v>
      </c>
      <c r="F6" t="inlineStr">
        <is>
          <t>DISPONIBLE</t>
        </is>
      </c>
      <c r="I6" t="inlineStr">
        <is>
          <t>STOCK DISPONIBLE</t>
        </is>
      </c>
    </row>
    <row r="7">
      <c r="A7" t="inlineStr">
        <is>
          <t>MATERIA PRIMA</t>
        </is>
      </c>
      <c r="B7" t="inlineStr">
        <is>
          <t>HALFSIM KITE M2M 2FF DEVICE CONTROL BLANCA</t>
        </is>
      </c>
      <c r="C7" t="inlineStr">
        <is>
          <t>162594_01</t>
        </is>
      </c>
      <c r="D7" t="inlineStr">
        <is>
          <t>162594</t>
        </is>
      </c>
      <c r="E7" t="n">
        <v>10000</v>
      </c>
      <c r="F7" t="inlineStr">
        <is>
          <t>DISPONIBLE</t>
        </is>
      </c>
      <c r="I7" t="inlineStr">
        <is>
          <t>STOCK DISPONIBLE</t>
        </is>
      </c>
    </row>
    <row r="8">
      <c r="A8" t="inlineStr">
        <is>
          <t>PRODUCCION</t>
        </is>
      </c>
      <c r="B8" t="inlineStr">
        <is>
          <t>HALFSIM TIGO PORTABILIDAD</t>
        </is>
      </c>
      <c r="C8" t="inlineStr">
        <is>
          <t>163140_06</t>
        </is>
      </c>
      <c r="D8" t="inlineStr">
        <is>
          <t>163140</t>
        </is>
      </c>
      <c r="E8" t="n">
        <v>19999</v>
      </c>
      <c r="F8" t="inlineStr">
        <is>
          <t>DISPONIBLE</t>
        </is>
      </c>
      <c r="I8" t="inlineStr">
        <is>
          <t>STOCK DISPONIBLE</t>
        </is>
      </c>
    </row>
    <row r="9">
      <c r="A9" t="inlineStr">
        <is>
          <t>BODEGA CENTRAL</t>
        </is>
      </c>
      <c r="B9" t="inlineStr">
        <is>
          <t>ESIM MAXIPLUS</t>
        </is>
      </c>
      <c r="C9" t="inlineStr">
        <is>
          <t>162822</t>
        </is>
      </c>
      <c r="D9" t="inlineStr">
        <is>
          <t>162822</t>
        </is>
      </c>
      <c r="E9" t="n">
        <v>1946</v>
      </c>
      <c r="F9" t="inlineStr">
        <is>
          <t>DISPONIBLE</t>
        </is>
      </c>
      <c r="I9" t="inlineStr">
        <is>
          <t>STOCK DISPONIBLE</t>
        </is>
      </c>
    </row>
    <row r="10">
      <c r="A10" t="inlineStr">
        <is>
          <t>BODEGA CENTRAL</t>
        </is>
      </c>
      <c r="B10" t="inlineStr">
        <is>
          <t>HALFSIM KITE M2M 4FF DEVICE CONTROL TELEFONICA</t>
        </is>
      </c>
      <c r="C10" t="inlineStr">
        <is>
          <t>162699</t>
        </is>
      </c>
      <c r="D10" t="inlineStr">
        <is>
          <t>162699</t>
        </is>
      </c>
      <c r="E10" t="n">
        <v>5199</v>
      </c>
      <c r="F10" t="inlineStr">
        <is>
          <t>DISPONIBLE</t>
        </is>
      </c>
      <c r="I10" t="inlineStr">
        <is>
          <t>STOCK DISPONIBLE</t>
        </is>
      </c>
    </row>
    <row r="11">
      <c r="A11" t="inlineStr">
        <is>
          <t>BODEGA CENTRAL</t>
        </is>
      </c>
      <c r="B11" t="inlineStr">
        <is>
          <t>HALFSIM TIGO CHIP PREPAGO $3 WP CANAL DIRECTO NUMERADO</t>
        </is>
      </c>
      <c r="C11" t="inlineStr">
        <is>
          <t>163140_03</t>
        </is>
      </c>
      <c r="D11" t="inlineStr">
        <is>
          <t>163140</t>
        </is>
      </c>
      <c r="E11" t="n">
        <v>4999</v>
      </c>
      <c r="F11" t="inlineStr">
        <is>
          <t>DISPONIBLE</t>
        </is>
      </c>
      <c r="I11" t="inlineStr">
        <is>
          <t>STOCK DISPONIBLE</t>
        </is>
      </c>
    </row>
    <row r="12">
      <c r="A12" t="inlineStr">
        <is>
          <t>BODEGA CENTRAL</t>
        </is>
      </c>
      <c r="B12" t="inlineStr">
        <is>
          <t>HALFSIM TIGO CHIP PREPAGO $3 WP NUMERADO</t>
        </is>
      </c>
      <c r="C12" t="inlineStr">
        <is>
          <t>163140_02</t>
        </is>
      </c>
      <c r="D12" t="inlineStr">
        <is>
          <t>163140</t>
        </is>
      </c>
      <c r="E12" t="n">
        <v>219814</v>
      </c>
      <c r="F12" t="inlineStr">
        <is>
          <t>DISPONIBLE</t>
        </is>
      </c>
      <c r="I12" t="inlineStr">
        <is>
          <t>STOCK DISPONIBLE</t>
        </is>
      </c>
    </row>
    <row r="13">
      <c r="A13" t="inlineStr">
        <is>
          <t>BODEGA CENTRAL</t>
        </is>
      </c>
      <c r="B13" t="inlineStr">
        <is>
          <t>HALFSIM TIGO PORTABILIDAD</t>
        </is>
      </c>
      <c r="C13" t="inlineStr">
        <is>
          <t>163140_06</t>
        </is>
      </c>
      <c r="D13" t="inlineStr">
        <is>
          <t>163140</t>
        </is>
      </c>
      <c r="E13" t="n">
        <v>37576</v>
      </c>
      <c r="F13" t="inlineStr">
        <is>
          <t>DISPONIBLE</t>
        </is>
      </c>
      <c r="I13" t="inlineStr">
        <is>
          <t>STOCK DISPONIBLE</t>
        </is>
      </c>
    </row>
    <row r="14">
      <c r="A14" t="inlineStr">
        <is>
          <t>DELIVERY</t>
        </is>
      </c>
      <c r="B14" t="inlineStr">
        <is>
          <t>HALFSIM MOVISTAR LINEA NUEVA</t>
        </is>
      </c>
      <c r="C14" t="inlineStr">
        <is>
          <t>1621412</t>
        </is>
      </c>
      <c r="D14" t="inlineStr">
        <is>
          <t>1621412</t>
        </is>
      </c>
      <c r="E14" t="n">
        <v>102</v>
      </c>
      <c r="F14" t="inlineStr">
        <is>
          <t>DISPONIBLE</t>
        </is>
      </c>
      <c r="I14" t="inlineStr">
        <is>
          <t>STOCK DISPONIBLE</t>
        </is>
      </c>
    </row>
    <row r="15">
      <c r="A15" t="inlineStr">
        <is>
          <t>DELIVERY</t>
        </is>
      </c>
      <c r="B15" t="inlineStr">
        <is>
          <t>HALFSIM MOVISTAR PORTABILIDAD</t>
        </is>
      </c>
      <c r="C15" t="inlineStr">
        <is>
          <t>1621411</t>
        </is>
      </c>
      <c r="D15" t="inlineStr">
        <is>
          <t>1621411</t>
        </is>
      </c>
      <c r="E15" t="n">
        <v>122</v>
      </c>
      <c r="F15" t="inlineStr">
        <is>
          <t>DISPONIBLE</t>
        </is>
      </c>
      <c r="I15" t="inlineStr">
        <is>
          <t>STOCK DISPONIBLE</t>
        </is>
      </c>
    </row>
    <row r="16">
      <c r="A16" t="inlineStr">
        <is>
          <t>BODEGA CENTRAL</t>
        </is>
      </c>
      <c r="B16" t="inlineStr">
        <is>
          <t>HALFSIM KITE M2M 2FF DEVICE CONTROL TELEFONICA</t>
        </is>
      </c>
      <c r="C16" t="inlineStr">
        <is>
          <t>162594</t>
        </is>
      </c>
      <c r="D16" t="inlineStr">
        <is>
          <t>162594</t>
        </is>
      </c>
      <c r="E16" t="n">
        <v>3089</v>
      </c>
      <c r="F16" t="inlineStr">
        <is>
          <t>DISPONIBLE</t>
        </is>
      </c>
      <c r="I16" t="inlineStr">
        <is>
          <t>STOCK DISPONIBLE</t>
        </is>
      </c>
    </row>
    <row r="17">
      <c r="A17" t="inlineStr">
        <is>
          <t>BODEGA CENTRAL</t>
        </is>
      </c>
      <c r="B17" t="inlineStr">
        <is>
          <t>HALFSIM MAXIPLUS</t>
        </is>
      </c>
      <c r="C17" t="inlineStr">
        <is>
          <t>162523</t>
        </is>
      </c>
      <c r="D17" t="inlineStr">
        <is>
          <t>162523</t>
        </is>
      </c>
      <c r="E17" t="n">
        <v>8741</v>
      </c>
      <c r="F17" t="inlineStr">
        <is>
          <t>DISPONIBLE</t>
        </is>
      </c>
      <c r="I17" t="inlineStr">
        <is>
          <t>STOCK DISPONIBLE</t>
        </is>
      </c>
    </row>
    <row r="18">
      <c r="A18" t="inlineStr">
        <is>
          <t>BODEGA CENTRAL</t>
        </is>
      </c>
      <c r="B18" t="inlineStr">
        <is>
          <t>HALFSIM TIGO CHIP PREPAGO $3 WP AUTOSERVICIO NUMERADO</t>
        </is>
      </c>
      <c r="C18" t="inlineStr">
        <is>
          <t>163140_04</t>
        </is>
      </c>
      <c r="D18" t="inlineStr">
        <is>
          <t>163140</t>
        </is>
      </c>
      <c r="E18" t="n">
        <v>59028</v>
      </c>
      <c r="F18" t="inlineStr">
        <is>
          <t>DISPONIBLE</t>
        </is>
      </c>
      <c r="I18" t="inlineStr">
        <is>
          <t>STOCK DISPONIBLE</t>
        </is>
      </c>
    </row>
    <row r="19">
      <c r="A19" t="inlineStr">
        <is>
          <t>DELIVERY</t>
        </is>
      </c>
      <c r="B19" t="inlineStr">
        <is>
          <t>ESIM MOVISTAR</t>
        </is>
      </c>
      <c r="C19" t="inlineStr">
        <is>
          <t>162119</t>
        </is>
      </c>
      <c r="D19" t="inlineStr">
        <is>
          <t>162119</t>
        </is>
      </c>
      <c r="E19" t="n">
        <v>1244</v>
      </c>
      <c r="F19" t="inlineStr">
        <is>
          <t>DISPONIBLE</t>
        </is>
      </c>
      <c r="I19" t="inlineStr">
        <is>
          <t>STOCK DISPONIBLE</t>
        </is>
      </c>
    </row>
    <row r="20">
      <c r="A20" t="inlineStr">
        <is>
          <t>BODEGA CENTRAL</t>
        </is>
      </c>
      <c r="B20" t="inlineStr">
        <is>
          <t>ESIM AKIMOVIL REPOSICION</t>
        </is>
      </c>
      <c r="C20" t="inlineStr">
        <is>
          <t>162823_01</t>
        </is>
      </c>
      <c r="D20" t="inlineStr">
        <is>
          <t>162823</t>
        </is>
      </c>
      <c r="E20" t="n">
        <v>1000</v>
      </c>
      <c r="F20" t="inlineStr">
        <is>
          <t>DISPONIBLE</t>
        </is>
      </c>
      <c r="I20" t="inlineStr">
        <is>
          <t>STOCK DISPONIBLE</t>
        </is>
      </c>
    </row>
    <row r="21">
      <c r="A21" t="inlineStr">
        <is>
          <t>BODEGA CENTRAL</t>
        </is>
      </c>
      <c r="B21" t="inlineStr">
        <is>
          <t>HALFSIM AKIMOVIL REPOSICION</t>
        </is>
      </c>
      <c r="C21" t="inlineStr">
        <is>
          <t>162524_02</t>
        </is>
      </c>
      <c r="D21" t="inlineStr">
        <is>
          <t>162524</t>
        </is>
      </c>
      <c r="E21" t="n">
        <v>500</v>
      </c>
      <c r="F21" t="inlineStr">
        <is>
          <t>DISPONIBLE</t>
        </is>
      </c>
      <c r="I21" t="inlineStr">
        <is>
          <t>STOCK DISPONIBLE</t>
        </is>
      </c>
    </row>
    <row r="22">
      <c r="A22" t="inlineStr">
        <is>
          <t>BODEGA CENTRAL</t>
        </is>
      </c>
      <c r="B22" t="inlineStr">
        <is>
          <t>HALFSIM TIGO M2M 2FF</t>
        </is>
      </c>
      <c r="C22" t="inlineStr">
        <is>
          <t>163154</t>
        </is>
      </c>
      <c r="D22" t="inlineStr">
        <is>
          <t>163154</t>
        </is>
      </c>
      <c r="E22" t="n">
        <v>4999</v>
      </c>
      <c r="F22" t="inlineStr">
        <is>
          <t>DISPONIBLE</t>
        </is>
      </c>
      <c r="I22" t="inlineStr">
        <is>
          <t>STOCK DISPONIBLE</t>
        </is>
      </c>
    </row>
    <row r="23">
      <c r="A23" t="inlineStr">
        <is>
          <t>BODEGA CENTRAL</t>
        </is>
      </c>
      <c r="B23" t="inlineStr">
        <is>
          <t>HALFSIM TIGO REPOSICIÓN</t>
        </is>
      </c>
      <c r="C23" t="inlineStr">
        <is>
          <t>163140_01</t>
        </is>
      </c>
      <c r="D23" t="inlineStr">
        <is>
          <t>163140</t>
        </is>
      </c>
      <c r="E23" t="n">
        <v>75598</v>
      </c>
      <c r="F23" t="inlineStr">
        <is>
          <t>DISPONIBLE</t>
        </is>
      </c>
      <c r="I23" t="inlineStr">
        <is>
          <t>STOCK DISPONIBLE</t>
        </is>
      </c>
    </row>
    <row r="24">
      <c r="A24" t="inlineStr">
        <is>
          <t>DELIVERY</t>
        </is>
      </c>
      <c r="B24" t="inlineStr">
        <is>
          <t>SIMCARD M2M 3FF LTE</t>
        </is>
      </c>
      <c r="C24" t="inlineStr">
        <is>
          <t>162148</t>
        </is>
      </c>
      <c r="D24" t="inlineStr">
        <is>
          <t>162148</t>
        </is>
      </c>
      <c r="E24" t="n">
        <v>1949</v>
      </c>
      <c r="F24" t="inlineStr">
        <is>
          <t>DISPONIBLE</t>
        </is>
      </c>
      <c r="I24" t="inlineStr">
        <is>
          <t>STOCK DISPONIBLE</t>
        </is>
      </c>
    </row>
    <row r="25">
      <c r="A25" t="inlineStr">
        <is>
          <t>MATERIA PRIMA</t>
        </is>
      </c>
      <c r="B25" t="inlineStr">
        <is>
          <t>HALFSIM TIGO</t>
        </is>
      </c>
      <c r="C25" t="inlineStr">
        <is>
          <t>163140</t>
        </is>
      </c>
      <c r="D25" t="inlineStr">
        <is>
          <t>163140</t>
        </is>
      </c>
      <c r="E25" t="n">
        <v>741743</v>
      </c>
      <c r="F25" t="inlineStr">
        <is>
          <t>DISPONIBLE</t>
        </is>
      </c>
      <c r="I25" t="inlineStr">
        <is>
          <t>STOCK DISPONIBLE</t>
        </is>
      </c>
    </row>
    <row r="26">
      <c r="A26" t="inlineStr">
        <is>
          <t>BODEGA CENTRAL</t>
        </is>
      </c>
      <c r="B26" t="inlineStr">
        <is>
          <t>HALFSIM AKIMOVIL PORTABILIDAD</t>
        </is>
      </c>
      <c r="C26" t="inlineStr">
        <is>
          <t>162524_03</t>
        </is>
      </c>
      <c r="D26" t="inlineStr">
        <is>
          <t>162524</t>
        </is>
      </c>
      <c r="E26" t="n">
        <v>500</v>
      </c>
      <c r="F26" t="inlineStr">
        <is>
          <t>DISPONIBLE</t>
        </is>
      </c>
      <c r="I26" t="inlineStr">
        <is>
          <t>STOCK DISPONIBLE</t>
        </is>
      </c>
    </row>
    <row r="27">
      <c r="A27" t="inlineStr">
        <is>
          <t>BODEGA CENTRAL</t>
        </is>
      </c>
      <c r="B27" t="inlineStr">
        <is>
          <t>SIM KITE M2M 2FF STANDARD</t>
        </is>
      </c>
      <c r="C27" t="inlineStr">
        <is>
          <t>162082</t>
        </is>
      </c>
      <c r="D27" t="inlineStr">
        <is>
          <t>162082</t>
        </is>
      </c>
      <c r="E27" t="n">
        <v>47</v>
      </c>
      <c r="F27" t="inlineStr">
        <is>
          <t>DISPONIBLE</t>
        </is>
      </c>
      <c r="I27" t="inlineStr">
        <is>
          <t>STOCK DISPONIBLE</t>
        </is>
      </c>
    </row>
    <row r="28">
      <c r="A28" t="inlineStr">
        <is>
          <t>DELIVERY</t>
        </is>
      </c>
      <c r="B28" t="inlineStr">
        <is>
          <t>HALFSIM TIGO</t>
        </is>
      </c>
      <c r="C28" t="inlineStr">
        <is>
          <t>163140</t>
        </is>
      </c>
      <c r="D28" t="inlineStr">
        <is>
          <t>163140</t>
        </is>
      </c>
      <c r="E28" t="n">
        <v>5023</v>
      </c>
      <c r="F28" t="inlineStr">
        <is>
          <t>DISPONIBLE</t>
        </is>
      </c>
      <c r="I28" t="inlineStr">
        <is>
          <t>STOCK DISPONIBLE</t>
        </is>
      </c>
    </row>
    <row r="29">
      <c r="A29" t="inlineStr">
        <is>
          <t>MATERIA PRIMA</t>
        </is>
      </c>
      <c r="B29" t="inlineStr">
        <is>
          <t>HALFSIM KITE M2M 4FF DEVICE CONTROL TELEFONICA</t>
        </is>
      </c>
      <c r="C29" t="inlineStr">
        <is>
          <t>162699</t>
        </is>
      </c>
      <c r="D29" t="inlineStr">
        <is>
          <t>162699</t>
        </is>
      </c>
      <c r="E29" t="n">
        <v>10000</v>
      </c>
      <c r="F29" t="inlineStr">
        <is>
          <t>DISPONIBLE</t>
        </is>
      </c>
      <c r="I29" t="inlineStr">
        <is>
          <t>STOCK DISPONIBLE</t>
        </is>
      </c>
    </row>
    <row r="30">
      <c r="A30" t="inlineStr">
        <is>
          <t>BODEGA CENTRAL</t>
        </is>
      </c>
      <c r="B30" t="inlineStr">
        <is>
          <t>ESIM TIGO DIGITAL</t>
        </is>
      </c>
      <c r="C30" t="inlineStr">
        <is>
          <t>163141</t>
        </is>
      </c>
      <c r="D30" t="inlineStr">
        <is>
          <t>163141</t>
        </is>
      </c>
      <c r="E30" t="n">
        <v>887</v>
      </c>
      <c r="F30" t="inlineStr">
        <is>
          <t>DISPONIBLE</t>
        </is>
      </c>
      <c r="I30" t="inlineStr">
        <is>
          <t>STOCK DISPONIBLE</t>
        </is>
      </c>
    </row>
    <row r="31">
      <c r="A31" t="inlineStr">
        <is>
          <t>BODEGA CENTRAL</t>
        </is>
      </c>
      <c r="B31" t="inlineStr">
        <is>
          <t>HALFSIM AKIMOVIL</t>
        </is>
      </c>
      <c r="C31" t="inlineStr">
        <is>
          <t>162524</t>
        </is>
      </c>
      <c r="D31" t="inlineStr">
        <is>
          <t>162524</t>
        </is>
      </c>
      <c r="E31" t="n">
        <v>12246</v>
      </c>
      <c r="F31" t="inlineStr">
        <is>
          <t>DISPONIBLE</t>
        </is>
      </c>
      <c r="I31" t="inlineStr">
        <is>
          <t>STOCK DISPONIBLE</t>
        </is>
      </c>
    </row>
    <row r="32">
      <c r="A32" t="inlineStr">
        <is>
          <t>BODEGA CENTRAL</t>
        </is>
      </c>
      <c r="B32" t="inlineStr">
        <is>
          <t>HALFSIM AKIMOVIL SIM NUMERADA 7D</t>
        </is>
      </c>
      <c r="C32" t="inlineStr">
        <is>
          <t>162524_06</t>
        </is>
      </c>
      <c r="D32" t="inlineStr">
        <is>
          <t>162524</t>
        </is>
      </c>
      <c r="E32" t="n">
        <v>3000</v>
      </c>
      <c r="F32" t="inlineStr">
        <is>
          <t>DISPONIBLE</t>
        </is>
      </c>
      <c r="I32" t="inlineStr">
        <is>
          <t>STOCK DISPONIBLE</t>
        </is>
      </c>
    </row>
    <row r="33">
      <c r="A33" t="inlineStr">
        <is>
          <t>BODEGA CENTRAL</t>
        </is>
      </c>
      <c r="B33" t="inlineStr">
        <is>
          <t>SIMCARD M2M 2FF LTE</t>
        </is>
      </c>
      <c r="C33" t="inlineStr">
        <is>
          <t>162115</t>
        </is>
      </c>
      <c r="D33" t="inlineStr">
        <is>
          <t>162115</t>
        </is>
      </c>
      <c r="E33" t="n">
        <v>5067</v>
      </c>
      <c r="F33" t="inlineStr">
        <is>
          <t>DISPONIBLE</t>
        </is>
      </c>
      <c r="I33" t="inlineStr">
        <is>
          <t>STOCK DISPONIBLE</t>
        </is>
      </c>
    </row>
    <row r="34">
      <c r="A34" t="inlineStr">
        <is>
          <t>DELIVERY</t>
        </is>
      </c>
      <c r="B34" t="inlineStr">
        <is>
          <t>HALFSIM M2M 4FF LTE</t>
        </is>
      </c>
      <c r="C34" t="inlineStr">
        <is>
          <t>162145</t>
        </is>
      </c>
      <c r="D34" t="inlineStr">
        <is>
          <t>162145</t>
        </is>
      </c>
      <c r="E34" t="n">
        <v>605</v>
      </c>
      <c r="F34" t="inlineStr">
        <is>
          <t>DISPONIBLE</t>
        </is>
      </c>
      <c r="I34" t="inlineStr">
        <is>
          <t>STOCK DISPONIBLE</t>
        </is>
      </c>
    </row>
    <row r="35">
      <c r="A35" t="inlineStr">
        <is>
          <t>DELIVERY</t>
        </is>
      </c>
      <c r="B35" t="inlineStr">
        <is>
          <t>HALFSIM MOVISTAR</t>
        </is>
      </c>
      <c r="C35" t="inlineStr">
        <is>
          <t>162141</t>
        </is>
      </c>
      <c r="D35" t="inlineStr">
        <is>
          <t>162141</t>
        </is>
      </c>
      <c r="E35" t="n">
        <v>5304</v>
      </c>
      <c r="F35" t="inlineStr">
        <is>
          <t>DISPONIBLE</t>
        </is>
      </c>
      <c r="I35" t="inlineStr">
        <is>
          <t>STOCK DISPONIBLE</t>
        </is>
      </c>
    </row>
    <row r="36">
      <c r="A36" t="inlineStr">
        <is>
          <t>PRODUCCION</t>
        </is>
      </c>
      <c r="B36" t="inlineStr">
        <is>
          <t>ESIM TIGO DIGITAL PREPAGO $3 WP NUMERADA</t>
        </is>
      </c>
      <c r="C36" t="inlineStr">
        <is>
          <t>163141_02</t>
        </is>
      </c>
      <c r="D36" t="inlineStr">
        <is>
          <t>163141</t>
        </is>
      </c>
      <c r="E36" t="n">
        <v>19998</v>
      </c>
      <c r="F36" t="inlineStr">
        <is>
          <t>DISPONIBLE</t>
        </is>
      </c>
      <c r="I36" t="inlineStr">
        <is>
          <t>STOCK DISPONIBLE</t>
        </is>
      </c>
    </row>
    <row r="37">
      <c r="A37" t="inlineStr">
        <is>
          <t>BODEGA CENTRAL</t>
        </is>
      </c>
      <c r="B37" t="inlineStr">
        <is>
          <t>ESIM AKIMOVIL</t>
        </is>
      </c>
      <c r="C37" t="inlineStr">
        <is>
          <t>162823</t>
        </is>
      </c>
      <c r="D37" t="inlineStr">
        <is>
          <t>162823</t>
        </is>
      </c>
      <c r="E37" t="n">
        <v>107</v>
      </c>
      <c r="F37" t="inlineStr">
        <is>
          <t>DISPONIBLE</t>
        </is>
      </c>
      <c r="I37" t="inlineStr">
        <is>
          <t>STOCK DISPONIBLE</t>
        </is>
      </c>
    </row>
    <row r="38">
      <c r="A38" t="inlineStr">
        <is>
          <t>BODEGA CENTRAL</t>
        </is>
      </c>
      <c r="B38" t="inlineStr">
        <is>
          <t>HALFSIM AKIMOVIL SIM NUMERADA 30D</t>
        </is>
      </c>
      <c r="C38" t="inlineStr">
        <is>
          <t>162524_08</t>
        </is>
      </c>
      <c r="D38" t="inlineStr">
        <is>
          <t>162524</t>
        </is>
      </c>
      <c r="E38" t="n">
        <v>4000</v>
      </c>
      <c r="F38" t="inlineStr">
        <is>
          <t>DISPONIBLE</t>
        </is>
      </c>
      <c r="I38" t="inlineStr">
        <is>
          <t>STOCK DISPONIBLE</t>
        </is>
      </c>
    </row>
    <row r="39">
      <c r="A39" t="inlineStr">
        <is>
          <t>BODEGA CENTRAL</t>
        </is>
      </c>
      <c r="B39" t="inlineStr">
        <is>
          <t>HALFSIM TIGO M2M 3FF</t>
        </is>
      </c>
      <c r="C39" t="inlineStr">
        <is>
          <t>163155</t>
        </is>
      </c>
      <c r="D39" t="inlineStr">
        <is>
          <t>163155</t>
        </is>
      </c>
      <c r="E39" t="n">
        <v>1999</v>
      </c>
      <c r="F39" t="inlineStr">
        <is>
          <t>DISPONIBLE</t>
        </is>
      </c>
      <c r="I39" t="inlineStr">
        <is>
          <t>STOCK DISPONIBLE</t>
        </is>
      </c>
    </row>
    <row r="40">
      <c r="A40" t="inlineStr">
        <is>
          <t>BODEGA CENTRAL</t>
        </is>
      </c>
      <c r="B40" t="inlineStr">
        <is>
          <t>HALFSIM TIGO M2M 4FF</t>
        </is>
      </c>
      <c r="C40" t="inlineStr">
        <is>
          <t>163156</t>
        </is>
      </c>
      <c r="D40" t="inlineStr">
        <is>
          <t>163156</t>
        </is>
      </c>
      <c r="E40" t="n">
        <v>1999</v>
      </c>
      <c r="F40" t="inlineStr">
        <is>
          <t>DISPONIBLE</t>
        </is>
      </c>
      <c r="I40" t="inlineStr">
        <is>
          <t>STOCK DISPONIBLE</t>
        </is>
      </c>
    </row>
    <row r="41">
      <c r="A41" t="inlineStr">
        <is>
          <t>BODEGA CENTRAL</t>
        </is>
      </c>
      <c r="B41" t="inlineStr">
        <is>
          <t>SIM KITE M2M 4FF</t>
        </is>
      </c>
      <c r="C41" t="inlineStr">
        <is>
          <t>162086</t>
        </is>
      </c>
      <c r="D41" t="inlineStr">
        <is>
          <t>162086</t>
        </is>
      </c>
      <c r="E41" t="n">
        <v>1064</v>
      </c>
      <c r="F41" t="inlineStr">
        <is>
          <t>DISPONIBLE</t>
        </is>
      </c>
      <c r="I41" t="inlineStr">
        <is>
          <t>STOCK DISPONIBLE</t>
        </is>
      </c>
    </row>
    <row r="42">
      <c r="A42" t="inlineStr">
        <is>
          <t>DELIVERY</t>
        </is>
      </c>
      <c r="B42" t="inlineStr">
        <is>
          <t>ESIM TIGO DIGITAL</t>
        </is>
      </c>
      <c r="C42" t="inlineStr">
        <is>
          <t>163141</t>
        </is>
      </c>
      <c r="D42" t="inlineStr">
        <is>
          <t>163141</t>
        </is>
      </c>
      <c r="E42" t="n">
        <v>8610</v>
      </c>
      <c r="F42" t="inlineStr">
        <is>
          <t>DISPONIBLE</t>
        </is>
      </c>
      <c r="I42" t="inlineStr">
        <is>
          <t>STOCK DISPONIBLE</t>
        </is>
      </c>
    </row>
    <row r="43">
      <c r="A43" t="inlineStr">
        <is>
          <t>MATERIA PRIMA</t>
        </is>
      </c>
      <c r="B43" t="inlineStr">
        <is>
          <t>HALFSIM KITE M2M 2FF DEVICE CONTROL TELEFONICA</t>
        </is>
      </c>
      <c r="C43" t="inlineStr">
        <is>
          <t>162594</t>
        </is>
      </c>
      <c r="D43" t="inlineStr">
        <is>
          <t>162594</t>
        </is>
      </c>
      <c r="E43" t="n">
        <v>40041</v>
      </c>
      <c r="F43" t="inlineStr">
        <is>
          <t>DISPONIBLE</t>
        </is>
      </c>
      <c r="I43" t="inlineStr">
        <is>
          <t>STOCK DISPONIBLE</t>
        </is>
      </c>
    </row>
    <row r="44">
      <c r="A44" t="inlineStr">
        <is>
          <t>MATERIA PRIMA</t>
        </is>
      </c>
      <c r="B44" t="inlineStr">
        <is>
          <t>HALFSIM KITE M2M 3FF DEVICE CONTROL BLANCA</t>
        </is>
      </c>
      <c r="C44" t="inlineStr">
        <is>
          <t>162593</t>
        </is>
      </c>
      <c r="D44" t="inlineStr">
        <is>
          <t>162593</t>
        </is>
      </c>
      <c r="E44" t="n">
        <v>10000</v>
      </c>
      <c r="F44" t="inlineStr">
        <is>
          <t>DISPONIBLE</t>
        </is>
      </c>
      <c r="I44" t="inlineStr">
        <is>
          <t>STOCK DISPONIBLE</t>
        </is>
      </c>
    </row>
    <row r="45">
      <c r="A45" t="inlineStr">
        <is>
          <t>MATERIA PRIMA</t>
        </is>
      </c>
      <c r="B45" t="inlineStr">
        <is>
          <t>HALFSIM TIGO CHIP PREPAGO $3 WP NUMERADO</t>
        </is>
      </c>
      <c r="C45" t="inlineStr">
        <is>
          <t>163140_02</t>
        </is>
      </c>
      <c r="D45" t="inlineStr">
        <is>
          <t>163140</t>
        </is>
      </c>
      <c r="E45" t="n">
        <v>8</v>
      </c>
      <c r="F45" t="inlineStr">
        <is>
          <t>DISPONIBLE</t>
        </is>
      </c>
      <c r="I45" t="inlineStr">
        <is>
          <t>STOCK DISPONIBLE</t>
        </is>
      </c>
    </row>
    <row r="46">
      <c r="A46" t="inlineStr">
        <is>
          <t>MATERIA PRIMA</t>
        </is>
      </c>
      <c r="B46" t="inlineStr">
        <is>
          <t>HALFSIM KITE M2M 4FF DEVICE CONTROL BLANCA</t>
        </is>
      </c>
      <c r="C46" t="inlineStr">
        <is>
          <t>162699_01</t>
        </is>
      </c>
      <c r="D46" t="inlineStr">
        <is>
          <t>162699</t>
        </is>
      </c>
      <c r="E46" t="n">
        <v>10000</v>
      </c>
      <c r="F46" t="inlineStr">
        <is>
          <t>DISPONIBLE</t>
        </is>
      </c>
      <c r="I46" t="inlineStr">
        <is>
          <t>STOCK DISPONIBLE</t>
        </is>
      </c>
    </row>
    <row r="47">
      <c r="A47" t="inlineStr">
        <is>
          <t>PRODUCCION</t>
        </is>
      </c>
      <c r="B47" t="inlineStr">
        <is>
          <t>HALFSIM TIGO CHIP PREPAGO $3 WP NUMERADO</t>
        </is>
      </c>
      <c r="C47" t="inlineStr">
        <is>
          <t>163140_02</t>
        </is>
      </c>
      <c r="D47" t="inlineStr">
        <is>
          <t>163140</t>
        </is>
      </c>
      <c r="E47" t="n">
        <v>99995</v>
      </c>
      <c r="F47" t="inlineStr">
        <is>
          <t>DISPONIBLE</t>
        </is>
      </c>
      <c r="I47" t="inlineStr">
        <is>
          <t>STOCK DISPONIBLE</t>
        </is>
      </c>
    </row>
    <row r="48">
      <c r="A48" t="inlineStr">
        <is>
          <t>BODEGA CENTRAL</t>
        </is>
      </c>
      <c r="B48" t="inlineStr">
        <is>
          <t>ESIM MAXIPLUS REPOSICION</t>
        </is>
      </c>
      <c r="C48" t="inlineStr">
        <is>
          <t>162822_01</t>
        </is>
      </c>
      <c r="D48" t="inlineStr">
        <is>
          <t>162822</t>
        </is>
      </c>
      <c r="E48" t="n">
        <v>1500</v>
      </c>
      <c r="F48" t="inlineStr">
        <is>
          <t>DISPONIBLE</t>
        </is>
      </c>
      <c r="I48" t="inlineStr">
        <is>
          <t>STOCK DISPONIBLE</t>
        </is>
      </c>
    </row>
    <row r="49">
      <c r="A49" t="inlineStr">
        <is>
          <t>BODEGA CENTRAL</t>
        </is>
      </c>
      <c r="B49" t="inlineStr">
        <is>
          <t>HALFSIM KITE M2M 2FF</t>
        </is>
      </c>
      <c r="C49" t="inlineStr">
        <is>
          <t>162439</t>
        </is>
      </c>
      <c r="D49" t="inlineStr">
        <is>
          <t>162439</t>
        </is>
      </c>
      <c r="E49" t="n">
        <v>331</v>
      </c>
      <c r="F49" t="inlineStr">
        <is>
          <t>DISPONIBLE</t>
        </is>
      </c>
      <c r="I49" t="inlineStr">
        <is>
          <t>STOCK DISPONIBLE</t>
        </is>
      </c>
    </row>
    <row r="50">
      <c r="A50" t="inlineStr">
        <is>
          <t>BODEGA CENTRAL</t>
        </is>
      </c>
      <c r="B50" t="inlineStr">
        <is>
          <t>HALFSIM KITE M2M 3FF DEVICE CONTROL BLANCA</t>
        </is>
      </c>
      <c r="C50" t="inlineStr">
        <is>
          <t>162593</t>
        </is>
      </c>
      <c r="D50" t="inlineStr">
        <is>
          <t>162593</t>
        </is>
      </c>
      <c r="E50" t="n">
        <v>3521</v>
      </c>
      <c r="F50" t="inlineStr">
        <is>
          <t>DISPONIBLE</t>
        </is>
      </c>
      <c r="I50" t="inlineStr">
        <is>
          <t>STOCK DISPONIBLE</t>
        </is>
      </c>
    </row>
    <row r="51">
      <c r="A51" t="inlineStr">
        <is>
          <t>BODEGA CENTRAL</t>
        </is>
      </c>
      <c r="B51" t="inlineStr">
        <is>
          <t>HALFSIM TIGO CHIP PREPAGO $3 WP DUOCELL NUMERADO</t>
        </is>
      </c>
      <c r="C51" t="inlineStr">
        <is>
          <t>163140_05</t>
        </is>
      </c>
      <c r="D51" t="inlineStr">
        <is>
          <t>163140</t>
        </is>
      </c>
      <c r="E51" t="n">
        <v>9342</v>
      </c>
      <c r="F51" t="inlineStr">
        <is>
          <t>DISPONIBLE</t>
        </is>
      </c>
      <c r="I51" t="inlineStr">
        <is>
          <t>STOCK DISPONIBLE</t>
        </is>
      </c>
    </row>
    <row r="52">
      <c r="A52" t="inlineStr">
        <is>
          <t>DELIVERY</t>
        </is>
      </c>
      <c r="B52" t="inlineStr">
        <is>
          <t>ESIM MOVISTAR DIGITAL</t>
        </is>
      </c>
      <c r="C52" t="inlineStr">
        <is>
          <t>162956</t>
        </is>
      </c>
      <c r="D52" t="inlineStr">
        <is>
          <t>162956</t>
        </is>
      </c>
      <c r="E52" t="n">
        <v>6696</v>
      </c>
      <c r="F52" t="inlineStr">
        <is>
          <t>DISPONIBLE</t>
        </is>
      </c>
      <c r="I52" t="inlineStr">
        <is>
          <t>STOCK DISPONIBLE</t>
        </is>
      </c>
    </row>
    <row r="53">
      <c r="A53" t="inlineStr">
        <is>
          <t>DELIVERY</t>
        </is>
      </c>
      <c r="B53" t="inlineStr">
        <is>
          <t>SIMCARD M2M 2FF LTE</t>
        </is>
      </c>
      <c r="C53" t="inlineStr">
        <is>
          <t>162115</t>
        </is>
      </c>
      <c r="D53" t="inlineStr">
        <is>
          <t>162115</t>
        </is>
      </c>
      <c r="E53" t="n">
        <v>315</v>
      </c>
      <c r="F53" t="inlineStr">
        <is>
          <t>DISPONIBLE</t>
        </is>
      </c>
      <c r="I53" t="inlineStr">
        <is>
          <t>STOCK DISPONIBLE</t>
        </is>
      </c>
    </row>
    <row r="54">
      <c r="A54" t="inlineStr">
        <is>
          <t>MATERIA PRIMA</t>
        </is>
      </c>
      <c r="B54" t="inlineStr">
        <is>
          <t>ESIM AKIMOVIL</t>
        </is>
      </c>
      <c r="C54" t="inlineStr">
        <is>
          <t>162823</t>
        </is>
      </c>
      <c r="D54" t="inlineStr">
        <is>
          <t>162823</t>
        </is>
      </c>
      <c r="E54" t="n">
        <v>4998</v>
      </c>
      <c r="F54" t="inlineStr">
        <is>
          <t>DISPONIBLE</t>
        </is>
      </c>
      <c r="I54" t="inlineStr">
        <is>
          <t>STOCK DISPONIBLE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72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FECHA</t>
        </is>
      </c>
      <c r="B1" t="inlineStr">
        <is>
          <t>PEDIDO</t>
        </is>
      </c>
      <c r="C1" t="inlineStr">
        <is>
          <t>CLAVE FLEXNET</t>
        </is>
      </c>
      <c r="D1" t="inlineStr">
        <is>
          <t>CLAVE CLIENTE</t>
        </is>
      </c>
      <c r="E1" t="inlineStr">
        <is>
          <t>DESCRIPCION</t>
        </is>
      </c>
      <c r="F1" t="inlineStr">
        <is>
          <t>CANTIDAD</t>
        </is>
      </c>
      <c r="G1" t="inlineStr">
        <is>
          <t>VALORADO</t>
        </is>
      </c>
      <c r="H1" t="inlineStr">
        <is>
          <t>PMP</t>
        </is>
      </c>
      <c r="I1" t="inlineStr">
        <is>
          <t>CODIGO DESPACHO</t>
        </is>
      </c>
      <c r="J1" t="inlineStr">
        <is>
          <t>CLIENTE</t>
        </is>
      </c>
      <c r="K1" t="inlineStr">
        <is>
          <t>RUC</t>
        </is>
      </c>
      <c r="L1" t="inlineStr">
        <is>
          <t>CIUDAD</t>
        </is>
      </c>
      <c r="M1" t="inlineStr">
        <is>
          <t>CANAL</t>
        </is>
      </c>
      <c r="N1" t="inlineStr">
        <is>
          <t>CANAL 2</t>
        </is>
      </c>
      <c r="O1" t="inlineStr">
        <is>
          <t>DESCRIPCION SCL 2</t>
        </is>
      </c>
      <c r="P1" t="inlineStr">
        <is>
          <t>SCL</t>
        </is>
      </c>
    </row>
    <row r="2">
      <c r="A2" t="inlineStr">
        <is>
          <t>02/10/2026</t>
        </is>
      </c>
      <c r="B2" t="inlineStr">
        <is>
          <t>16500487</t>
        </is>
      </c>
      <c r="C2" t="inlineStr">
        <is>
          <t>163140</t>
        </is>
      </c>
      <c r="D2" t="inlineStr">
        <is>
          <t>163140</t>
        </is>
      </c>
      <c r="E2" t="inlineStr">
        <is>
          <t>HALFSIM TIGO</t>
        </is>
      </c>
      <c r="F2" t="n">
        <v>1</v>
      </c>
      <c r="G2" t="n">
        <v>0.69</v>
      </c>
      <c r="H2" t="inlineStr">
        <is>
          <t>0.69</t>
        </is>
      </c>
      <c r="J2" t="inlineStr">
        <is>
          <t>BRITO ORTIZ FAUSTO DIEGO_BRITO ORTIZ FAUSTO DIEGO</t>
        </is>
      </c>
      <c r="K2" t="inlineStr">
        <is>
          <t>1704454394001</t>
        </is>
      </c>
      <c r="M2" t="inlineStr">
        <is>
          <t>BTB</t>
        </is>
      </c>
      <c r="N2" t="inlineStr">
        <is>
          <t>CANAL DIRECTO</t>
        </is>
      </c>
    </row>
    <row r="3">
      <c r="A3" t="inlineStr">
        <is>
          <t>02/10/2026</t>
        </is>
      </c>
      <c r="B3" t="inlineStr">
        <is>
          <t>16500487</t>
        </is>
      </c>
      <c r="C3" t="inlineStr">
        <is>
          <t>163140</t>
        </is>
      </c>
      <c r="D3" t="inlineStr">
        <is>
          <t>163140</t>
        </is>
      </c>
      <c r="E3" t="inlineStr">
        <is>
          <t>HALFSIM TIGO</t>
        </is>
      </c>
      <c r="F3" t="n">
        <v>1</v>
      </c>
      <c r="G3" t="n">
        <v>0.69</v>
      </c>
      <c r="H3" t="inlineStr">
        <is>
          <t>0.69</t>
        </is>
      </c>
      <c r="J3" t="inlineStr">
        <is>
          <t>BRITO ORTIZ FAUSTO DIEGO_BRITO ORTIZ FAUSTO DIEGO</t>
        </is>
      </c>
      <c r="K3" t="inlineStr">
        <is>
          <t>1704454394001</t>
        </is>
      </c>
      <c r="M3" t="inlineStr">
        <is>
          <t>BTB</t>
        </is>
      </c>
      <c r="N3" t="inlineStr">
        <is>
          <t>CANAL DIRECTO</t>
        </is>
      </c>
    </row>
    <row r="4">
      <c r="A4" t="inlineStr">
        <is>
          <t>02/10/2026</t>
        </is>
      </c>
      <c r="B4" t="inlineStr">
        <is>
          <t>97720760</t>
        </is>
      </c>
      <c r="C4" t="inlineStr">
        <is>
          <t>163140</t>
        </is>
      </c>
      <c r="D4" t="inlineStr">
        <is>
          <t>163140</t>
        </is>
      </c>
      <c r="E4" t="inlineStr">
        <is>
          <t>HALFSIM TIGO</t>
        </is>
      </c>
      <c r="F4" t="n">
        <v>1</v>
      </c>
      <c r="G4" t="n">
        <v>0.69</v>
      </c>
      <c r="H4" t="inlineStr">
        <is>
          <t>0.69</t>
        </is>
      </c>
      <c r="J4" t="inlineStr">
        <is>
          <t>María Eugenia Vera Cevallos</t>
        </is>
      </c>
      <c r="K4" t="inlineStr">
        <is>
          <t>1310783459</t>
        </is>
      </c>
      <c r="L4" t="inlineStr">
        <is>
          <t>Manta</t>
        </is>
      </c>
      <c r="M4" t="inlineStr">
        <is>
          <t>Cliente Final</t>
        </is>
      </c>
      <c r="N4" t="inlineStr">
        <is>
          <t>CANAL INDIRECTO</t>
        </is>
      </c>
    </row>
    <row r="5">
      <c r="A5" t="inlineStr">
        <is>
          <t>02/10/2026</t>
        </is>
      </c>
      <c r="B5" t="inlineStr">
        <is>
          <t>97723550</t>
        </is>
      </c>
      <c r="C5" t="inlineStr">
        <is>
          <t>163140</t>
        </is>
      </c>
      <c r="D5" t="inlineStr">
        <is>
          <t>163140</t>
        </is>
      </c>
      <c r="E5" t="inlineStr">
        <is>
          <t>HALFSIM TIGO</t>
        </is>
      </c>
      <c r="F5" t="n">
        <v>1</v>
      </c>
      <c r="G5" t="n">
        <v>0.69</v>
      </c>
      <c r="H5" t="inlineStr">
        <is>
          <t>0.69</t>
        </is>
      </c>
      <c r="J5" t="inlineStr">
        <is>
          <t>Andy Gabriel Panezo Piza</t>
        </is>
      </c>
      <c r="K5" t="inlineStr">
        <is>
          <t>0957668056</t>
        </is>
      </c>
      <c r="L5" t="inlineStr">
        <is>
          <t>Quito</t>
        </is>
      </c>
      <c r="M5" t="inlineStr">
        <is>
          <t>Cliente Final</t>
        </is>
      </c>
      <c r="N5" t="inlineStr">
        <is>
          <t>CANAL INDIRECTO</t>
        </is>
      </c>
    </row>
    <row r="6">
      <c r="A6" t="inlineStr">
        <is>
          <t>02/10/2026</t>
        </is>
      </c>
      <c r="B6" t="inlineStr">
        <is>
          <t>97726248</t>
        </is>
      </c>
      <c r="C6" t="inlineStr">
        <is>
          <t>163140</t>
        </is>
      </c>
      <c r="D6" t="inlineStr">
        <is>
          <t>163140</t>
        </is>
      </c>
      <c r="E6" t="inlineStr">
        <is>
          <t>HALFSIM TIGO</t>
        </is>
      </c>
      <c r="F6" t="n">
        <v>1</v>
      </c>
      <c r="G6" t="n">
        <v>0.69</v>
      </c>
      <c r="H6" t="inlineStr">
        <is>
          <t>0.69</t>
        </is>
      </c>
      <c r="J6" t="inlineStr">
        <is>
          <t>LILIANA MARGOTH YANZA VILLAGRAN</t>
        </is>
      </c>
      <c r="K6" t="inlineStr">
        <is>
          <t>1723345813</t>
        </is>
      </c>
      <c r="L6" t="inlineStr">
        <is>
          <t>Quito</t>
        </is>
      </c>
      <c r="M6" t="inlineStr">
        <is>
          <t>Cliente Final</t>
        </is>
      </c>
      <c r="N6" t="inlineStr">
        <is>
          <t>CANAL INDIRECTO</t>
        </is>
      </c>
    </row>
    <row r="7">
      <c r="A7" t="inlineStr">
        <is>
          <t>02/10/2026</t>
        </is>
      </c>
      <c r="B7" t="inlineStr">
        <is>
          <t>97726432</t>
        </is>
      </c>
      <c r="C7" t="inlineStr">
        <is>
          <t>163140</t>
        </is>
      </c>
      <c r="D7" t="inlineStr">
        <is>
          <t>163140</t>
        </is>
      </c>
      <c r="E7" t="inlineStr">
        <is>
          <t>HALFSIM TIGO</t>
        </is>
      </c>
      <c r="F7" t="n">
        <v>1</v>
      </c>
      <c r="G7" t="n">
        <v>0.69</v>
      </c>
      <c r="H7" t="inlineStr">
        <is>
          <t>0.69</t>
        </is>
      </c>
      <c r="J7" t="inlineStr">
        <is>
          <t>Lisbeth Carolina Saltos Proaño</t>
        </is>
      </c>
      <c r="K7" t="inlineStr">
        <is>
          <t>1004824965</t>
        </is>
      </c>
      <c r="L7" t="inlineStr">
        <is>
          <t>Ibarra</t>
        </is>
      </c>
      <c r="M7" t="inlineStr">
        <is>
          <t>Cliente Final</t>
        </is>
      </c>
      <c r="N7" t="inlineStr">
        <is>
          <t>CANAL INDIRECTO</t>
        </is>
      </c>
    </row>
    <row r="8">
      <c r="A8" t="inlineStr">
        <is>
          <t>02/10/2026</t>
        </is>
      </c>
      <c r="B8" t="inlineStr">
        <is>
          <t>97727391</t>
        </is>
      </c>
      <c r="C8" t="inlineStr">
        <is>
          <t>163140</t>
        </is>
      </c>
      <c r="D8" t="inlineStr">
        <is>
          <t>163140</t>
        </is>
      </c>
      <c r="E8" t="inlineStr">
        <is>
          <t>HALFSIM TIGO</t>
        </is>
      </c>
      <c r="F8" t="n">
        <v>1</v>
      </c>
      <c r="G8" t="n">
        <v>0.69</v>
      </c>
      <c r="H8" t="inlineStr">
        <is>
          <t>0.69</t>
        </is>
      </c>
      <c r="J8" t="inlineStr">
        <is>
          <t>William Andrés Ibadango Cuascota</t>
        </is>
      </c>
      <c r="K8" t="inlineStr">
        <is>
          <t>1004293526</t>
        </is>
      </c>
      <c r="L8" t="inlineStr">
        <is>
          <t>Ibarra</t>
        </is>
      </c>
      <c r="M8" t="inlineStr">
        <is>
          <t>Cliente Final</t>
        </is>
      </c>
      <c r="N8" t="inlineStr">
        <is>
          <t>CANAL INDIRECTO</t>
        </is>
      </c>
    </row>
    <row r="9">
      <c r="A9" t="inlineStr">
        <is>
          <t>02/10/2026</t>
        </is>
      </c>
      <c r="B9" t="inlineStr">
        <is>
          <t>16501055</t>
        </is>
      </c>
      <c r="C9" t="inlineStr">
        <is>
          <t>163140</t>
        </is>
      </c>
      <c r="D9" t="inlineStr">
        <is>
          <t>163140</t>
        </is>
      </c>
      <c r="E9" t="inlineStr">
        <is>
          <t>HALFSIM TIGO</t>
        </is>
      </c>
      <c r="F9" t="n">
        <v>22</v>
      </c>
      <c r="G9" t="n">
        <v>15.18</v>
      </c>
      <c r="H9" t="inlineStr">
        <is>
          <t>0.69</t>
        </is>
      </c>
      <c r="J9" t="inlineStr">
        <is>
          <t>KEVIN FERNANDEZ_CEPAPRODUCCION CIA LTDA</t>
        </is>
      </c>
      <c r="K9" t="inlineStr">
        <is>
          <t>1792199689001</t>
        </is>
      </c>
      <c r="M9" t="inlineStr">
        <is>
          <t>BTB</t>
        </is>
      </c>
      <c r="N9" t="inlineStr">
        <is>
          <t>CANAL DIRECTO</t>
        </is>
      </c>
    </row>
    <row r="10">
      <c r="A10" t="inlineStr">
        <is>
          <t>02/10/2026</t>
        </is>
      </c>
      <c r="B10" t="inlineStr">
        <is>
          <t>16501610</t>
        </is>
      </c>
      <c r="C10" t="inlineStr">
        <is>
          <t>163140</t>
        </is>
      </c>
      <c r="D10" t="inlineStr">
        <is>
          <t>163140</t>
        </is>
      </c>
      <c r="E10" t="inlineStr">
        <is>
          <t>HALFSIM TIGO</t>
        </is>
      </c>
      <c r="F10" t="n">
        <v>1</v>
      </c>
      <c r="G10" t="n">
        <v>0.69</v>
      </c>
      <c r="H10" t="inlineStr">
        <is>
          <t>0.69</t>
        </is>
      </c>
      <c r="J10" t="inlineStr">
        <is>
          <t>GALO ACOSTA_PUBLIMARKCACORPORACION EMPRESARIAL S A S</t>
        </is>
      </c>
      <c r="K10" t="inlineStr">
        <is>
          <t>1793186084001</t>
        </is>
      </c>
      <c r="M10" t="inlineStr">
        <is>
          <t>BTB</t>
        </is>
      </c>
      <c r="N10" t="inlineStr">
        <is>
          <t>CANAL DIRECTO</t>
        </is>
      </c>
    </row>
    <row r="11">
      <c r="A11" t="inlineStr">
        <is>
          <t>02/10/2026</t>
        </is>
      </c>
      <c r="B11" t="inlineStr">
        <is>
          <t>16501730</t>
        </is>
      </c>
      <c r="C11" t="inlineStr">
        <is>
          <t>163140</t>
        </is>
      </c>
      <c r="D11" t="inlineStr">
        <is>
          <t>163140</t>
        </is>
      </c>
      <c r="E11" t="inlineStr">
        <is>
          <t>HALFSIM TIGO</t>
        </is>
      </c>
      <c r="F11" t="n">
        <v>1</v>
      </c>
      <c r="G11" t="n">
        <v>0.69</v>
      </c>
      <c r="H11" t="inlineStr">
        <is>
          <t>0.69</t>
        </is>
      </c>
      <c r="J11" t="inlineStr">
        <is>
          <t>UMAQUINGA SERRANO DARIO XAVIER_UMAQUINGA SERRANO DARIO XAVIER</t>
        </is>
      </c>
      <c r="K11" t="inlineStr">
        <is>
          <t>1717964009001</t>
        </is>
      </c>
      <c r="M11" t="inlineStr">
        <is>
          <t>BTB</t>
        </is>
      </c>
      <c r="N11" t="inlineStr">
        <is>
          <t>CANAL DIRECTO</t>
        </is>
      </c>
    </row>
    <row r="12">
      <c r="A12" t="inlineStr">
        <is>
          <t>02/10/2026</t>
        </is>
      </c>
      <c r="B12" t="inlineStr">
        <is>
          <t>16501749</t>
        </is>
      </c>
      <c r="C12" t="inlineStr">
        <is>
          <t>163140</t>
        </is>
      </c>
      <c r="D12" t="inlineStr">
        <is>
          <t>163140</t>
        </is>
      </c>
      <c r="E12" t="inlineStr">
        <is>
          <t>HALFSIM TIGO</t>
        </is>
      </c>
      <c r="F12" t="n">
        <v>1</v>
      </c>
      <c r="G12" t="n">
        <v>0.69</v>
      </c>
      <c r="H12" t="inlineStr">
        <is>
          <t>0.69</t>
        </is>
      </c>
      <c r="J12" t="inlineStr">
        <is>
          <t>NARANJO CRUZ GUILLERMO MOISES_NARANJO CRUZ GUILLERMO MOISES</t>
        </is>
      </c>
      <c r="K12" t="inlineStr">
        <is>
          <t>0952555274001</t>
        </is>
      </c>
      <c r="M12" t="inlineStr">
        <is>
          <t>BTB</t>
        </is>
      </c>
      <c r="N12" t="inlineStr">
        <is>
          <t>CANAL DIRECTO</t>
        </is>
      </c>
    </row>
    <row r="13">
      <c r="A13" t="inlineStr">
        <is>
          <t>02/10/2026</t>
        </is>
      </c>
      <c r="B13" t="inlineStr">
        <is>
          <t>16501782</t>
        </is>
      </c>
      <c r="C13" t="inlineStr">
        <is>
          <t>163140</t>
        </is>
      </c>
      <c r="D13" t="inlineStr">
        <is>
          <t>163140</t>
        </is>
      </c>
      <c r="E13" t="inlineStr">
        <is>
          <t>HALFSIM TIGO</t>
        </is>
      </c>
      <c r="F13" t="n">
        <v>1</v>
      </c>
      <c r="G13" t="n">
        <v>0.69</v>
      </c>
      <c r="H13" t="inlineStr">
        <is>
          <t>0.69</t>
        </is>
      </c>
      <c r="J13" t="inlineStr">
        <is>
          <t>RIVERA VALENZUELA MARIO AUGUSTO_RIVERA VALENZUELA MARIO AUGUSTO</t>
        </is>
      </c>
      <c r="K13" t="inlineStr">
        <is>
          <t>1711382109001</t>
        </is>
      </c>
      <c r="M13" t="inlineStr">
        <is>
          <t>BTB</t>
        </is>
      </c>
      <c r="N13" t="inlineStr">
        <is>
          <t>CANAL DIRECTO</t>
        </is>
      </c>
    </row>
    <row r="14">
      <c r="A14" t="inlineStr">
        <is>
          <t>02/10/2026</t>
        </is>
      </c>
      <c r="B14" t="inlineStr">
        <is>
          <t>16501800</t>
        </is>
      </c>
      <c r="C14" t="inlineStr">
        <is>
          <t>163140</t>
        </is>
      </c>
      <c r="D14" t="inlineStr">
        <is>
          <t>163140</t>
        </is>
      </c>
      <c r="E14" t="inlineStr">
        <is>
          <t>HALFSIM TIGO</t>
        </is>
      </c>
      <c r="F14" t="n">
        <v>14</v>
      </c>
      <c r="G14" t="n">
        <v>9.66</v>
      </c>
      <c r="H14" t="inlineStr">
        <is>
          <t>0.69</t>
        </is>
      </c>
      <c r="J14" t="inlineStr">
        <is>
          <t>TV CABLE SANTA ANA TVCABSA S A _TV CABLE SANTA ANA TVCABSA S A</t>
        </is>
      </c>
      <c r="K14" t="inlineStr">
        <is>
          <t>1791275101001</t>
        </is>
      </c>
      <c r="M14" t="inlineStr">
        <is>
          <t>BTB</t>
        </is>
      </c>
      <c r="N14" t="inlineStr">
        <is>
          <t>CANAL DIRECTO</t>
        </is>
      </c>
    </row>
    <row r="15">
      <c r="A15" t="inlineStr">
        <is>
          <t>02/10/2026</t>
        </is>
      </c>
      <c r="B15" t="inlineStr">
        <is>
          <t>16501786</t>
        </is>
      </c>
      <c r="C15" t="inlineStr">
        <is>
          <t>163140</t>
        </is>
      </c>
      <c r="D15" t="inlineStr">
        <is>
          <t>163140</t>
        </is>
      </c>
      <c r="E15" t="inlineStr">
        <is>
          <t>HALFSIM TIGO</t>
        </is>
      </c>
      <c r="F15" t="n">
        <v>1</v>
      </c>
      <c r="G15" t="n">
        <v>0.69</v>
      </c>
      <c r="H15" t="inlineStr">
        <is>
          <t>0.69</t>
        </is>
      </c>
      <c r="J15" t="inlineStr">
        <is>
          <t>REYES SOLIS DARWIN BELLINI_ASOCIACION DE DOCENTES ADMINISTRATIVOS Y DE SERVICIOS DE LA U P S Q</t>
        </is>
      </c>
      <c r="K15" t="inlineStr">
        <is>
          <t>1791725468001</t>
        </is>
      </c>
      <c r="M15" t="inlineStr">
        <is>
          <t>BTB</t>
        </is>
      </c>
      <c r="N15" t="inlineStr">
        <is>
          <t>CANAL DIRECTO</t>
        </is>
      </c>
    </row>
    <row r="16">
      <c r="A16" t="inlineStr">
        <is>
          <t>02/10/2026</t>
        </is>
      </c>
      <c r="B16" t="inlineStr">
        <is>
          <t>16501791</t>
        </is>
      </c>
      <c r="C16" t="inlineStr">
        <is>
          <t>163140</t>
        </is>
      </c>
      <c r="D16" t="inlineStr">
        <is>
          <t>163140</t>
        </is>
      </c>
      <c r="E16" t="inlineStr">
        <is>
          <t>HALFSIM TIGO</t>
        </is>
      </c>
      <c r="F16" t="n">
        <v>7</v>
      </c>
      <c r="G16" t="n">
        <v>4.83</v>
      </c>
      <c r="H16" t="inlineStr">
        <is>
          <t>0.69</t>
        </is>
      </c>
      <c r="J16" t="inlineStr">
        <is>
          <t>PAMELA GONZALEZ_MAGNETOCORP S A</t>
        </is>
      </c>
      <c r="K16" t="inlineStr">
        <is>
          <t>0991306080001</t>
        </is>
      </c>
      <c r="M16" t="inlineStr">
        <is>
          <t>BTB</t>
        </is>
      </c>
      <c r="N16" t="inlineStr">
        <is>
          <t>CANAL DIRECTO</t>
        </is>
      </c>
    </row>
    <row r="17">
      <c r="A17" t="inlineStr">
        <is>
          <t>02/10/2026</t>
        </is>
      </c>
      <c r="B17" t="inlineStr">
        <is>
          <t>16501814</t>
        </is>
      </c>
      <c r="C17" t="inlineStr">
        <is>
          <t>163140</t>
        </is>
      </c>
      <c r="D17" t="inlineStr">
        <is>
          <t>163140</t>
        </is>
      </c>
      <c r="E17" t="inlineStr">
        <is>
          <t>HALFSIM TIGO</t>
        </is>
      </c>
      <c r="F17" t="n">
        <v>1</v>
      </c>
      <c r="G17" t="n">
        <v>0.69</v>
      </c>
      <c r="H17" t="inlineStr">
        <is>
          <t>0.69</t>
        </is>
      </c>
      <c r="J17" t="inlineStr">
        <is>
          <t>KAREN VELOZ ORELLANA_PESTSCONTROL S A</t>
        </is>
      </c>
      <c r="K17" t="inlineStr">
        <is>
          <t>0993076562001</t>
        </is>
      </c>
      <c r="M17" t="inlineStr">
        <is>
          <t>BTB</t>
        </is>
      </c>
      <c r="N17" t="inlineStr">
        <is>
          <t>CANAL DIRECTO</t>
        </is>
      </c>
    </row>
    <row r="18">
      <c r="A18" t="inlineStr">
        <is>
          <t>02/10/2026</t>
        </is>
      </c>
      <c r="B18" t="inlineStr">
        <is>
          <t>16501818</t>
        </is>
      </c>
      <c r="C18" t="inlineStr">
        <is>
          <t>163140</t>
        </is>
      </c>
      <c r="D18" t="inlineStr">
        <is>
          <t>163140</t>
        </is>
      </c>
      <c r="E18" t="inlineStr">
        <is>
          <t>HALFSIM TIGO</t>
        </is>
      </c>
      <c r="F18" t="n">
        <v>1</v>
      </c>
      <c r="G18" t="n">
        <v>0.69</v>
      </c>
      <c r="H18" t="inlineStr">
        <is>
          <t>0.69</t>
        </is>
      </c>
      <c r="J18" t="inlineStr">
        <is>
          <t>LUIGI DENNIS BENAVIDES OBANDO_RODRIGUEZ CAMPOS EMMANUEL JESUS ALEJANDRO</t>
        </is>
      </c>
      <c r="K18" t="inlineStr">
        <is>
          <t>1757865124001</t>
        </is>
      </c>
      <c r="M18" t="inlineStr">
        <is>
          <t>BTB</t>
        </is>
      </c>
      <c r="N18" t="inlineStr">
        <is>
          <t>CANAL DIRECTO</t>
        </is>
      </c>
    </row>
    <row r="19">
      <c r="A19" t="inlineStr">
        <is>
          <t>02/10/2026</t>
        </is>
      </c>
      <c r="B19" t="inlineStr">
        <is>
          <t>16501819</t>
        </is>
      </c>
      <c r="C19" t="inlineStr">
        <is>
          <t>163140</t>
        </is>
      </c>
      <c r="D19" t="inlineStr">
        <is>
          <t>163140</t>
        </is>
      </c>
      <c r="E19" t="inlineStr">
        <is>
          <t>HALFSIM TIGO</t>
        </is>
      </c>
      <c r="F19" t="n">
        <v>3</v>
      </c>
      <c r="G19" t="n">
        <v>2.0699999999999998</v>
      </c>
      <c r="H19" t="inlineStr">
        <is>
          <t>0.69</t>
        </is>
      </c>
      <c r="J19" t="inlineStr">
        <is>
          <t>DAMARIS CELDO_FARMACOS Y COSMETICOS VETERINARIOS S A FARCOVETSA</t>
        </is>
      </c>
      <c r="K19" t="inlineStr">
        <is>
          <t>0992675586001</t>
        </is>
      </c>
      <c r="M19" t="inlineStr">
        <is>
          <t>BTB</t>
        </is>
      </c>
      <c r="N19" t="inlineStr">
        <is>
          <t>CANAL DIRECTO</t>
        </is>
      </c>
    </row>
    <row r="20">
      <c r="A20" t="inlineStr">
        <is>
          <t>02/10/2026</t>
        </is>
      </c>
      <c r="B20" t="inlineStr">
        <is>
          <t>16501862</t>
        </is>
      </c>
      <c r="C20" t="inlineStr">
        <is>
          <t>163140</t>
        </is>
      </c>
      <c r="D20" t="inlineStr">
        <is>
          <t>163140</t>
        </is>
      </c>
      <c r="E20" t="inlineStr">
        <is>
          <t>HALFSIM TIGO</t>
        </is>
      </c>
      <c r="F20" t="n">
        <v>1</v>
      </c>
      <c r="G20" t="n">
        <v>0.69</v>
      </c>
      <c r="H20" t="inlineStr">
        <is>
          <t>0.69</t>
        </is>
      </c>
      <c r="J20" t="inlineStr">
        <is>
          <t>FANNY LEON_EMPRESA HOTELERA LUCUPA S A</t>
        </is>
      </c>
      <c r="K20" t="inlineStr">
        <is>
          <t>0190166953001</t>
        </is>
      </c>
      <c r="M20" t="inlineStr">
        <is>
          <t>BTB</t>
        </is>
      </c>
      <c r="N20" t="inlineStr">
        <is>
          <t>CANAL DIRECTO</t>
        </is>
      </c>
    </row>
    <row r="21">
      <c r="A21" t="inlineStr">
        <is>
          <t>02/10/2026</t>
        </is>
      </c>
      <c r="B21" t="inlineStr">
        <is>
          <t>16501863</t>
        </is>
      </c>
      <c r="C21" t="inlineStr">
        <is>
          <t>163140</t>
        </is>
      </c>
      <c r="D21" t="inlineStr">
        <is>
          <t>163140</t>
        </is>
      </c>
      <c r="E21" t="inlineStr">
        <is>
          <t>HALFSIM TIGO</t>
        </is>
      </c>
      <c r="F21" t="n">
        <v>59</v>
      </c>
      <c r="G21" t="n">
        <v>40.709999999999994</v>
      </c>
      <c r="H21" t="inlineStr">
        <is>
          <t>0.69</t>
        </is>
      </c>
      <c r="J21" t="inlineStr">
        <is>
          <t>PAMELA GONZALEZ_MAGNETOCORP S A</t>
        </is>
      </c>
      <c r="K21" t="inlineStr">
        <is>
          <t>0991306080001</t>
        </is>
      </c>
      <c r="M21" t="inlineStr">
        <is>
          <t>BTB</t>
        </is>
      </c>
      <c r="N21" t="inlineStr">
        <is>
          <t>CANAL DIRECTO</t>
        </is>
      </c>
    </row>
    <row r="22">
      <c r="A22" t="inlineStr">
        <is>
          <t>02/10/2026</t>
        </is>
      </c>
      <c r="B22" t="inlineStr">
        <is>
          <t>16501931</t>
        </is>
      </c>
      <c r="C22" t="inlineStr">
        <is>
          <t>163140</t>
        </is>
      </c>
      <c r="D22" t="inlineStr">
        <is>
          <t>163140</t>
        </is>
      </c>
      <c r="E22" t="inlineStr">
        <is>
          <t>HALFSIM TIGO</t>
        </is>
      </c>
      <c r="F22" t="n">
        <v>10</v>
      </c>
      <c r="G22" t="n">
        <v>6.8999999999999995</v>
      </c>
      <c r="H22" t="inlineStr">
        <is>
          <t>0.69</t>
        </is>
      </c>
      <c r="J22" t="inlineStr">
        <is>
          <t>MIGUEL MARTINEZ_COMPANIA DE TRANSPORTE METROURBANO S A</t>
        </is>
      </c>
      <c r="K22" t="inlineStr">
        <is>
          <t>0993394078001</t>
        </is>
      </c>
      <c r="M22" t="inlineStr">
        <is>
          <t>BTB</t>
        </is>
      </c>
      <c r="N22" t="inlineStr">
        <is>
          <t>CANAL DIRECTO</t>
        </is>
      </c>
    </row>
    <row r="23">
      <c r="A23" t="inlineStr">
        <is>
          <t>02/10/2026</t>
        </is>
      </c>
      <c r="B23" t="inlineStr">
        <is>
          <t>16501941</t>
        </is>
      </c>
      <c r="C23" t="inlineStr">
        <is>
          <t>163140</t>
        </is>
      </c>
      <c r="D23" t="inlineStr">
        <is>
          <t>163140</t>
        </is>
      </c>
      <c r="E23" t="inlineStr">
        <is>
          <t>HALFSIM TIGO</t>
        </is>
      </c>
      <c r="F23" t="n">
        <v>3</v>
      </c>
      <c r="G23" t="n">
        <v>2.0699999999999998</v>
      </c>
      <c r="H23" t="inlineStr">
        <is>
          <t>0.69</t>
        </is>
      </c>
      <c r="J23" t="inlineStr">
        <is>
          <t>JOHANNA TORRES DIANA CORONADO_COOPERATIVA DE AHORRO Y CREDITO SERVICOOP</t>
        </is>
      </c>
      <c r="K23" t="inlineStr">
        <is>
          <t>0992284048001</t>
        </is>
      </c>
      <c r="M23" t="inlineStr">
        <is>
          <t>BTB</t>
        </is>
      </c>
      <c r="N23" t="inlineStr">
        <is>
          <t>CANAL DIRECTO</t>
        </is>
      </c>
    </row>
    <row r="24">
      <c r="A24" t="inlineStr">
        <is>
          <t>02/10/2026</t>
        </is>
      </c>
      <c r="B24" t="inlineStr">
        <is>
          <t>16501944</t>
        </is>
      </c>
      <c r="C24" t="inlineStr">
        <is>
          <t>163140</t>
        </is>
      </c>
      <c r="D24" t="inlineStr">
        <is>
          <t>163140</t>
        </is>
      </c>
      <c r="E24" t="inlineStr">
        <is>
          <t>HALFSIM TIGO</t>
        </is>
      </c>
      <c r="F24" t="n">
        <v>1</v>
      </c>
      <c r="G24" t="n">
        <v>0.69</v>
      </c>
      <c r="H24" t="inlineStr">
        <is>
          <t>0.69</t>
        </is>
      </c>
      <c r="J24" t="inlineStr">
        <is>
          <t>KAREN GARCIA_GARCIA SANCHEZ KAREN TATIANA</t>
        </is>
      </c>
      <c r="K24" t="inlineStr">
        <is>
          <t>1756218184001</t>
        </is>
      </c>
      <c r="M24" t="inlineStr">
        <is>
          <t>BTB</t>
        </is>
      </c>
      <c r="N24" t="inlineStr">
        <is>
          <t>CANAL DIRECTO</t>
        </is>
      </c>
    </row>
    <row r="25">
      <c r="A25" t="inlineStr">
        <is>
          <t>02/10/2026</t>
        </is>
      </c>
      <c r="B25" t="inlineStr">
        <is>
          <t>16501945</t>
        </is>
      </c>
      <c r="C25" t="inlineStr">
        <is>
          <t>163140</t>
        </is>
      </c>
      <c r="D25" t="inlineStr">
        <is>
          <t>163140</t>
        </is>
      </c>
      <c r="E25" t="inlineStr">
        <is>
          <t>HALFSIM TIGO</t>
        </is>
      </c>
      <c r="F25" t="n">
        <v>1</v>
      </c>
      <c r="G25" t="n">
        <v>0.69</v>
      </c>
      <c r="H25" t="inlineStr">
        <is>
          <t>0.69</t>
        </is>
      </c>
      <c r="J25" t="inlineStr">
        <is>
          <t>VANESSA CASTELLANOS_VANESSA ESTEFANNIA CASTELLANOS BARRERA</t>
        </is>
      </c>
      <c r="K25" t="inlineStr">
        <is>
          <t>1723605588001</t>
        </is>
      </c>
      <c r="M25" t="inlineStr">
        <is>
          <t>BTB</t>
        </is>
      </c>
      <c r="N25" t="inlineStr">
        <is>
          <t>CANAL DIRECTO</t>
        </is>
      </c>
    </row>
    <row r="26">
      <c r="A26" t="inlineStr">
        <is>
          <t>02/10/2026</t>
        </is>
      </c>
      <c r="B26" t="inlineStr">
        <is>
          <t>16501946</t>
        </is>
      </c>
      <c r="C26" t="inlineStr">
        <is>
          <t>163140</t>
        </is>
      </c>
      <c r="D26" t="inlineStr">
        <is>
          <t>163140</t>
        </is>
      </c>
      <c r="E26" t="inlineStr">
        <is>
          <t>HALFSIM TIGO</t>
        </is>
      </c>
      <c r="F26" t="n">
        <v>1</v>
      </c>
      <c r="G26" t="n">
        <v>0.69</v>
      </c>
      <c r="H26" t="inlineStr">
        <is>
          <t>0.69</t>
        </is>
      </c>
      <c r="J26" t="inlineStr">
        <is>
          <t>VERONICA INIGUEZ_ASOCIACION MUTUALISTA DE AHORRO Y CREDITO PARA LA VIVIENDA AZUAY</t>
        </is>
      </c>
      <c r="K26" t="inlineStr">
        <is>
          <t>0190006247001</t>
        </is>
      </c>
      <c r="M26" t="inlineStr">
        <is>
          <t>BTB</t>
        </is>
      </c>
      <c r="N26" t="inlineStr">
        <is>
          <t>CANAL DIRECTO</t>
        </is>
      </c>
    </row>
    <row r="27">
      <c r="A27" t="inlineStr">
        <is>
          <t>02/10/2026</t>
        </is>
      </c>
      <c r="B27" t="inlineStr">
        <is>
          <t>97732642</t>
        </is>
      </c>
      <c r="C27" t="inlineStr">
        <is>
          <t>163140</t>
        </is>
      </c>
      <c r="D27" t="inlineStr">
        <is>
          <t>163140</t>
        </is>
      </c>
      <c r="E27" t="inlineStr">
        <is>
          <t>HALFSIM TIGO</t>
        </is>
      </c>
      <c r="F27" t="n">
        <v>1</v>
      </c>
      <c r="G27" t="n">
        <v>0.69</v>
      </c>
      <c r="H27" t="inlineStr">
        <is>
          <t>0.69</t>
        </is>
      </c>
      <c r="J27" t="inlineStr">
        <is>
          <t>Ana Garcia</t>
        </is>
      </c>
      <c r="K27" t="inlineStr">
        <is>
          <t>1312553900</t>
        </is>
      </c>
      <c r="L27" t="inlineStr">
        <is>
          <t>0.963786,-79.6270917</t>
        </is>
      </c>
      <c r="M27" t="inlineStr">
        <is>
          <t>Cliente Final</t>
        </is>
      </c>
      <c r="N27" t="inlineStr">
        <is>
          <t>CANAL INDIRECTO</t>
        </is>
      </c>
    </row>
    <row r="28">
      <c r="A28" t="inlineStr">
        <is>
          <t>02/10/2026</t>
        </is>
      </c>
      <c r="B28" t="inlineStr">
        <is>
          <t>97732974</t>
        </is>
      </c>
      <c r="C28" t="inlineStr">
        <is>
          <t>163140</t>
        </is>
      </c>
      <c r="D28" t="inlineStr">
        <is>
          <t>163140</t>
        </is>
      </c>
      <c r="E28" t="inlineStr">
        <is>
          <t>HALFSIM TIGO</t>
        </is>
      </c>
      <c r="F28" t="n">
        <v>1</v>
      </c>
      <c r="G28" t="n">
        <v>0.69</v>
      </c>
      <c r="H28" t="inlineStr">
        <is>
          <t>0.69</t>
        </is>
      </c>
      <c r="J28" t="inlineStr">
        <is>
          <t>Marjorie Toledo</t>
        </is>
      </c>
      <c r="K28" t="inlineStr">
        <is>
          <t>1722755699</t>
        </is>
      </c>
      <c r="L28" t="inlineStr">
        <is>
          <t>-0.171304,-78.4885531</t>
        </is>
      </c>
      <c r="M28" t="inlineStr">
        <is>
          <t>Cliente Final</t>
        </is>
      </c>
      <c r="N28" t="inlineStr">
        <is>
          <t>CANAL INDIRECTO</t>
        </is>
      </c>
    </row>
    <row r="29">
      <c r="A29" t="inlineStr">
        <is>
          <t>02/10/2026</t>
        </is>
      </c>
      <c r="B29" t="inlineStr">
        <is>
          <t>97733270</t>
        </is>
      </c>
      <c r="C29" t="inlineStr">
        <is>
          <t>163140</t>
        </is>
      </c>
      <c r="D29" t="inlineStr">
        <is>
          <t>163140</t>
        </is>
      </c>
      <c r="E29" t="inlineStr">
        <is>
          <t>HALFSIM TIGO</t>
        </is>
      </c>
      <c r="F29" t="n">
        <v>1</v>
      </c>
      <c r="G29" t="n">
        <v>0.69</v>
      </c>
      <c r="H29" t="inlineStr">
        <is>
          <t>0.69</t>
        </is>
      </c>
      <c r="J29" t="inlineStr">
        <is>
          <t>Dan Haro</t>
        </is>
      </c>
      <c r="K29" t="inlineStr">
        <is>
          <t>1724758097</t>
        </is>
      </c>
      <c r="L29" t="inlineStr">
        <is>
          <t>-0.20927885617581624,-78.40742984473304</t>
        </is>
      </c>
      <c r="M29" t="inlineStr">
        <is>
          <t>Cliente Final</t>
        </is>
      </c>
      <c r="N29" t="inlineStr">
        <is>
          <t>CANAL INDIRECTO</t>
        </is>
      </c>
    </row>
    <row r="30">
      <c r="A30" t="inlineStr">
        <is>
          <t>02/10/2026</t>
        </is>
      </c>
      <c r="B30" t="inlineStr">
        <is>
          <t>97733411</t>
        </is>
      </c>
      <c r="C30" t="inlineStr">
        <is>
          <t>163140</t>
        </is>
      </c>
      <c r="D30" t="inlineStr">
        <is>
          <t>163140</t>
        </is>
      </c>
      <c r="E30" t="inlineStr">
        <is>
          <t>HALFSIM TIGO</t>
        </is>
      </c>
      <c r="F30" t="n">
        <v>1</v>
      </c>
      <c r="G30" t="n">
        <v>0.69</v>
      </c>
      <c r="H30" t="inlineStr">
        <is>
          <t>0.69</t>
        </is>
      </c>
      <c r="J30" t="inlineStr">
        <is>
          <t>Josue Almeida</t>
        </is>
      </c>
      <c r="K30" t="inlineStr">
        <is>
          <t>1724754500</t>
        </is>
      </c>
      <c r="L30" t="inlineStr">
        <is>
          <t>-0.2185265,-78.4868646</t>
        </is>
      </c>
      <c r="M30" t="inlineStr">
        <is>
          <t>Cliente Final</t>
        </is>
      </c>
      <c r="N30" t="inlineStr">
        <is>
          <t>CANAL INDIRECTO</t>
        </is>
      </c>
    </row>
    <row r="31">
      <c r="A31" t="inlineStr">
        <is>
          <t>02/10/2026</t>
        </is>
      </c>
      <c r="B31" t="inlineStr">
        <is>
          <t>97733621</t>
        </is>
      </c>
      <c r="C31" t="inlineStr">
        <is>
          <t>163140</t>
        </is>
      </c>
      <c r="D31" t="inlineStr">
        <is>
          <t>163140</t>
        </is>
      </c>
      <c r="E31" t="inlineStr">
        <is>
          <t>HALFSIM TIGO</t>
        </is>
      </c>
      <c r="F31" t="n">
        <v>1</v>
      </c>
      <c r="G31" t="n">
        <v>0.69</v>
      </c>
      <c r="H31" t="inlineStr">
        <is>
          <t>0.69</t>
        </is>
      </c>
      <c r="J31" t="inlineStr">
        <is>
          <t>KEITLYN Machado</t>
        </is>
      </c>
      <c r="K31" t="inlineStr">
        <is>
          <t>0959097544</t>
        </is>
      </c>
      <c r="L31" t="inlineStr">
        <is>
          <t>-2.197306,-79.9162964</t>
        </is>
      </c>
      <c r="M31" t="inlineStr">
        <is>
          <t>Cliente Final</t>
        </is>
      </c>
      <c r="N31" t="inlineStr">
        <is>
          <t>CANAL INDIRECTO</t>
        </is>
      </c>
    </row>
    <row r="32">
      <c r="A32" t="inlineStr">
        <is>
          <t>02/10/2026</t>
        </is>
      </c>
      <c r="B32" t="inlineStr">
        <is>
          <t>16501947</t>
        </is>
      </c>
      <c r="C32" t="inlineStr">
        <is>
          <t>163140</t>
        </is>
      </c>
      <c r="D32" t="inlineStr">
        <is>
          <t>163140</t>
        </is>
      </c>
      <c r="E32" t="inlineStr">
        <is>
          <t>HALFSIM TIGO</t>
        </is>
      </c>
      <c r="F32" t="n">
        <v>3</v>
      </c>
      <c r="G32" t="n">
        <v>2.0699999999999998</v>
      </c>
      <c r="H32" t="inlineStr">
        <is>
          <t>0.69</t>
        </is>
      </c>
      <c r="J32" t="inlineStr">
        <is>
          <t>BORIS GRANDA YEPEZ_SURTAX S A</t>
        </is>
      </c>
      <c r="K32" t="inlineStr">
        <is>
          <t>0991414649001</t>
        </is>
      </c>
      <c r="M32" t="inlineStr">
        <is>
          <t>BTB</t>
        </is>
      </c>
      <c r="N32" t="inlineStr">
        <is>
          <t>CANAL DIRECTO</t>
        </is>
      </c>
    </row>
    <row r="33">
      <c r="A33" t="inlineStr">
        <is>
          <t>02/10/2026</t>
        </is>
      </c>
      <c r="B33" t="inlineStr">
        <is>
          <t>16501951</t>
        </is>
      </c>
      <c r="C33" t="inlineStr">
        <is>
          <t>163140</t>
        </is>
      </c>
      <c r="D33" t="inlineStr">
        <is>
          <t>163140</t>
        </is>
      </c>
      <c r="E33" t="inlineStr">
        <is>
          <t>HALFSIM TIGO</t>
        </is>
      </c>
      <c r="F33" t="n">
        <v>20</v>
      </c>
      <c r="G33" t="n">
        <v>13.799999999999999</v>
      </c>
      <c r="H33" t="inlineStr">
        <is>
          <t>0.69</t>
        </is>
      </c>
      <c r="J33" t="inlineStr">
        <is>
          <t>VANESA AVILES_MEDICINA PARA EL ECUADOR MEDIECUADOR HUMANA S A</t>
        </is>
      </c>
      <c r="K33" t="inlineStr">
        <is>
          <t>1791279352001</t>
        </is>
      </c>
      <c r="M33" t="inlineStr">
        <is>
          <t>BTB</t>
        </is>
      </c>
      <c r="N33" t="inlineStr">
        <is>
          <t>CANAL DIRECTO</t>
        </is>
      </c>
    </row>
    <row r="34">
      <c r="A34" t="inlineStr">
        <is>
          <t>02/10/2026</t>
        </is>
      </c>
      <c r="B34" t="inlineStr">
        <is>
          <t>16501971</t>
        </is>
      </c>
      <c r="C34" t="inlineStr">
        <is>
          <t>163140</t>
        </is>
      </c>
      <c r="D34" t="inlineStr">
        <is>
          <t>163140</t>
        </is>
      </c>
      <c r="E34" t="inlineStr">
        <is>
          <t>HALFSIM TIGO</t>
        </is>
      </c>
      <c r="F34" t="n">
        <v>3</v>
      </c>
      <c r="G34" t="n">
        <v>2.0699999999999998</v>
      </c>
      <c r="H34" t="inlineStr">
        <is>
          <t>0.69</t>
        </is>
      </c>
      <c r="J34" t="inlineStr">
        <is>
          <t>BORIS GRANDA YEPEZ_DEPOSITO Y TRANSPORTE DE CARGA PESADA DEPTRANS S A</t>
        </is>
      </c>
      <c r="K34" t="inlineStr">
        <is>
          <t>0992655674001</t>
        </is>
      </c>
      <c r="M34" t="inlineStr">
        <is>
          <t>BTB</t>
        </is>
      </c>
      <c r="N34" t="inlineStr">
        <is>
          <t>CANAL DIRECTO</t>
        </is>
      </c>
    </row>
    <row r="35">
      <c r="A35" t="inlineStr">
        <is>
          <t>02/10/2026</t>
        </is>
      </c>
      <c r="B35" t="inlineStr">
        <is>
          <t>16501974</t>
        </is>
      </c>
      <c r="C35" t="inlineStr">
        <is>
          <t>163140</t>
        </is>
      </c>
      <c r="D35" t="inlineStr">
        <is>
          <t>163140</t>
        </is>
      </c>
      <c r="E35" t="inlineStr">
        <is>
          <t>HALFSIM TIGO</t>
        </is>
      </c>
      <c r="F35" t="n">
        <v>1</v>
      </c>
      <c r="G35" t="n">
        <v>0.69</v>
      </c>
      <c r="H35" t="inlineStr">
        <is>
          <t>0.69</t>
        </is>
      </c>
      <c r="J35" t="inlineStr">
        <is>
          <t>SARA ORELLANA_OREBRI CIA LTDA</t>
        </is>
      </c>
      <c r="K35" t="inlineStr">
        <is>
          <t>0190086550001</t>
        </is>
      </c>
      <c r="M35" t="inlineStr">
        <is>
          <t>BTB</t>
        </is>
      </c>
      <c r="N35" t="inlineStr">
        <is>
          <t>CANAL DIRECTO</t>
        </is>
      </c>
    </row>
    <row r="36">
      <c r="A36" t="inlineStr">
        <is>
          <t>02/10/2026</t>
        </is>
      </c>
      <c r="B36" t="inlineStr">
        <is>
          <t>16501990</t>
        </is>
      </c>
      <c r="C36" t="inlineStr">
        <is>
          <t>163140</t>
        </is>
      </c>
      <c r="D36" t="inlineStr">
        <is>
          <t>163140</t>
        </is>
      </c>
      <c r="E36" t="inlineStr">
        <is>
          <t>HALFSIM TIGO</t>
        </is>
      </c>
      <c r="F36" t="n">
        <v>1</v>
      </c>
      <c r="G36" t="n">
        <v>0.69</v>
      </c>
      <c r="H36" t="inlineStr">
        <is>
          <t>0.69</t>
        </is>
      </c>
      <c r="J36" t="inlineStr">
        <is>
          <t>NANCY PAZMINO_BANGARA S A</t>
        </is>
      </c>
      <c r="K36" t="inlineStr">
        <is>
          <t>0992117192001</t>
        </is>
      </c>
      <c r="M36" t="inlineStr">
        <is>
          <t>BTB</t>
        </is>
      </c>
      <c r="N36" t="inlineStr">
        <is>
          <t>CANAL DIRECTO</t>
        </is>
      </c>
    </row>
    <row r="37">
      <c r="A37" t="inlineStr">
        <is>
          <t>02/10/2026</t>
        </is>
      </c>
      <c r="B37" t="inlineStr">
        <is>
          <t>16501991</t>
        </is>
      </c>
      <c r="C37" t="inlineStr">
        <is>
          <t>163140</t>
        </is>
      </c>
      <c r="D37" t="inlineStr">
        <is>
          <t>163140</t>
        </is>
      </c>
      <c r="E37" t="inlineStr">
        <is>
          <t>HALFSIM TIGO</t>
        </is>
      </c>
      <c r="F37" t="n">
        <v>10</v>
      </c>
      <c r="G37" t="n">
        <v>6.8999999999999995</v>
      </c>
      <c r="H37" t="inlineStr">
        <is>
          <t>0.69</t>
        </is>
      </c>
      <c r="J37" t="inlineStr">
        <is>
          <t>ANAHI CANARTE_INDUSTRIA ATUNERA S A INDUATUN</t>
        </is>
      </c>
      <c r="K37" t="inlineStr">
        <is>
          <t>1391701926001</t>
        </is>
      </c>
      <c r="M37" t="inlineStr">
        <is>
          <t>BTB</t>
        </is>
      </c>
      <c r="N37" t="inlineStr">
        <is>
          <t>CANAL DIRECTO</t>
        </is>
      </c>
    </row>
    <row r="38">
      <c r="A38" t="inlineStr">
        <is>
          <t>02/10/2026</t>
        </is>
      </c>
      <c r="B38" t="inlineStr">
        <is>
          <t>16502008</t>
        </is>
      </c>
      <c r="C38" t="inlineStr">
        <is>
          <t>163140</t>
        </is>
      </c>
      <c r="D38" t="inlineStr">
        <is>
          <t>163140</t>
        </is>
      </c>
      <c r="E38" t="inlineStr">
        <is>
          <t>HALFSIM TIGO</t>
        </is>
      </c>
      <c r="F38" t="n">
        <v>1</v>
      </c>
      <c r="G38" t="n">
        <v>0.69</v>
      </c>
      <c r="H38" t="inlineStr">
        <is>
          <t>0.69</t>
        </is>
      </c>
      <c r="J38" t="inlineStr">
        <is>
          <t>DUCHE SALAZAR JUANA ESTHELA_DEMI NATURE CORPORATION DEMINATUCORP S A S</t>
        </is>
      </c>
      <c r="K38" t="inlineStr">
        <is>
          <t>0993386337001</t>
        </is>
      </c>
      <c r="M38" t="inlineStr">
        <is>
          <t>BTB</t>
        </is>
      </c>
      <c r="N38" t="inlineStr">
        <is>
          <t>CANAL DIRECTO</t>
        </is>
      </c>
    </row>
    <row r="39">
      <c r="A39" t="inlineStr">
        <is>
          <t>02/10/2026</t>
        </is>
      </c>
      <c r="B39" t="inlineStr">
        <is>
          <t>2026-08033</t>
        </is>
      </c>
      <c r="C39" t="inlineStr">
        <is>
          <t>163140</t>
        </is>
      </c>
      <c r="D39" t="inlineStr">
        <is>
          <t>163140</t>
        </is>
      </c>
      <c r="E39" t="inlineStr">
        <is>
          <t>HALFSIM TIGO</t>
        </is>
      </c>
      <c r="F39" t="n">
        <v>100</v>
      </c>
      <c r="G39" t="n">
        <v>69</v>
      </c>
      <c r="H39" t="inlineStr">
        <is>
          <t>0.69</t>
        </is>
      </c>
      <c r="J39" t="inlineStr">
        <is>
          <t>AE SALESLAND MALL DEL NORTE_JULY FREIRE</t>
        </is>
      </c>
      <c r="K39" t="inlineStr">
        <is>
          <t>1713085593</t>
        </is>
      </c>
      <c r="M39" t="inlineStr">
        <is>
          <t>INDIRECTO</t>
        </is>
      </c>
      <c r="N39" t="inlineStr">
        <is>
          <t>CANAL INDIRECTO</t>
        </is>
      </c>
    </row>
    <row r="40">
      <c r="A40" t="inlineStr">
        <is>
          <t>02/10/2026</t>
        </is>
      </c>
      <c r="B40" t="inlineStr">
        <is>
          <t>2026-08035</t>
        </is>
      </c>
      <c r="C40" t="inlineStr">
        <is>
          <t>163140_02</t>
        </is>
      </c>
      <c r="D40" t="inlineStr">
        <is>
          <t>163140</t>
        </is>
      </c>
      <c r="E40" t="inlineStr">
        <is>
          <t>HALFSIM TIGO CHIP PREPAGO $3 WP NUMERADO</t>
        </is>
      </c>
      <c r="F40" t="n">
        <v>700</v>
      </c>
      <c r="G40" t="n">
        <v>482.99999999999994</v>
      </c>
      <c r="H40" t="inlineStr">
        <is>
          <t>0.69</t>
        </is>
      </c>
      <c r="J40" t="inlineStr">
        <is>
          <t>TARSISINVEST TUENTI SANTA ELENA_MARCO VINICIO BASTIDAS TOALA</t>
        </is>
      </c>
      <c r="K40" t="inlineStr">
        <is>
          <t>0992862459001</t>
        </is>
      </c>
      <c r="M40" t="inlineStr">
        <is>
          <t>INDIRECTO</t>
        </is>
      </c>
      <c r="N40" t="inlineStr">
        <is>
          <t>CANAL INDIRECTO</t>
        </is>
      </c>
    </row>
    <row r="41">
      <c r="A41" t="inlineStr">
        <is>
          <t>02/10/2026</t>
        </is>
      </c>
      <c r="B41" t="inlineStr">
        <is>
          <t>2026-08036</t>
        </is>
      </c>
      <c r="C41" t="inlineStr">
        <is>
          <t>163140</t>
        </is>
      </c>
      <c r="D41" t="inlineStr">
        <is>
          <t>163140</t>
        </is>
      </c>
      <c r="E41" t="inlineStr">
        <is>
          <t>HALFSIM TIGO</t>
        </is>
      </c>
      <c r="F41" t="n">
        <v>100</v>
      </c>
      <c r="G41" t="n">
        <v>69</v>
      </c>
      <c r="H41" t="inlineStr">
        <is>
          <t>0.69</t>
        </is>
      </c>
      <c r="J41" t="inlineStr">
        <is>
          <t>CAVS AE SALESLAND SCALA_JULY FREIRE</t>
        </is>
      </c>
      <c r="K41" t="inlineStr">
        <is>
          <t>1713085593</t>
        </is>
      </c>
      <c r="M41" t="inlineStr">
        <is>
          <t>INDIRECTO</t>
        </is>
      </c>
      <c r="N41" t="inlineStr">
        <is>
          <t>CANAL INDIRECTO</t>
        </is>
      </c>
    </row>
    <row r="42">
      <c r="A42" t="inlineStr">
        <is>
          <t>02/10/2026</t>
        </is>
      </c>
      <c r="B42" t="inlineStr">
        <is>
          <t>2026-08037</t>
        </is>
      </c>
      <c r="C42" t="inlineStr">
        <is>
          <t>163140</t>
        </is>
      </c>
      <c r="D42" t="inlineStr">
        <is>
          <t>163140</t>
        </is>
      </c>
      <c r="E42" t="inlineStr">
        <is>
          <t>HALFSIM TIGO</t>
        </is>
      </c>
      <c r="F42" t="n">
        <v>100</v>
      </c>
      <c r="G42" t="n">
        <v>69</v>
      </c>
      <c r="H42" t="inlineStr">
        <is>
          <t>0.69</t>
        </is>
      </c>
      <c r="J42" t="inlineStr">
        <is>
          <t>CAVS AE SALESLAND CUENCA REMIGIO_JULY FREIRE</t>
        </is>
      </c>
      <c r="K42" t="inlineStr">
        <is>
          <t>0</t>
        </is>
      </c>
      <c r="M42" t="inlineStr">
        <is>
          <t>INDIRECTO</t>
        </is>
      </c>
      <c r="N42" t="inlineStr">
        <is>
          <t>CANAL INDIRECTO</t>
        </is>
      </c>
    </row>
    <row r="43">
      <c r="A43" t="inlineStr">
        <is>
          <t>02/10/2026</t>
        </is>
      </c>
      <c r="B43" t="inlineStr">
        <is>
          <t>2026-08038</t>
        </is>
      </c>
      <c r="C43" t="inlineStr">
        <is>
          <t>163140</t>
        </is>
      </c>
      <c r="D43" t="inlineStr">
        <is>
          <t>163140</t>
        </is>
      </c>
      <c r="E43" t="inlineStr">
        <is>
          <t>HALFSIM TIGO</t>
        </is>
      </c>
      <c r="F43" t="n">
        <v>100</v>
      </c>
      <c r="G43" t="n">
        <v>69</v>
      </c>
      <c r="H43" t="inlineStr">
        <is>
          <t>0.69</t>
        </is>
      </c>
      <c r="J43" t="inlineStr">
        <is>
          <t>CAVS AE SALESLAND PASEO SHOPPING MACHALA_JULY FREIRE</t>
        </is>
      </c>
      <c r="K43" t="inlineStr">
        <is>
          <t>0999805380</t>
        </is>
      </c>
      <c r="M43" t="inlineStr">
        <is>
          <t>INDIRECTO</t>
        </is>
      </c>
      <c r="N43" t="inlineStr">
        <is>
          <t>CANAL INDIRECTO</t>
        </is>
      </c>
    </row>
    <row r="44">
      <c r="A44" t="inlineStr">
        <is>
          <t>02/10/2026</t>
        </is>
      </c>
      <c r="B44" t="inlineStr">
        <is>
          <t>2026-08039</t>
        </is>
      </c>
      <c r="C44" t="inlineStr">
        <is>
          <t>163140</t>
        </is>
      </c>
      <c r="D44" t="inlineStr">
        <is>
          <t>163140</t>
        </is>
      </c>
      <c r="E44" t="inlineStr">
        <is>
          <t>HALFSIM TIGO</t>
        </is>
      </c>
      <c r="F44" t="n">
        <v>100</v>
      </c>
      <c r="G44" t="n">
        <v>69</v>
      </c>
      <c r="H44" t="inlineStr">
        <is>
          <t>0.69</t>
        </is>
      </c>
      <c r="J44" t="inlineStr">
        <is>
          <t>CAVS AE SALESLAND MACHALA_JULY FREIRE</t>
        </is>
      </c>
      <c r="K44" t="inlineStr">
        <is>
          <t>1793079628001</t>
        </is>
      </c>
      <c r="M44" t="inlineStr">
        <is>
          <t>INDIRECTO</t>
        </is>
      </c>
      <c r="N44" t="inlineStr">
        <is>
          <t>CANAL INDIRECTO</t>
        </is>
      </c>
    </row>
    <row r="45">
      <c r="A45" t="inlineStr">
        <is>
          <t>02/10/2026</t>
        </is>
      </c>
      <c r="B45" t="inlineStr">
        <is>
          <t>2026-08040</t>
        </is>
      </c>
      <c r="C45" t="inlineStr">
        <is>
          <t>163140</t>
        </is>
      </c>
      <c r="D45" t="inlineStr">
        <is>
          <t>163140</t>
        </is>
      </c>
      <c r="E45" t="inlineStr">
        <is>
          <t>HALFSIM TIGO</t>
        </is>
      </c>
      <c r="F45" t="n">
        <v>100</v>
      </c>
      <c r="G45" t="n">
        <v>69</v>
      </c>
      <c r="H45" t="inlineStr">
        <is>
          <t>0.69</t>
        </is>
      </c>
      <c r="J45" t="inlineStr">
        <is>
          <t>PDV SALESLAND LOJA CENTRO_DIEGO MENA VILLALBA</t>
        </is>
      </c>
      <c r="K45" t="inlineStr">
        <is>
          <t>1713085593</t>
        </is>
      </c>
      <c r="M45" t="inlineStr">
        <is>
          <t>INDIRECTO</t>
        </is>
      </c>
      <c r="N45" t="inlineStr">
        <is>
          <t>CANAL INDIRECTO</t>
        </is>
      </c>
    </row>
    <row r="46">
      <c r="A46" t="inlineStr">
        <is>
          <t>02/10/2026</t>
        </is>
      </c>
      <c r="B46" t="inlineStr">
        <is>
          <t>2026-08041</t>
        </is>
      </c>
      <c r="C46" t="inlineStr">
        <is>
          <t>163140</t>
        </is>
      </c>
      <c r="D46" t="inlineStr">
        <is>
          <t>163140</t>
        </is>
      </c>
      <c r="E46" t="inlineStr">
        <is>
          <t>HALFSIM TIGO</t>
        </is>
      </c>
      <c r="F46" t="n">
        <v>100</v>
      </c>
      <c r="G46" t="n">
        <v>69</v>
      </c>
      <c r="H46" t="inlineStr">
        <is>
          <t>0.69</t>
        </is>
      </c>
      <c r="J46" t="inlineStr">
        <is>
          <t>CAVS AE SALESLAND CONDADO_JULY FREIRE</t>
        </is>
      </c>
      <c r="K46" t="inlineStr">
        <is>
          <t>0</t>
        </is>
      </c>
      <c r="M46" t="inlineStr">
        <is>
          <t>INDIRECTO</t>
        </is>
      </c>
      <c r="N46" t="inlineStr">
        <is>
          <t>CANAL INDIRECTO</t>
        </is>
      </c>
    </row>
    <row r="47">
      <c r="A47" t="inlineStr">
        <is>
          <t>02/10/2026</t>
        </is>
      </c>
      <c r="B47" t="inlineStr">
        <is>
          <t>2026-08044</t>
        </is>
      </c>
      <c r="C47" t="inlineStr">
        <is>
          <t>163140</t>
        </is>
      </c>
      <c r="D47" t="inlineStr">
        <is>
          <t>163140</t>
        </is>
      </c>
      <c r="E47" t="inlineStr">
        <is>
          <t>HALFSIM TIGO</t>
        </is>
      </c>
      <c r="F47" t="n">
        <v>100</v>
      </c>
      <c r="G47" t="n">
        <v>69</v>
      </c>
      <c r="H47" t="inlineStr">
        <is>
          <t>0.69</t>
        </is>
      </c>
      <c r="J47" t="inlineStr">
        <is>
          <t>CAVS AE SALESLAND CUENCA CENTRO_JULY FREIRE</t>
        </is>
      </c>
      <c r="K47" t="inlineStr">
        <is>
          <t>0</t>
        </is>
      </c>
      <c r="M47" t="inlineStr">
        <is>
          <t>INDIRECTO</t>
        </is>
      </c>
      <c r="N47" t="inlineStr">
        <is>
          <t>CANAL INDIRECTO</t>
        </is>
      </c>
    </row>
    <row r="48">
      <c r="A48" t="inlineStr">
        <is>
          <t>02/10/2026</t>
        </is>
      </c>
      <c r="B48" t="inlineStr">
        <is>
          <t>2026-08046</t>
        </is>
      </c>
      <c r="C48" t="inlineStr">
        <is>
          <t>163140</t>
        </is>
      </c>
      <c r="D48" t="inlineStr">
        <is>
          <t>163140</t>
        </is>
      </c>
      <c r="E48" t="inlineStr">
        <is>
          <t>HALFSIM TIGO</t>
        </is>
      </c>
      <c r="F48" t="n">
        <v>100</v>
      </c>
      <c r="G48" t="n">
        <v>69</v>
      </c>
      <c r="H48" t="inlineStr">
        <is>
          <t>0.69</t>
        </is>
      </c>
      <c r="J48" t="inlineStr">
        <is>
          <t>AE CORPORATIVO ROMERO RYRTECH (MALL DEL SUR)_ELIZABETH SALAGATA</t>
        </is>
      </c>
      <c r="K48" t="inlineStr">
        <is>
          <t>0915962609</t>
        </is>
      </c>
      <c r="M48" t="inlineStr">
        <is>
          <t>INDIRECTO</t>
        </is>
      </c>
      <c r="N48" t="inlineStr">
        <is>
          <t>CANAL INDIRECTO</t>
        </is>
      </c>
    </row>
    <row r="49">
      <c r="A49" t="inlineStr">
        <is>
          <t>02/10/2026</t>
        </is>
      </c>
      <c r="B49" t="inlineStr">
        <is>
          <t>16502039</t>
        </is>
      </c>
      <c r="C49" t="inlineStr">
        <is>
          <t>163140</t>
        </is>
      </c>
      <c r="D49" t="inlineStr">
        <is>
          <t>163140</t>
        </is>
      </c>
      <c r="E49" t="inlineStr">
        <is>
          <t>HALFSIM TIGO</t>
        </is>
      </c>
      <c r="F49" t="n">
        <v>1</v>
      </c>
      <c r="G49" t="n">
        <v>0.69</v>
      </c>
      <c r="H49" t="inlineStr">
        <is>
          <t>0.69</t>
        </is>
      </c>
      <c r="J49" t="inlineStr">
        <is>
          <t>MAYORGA RIZZO GUILLERMO ANTONIO_MAYORGA RIZZO GUILLERMO ANTONIO</t>
        </is>
      </c>
      <c r="K49" t="inlineStr">
        <is>
          <t>0915217210001</t>
        </is>
      </c>
      <c r="M49" t="inlineStr">
        <is>
          <t>BTB</t>
        </is>
      </c>
      <c r="N49" t="inlineStr">
        <is>
          <t>CANAL DIRECTO</t>
        </is>
      </c>
    </row>
    <row r="50">
      <c r="A50" t="inlineStr">
        <is>
          <t>02/10/2026</t>
        </is>
      </c>
      <c r="B50" t="inlineStr">
        <is>
          <t>16502038</t>
        </is>
      </c>
      <c r="C50" t="inlineStr">
        <is>
          <t>163140</t>
        </is>
      </c>
      <c r="D50" t="inlineStr">
        <is>
          <t>163140</t>
        </is>
      </c>
      <c r="E50" t="inlineStr">
        <is>
          <t>HALFSIM TIGO</t>
        </is>
      </c>
      <c r="F50" t="n">
        <v>1</v>
      </c>
      <c r="G50" t="n">
        <v>0.69</v>
      </c>
      <c r="H50" t="inlineStr">
        <is>
          <t>0.69</t>
        </is>
      </c>
      <c r="J50" t="inlineStr">
        <is>
          <t>PEDRO JERVES_ECUAPAYPHONE C A</t>
        </is>
      </c>
      <c r="K50" t="inlineStr">
        <is>
          <t>0190402452001</t>
        </is>
      </c>
      <c r="M50" t="inlineStr">
        <is>
          <t>BTB</t>
        </is>
      </c>
      <c r="N50" t="inlineStr">
        <is>
          <t>CANAL DIRECTO</t>
        </is>
      </c>
    </row>
    <row r="51">
      <c r="A51" t="inlineStr">
        <is>
          <t>02/10/2026</t>
        </is>
      </c>
      <c r="B51" t="inlineStr">
        <is>
          <t>16502040</t>
        </is>
      </c>
      <c r="C51" t="inlineStr">
        <is>
          <t>163140</t>
        </is>
      </c>
      <c r="D51" t="inlineStr">
        <is>
          <t>163140</t>
        </is>
      </c>
      <c r="E51" t="inlineStr">
        <is>
          <t>HALFSIM TIGO</t>
        </is>
      </c>
      <c r="F51" t="n">
        <v>10</v>
      </c>
      <c r="G51" t="n">
        <v>6.8999999999999995</v>
      </c>
      <c r="H51" t="inlineStr">
        <is>
          <t>0.69</t>
        </is>
      </c>
      <c r="J51" t="inlineStr">
        <is>
          <t>TATIANA GARCIA_INMOALIANZAGROUP S A S</t>
        </is>
      </c>
      <c r="K51" t="inlineStr">
        <is>
          <t>0993386067001</t>
        </is>
      </c>
      <c r="M51" t="inlineStr">
        <is>
          <t>BTB</t>
        </is>
      </c>
      <c r="N51" t="inlineStr">
        <is>
          <t>CANAL DIRECTO</t>
        </is>
      </c>
    </row>
    <row r="52">
      <c r="A52" t="inlineStr">
        <is>
          <t>02/10/2026</t>
        </is>
      </c>
      <c r="B52" t="inlineStr">
        <is>
          <t>16502050</t>
        </is>
      </c>
      <c r="C52" t="inlineStr">
        <is>
          <t>163140</t>
        </is>
      </c>
      <c r="D52" t="inlineStr">
        <is>
          <t>163140</t>
        </is>
      </c>
      <c r="E52" t="inlineStr">
        <is>
          <t>HALFSIM TIGO</t>
        </is>
      </c>
      <c r="F52" t="n">
        <v>15</v>
      </c>
      <c r="G52" t="n">
        <v>10.35</v>
      </c>
      <c r="H52" t="inlineStr">
        <is>
          <t>0.69</t>
        </is>
      </c>
      <c r="J52" t="inlineStr">
        <is>
          <t>CARLOS HERRERA CEVALLOS EQUIPOS_ASOCIACION DE EMPLEADOS Y TRABAJADORES OMNIBUS B B</t>
        </is>
      </c>
      <c r="K52" t="inlineStr">
        <is>
          <t>1791791185001</t>
        </is>
      </c>
      <c r="M52" t="inlineStr">
        <is>
          <t>BTB</t>
        </is>
      </c>
      <c r="N52" t="inlineStr">
        <is>
          <t>CANAL DIRECTO</t>
        </is>
      </c>
    </row>
    <row r="53">
      <c r="A53" t="inlineStr">
        <is>
          <t>02/10/2026</t>
        </is>
      </c>
      <c r="B53" t="inlineStr">
        <is>
          <t>16502067</t>
        </is>
      </c>
      <c r="C53" t="inlineStr">
        <is>
          <t>163140</t>
        </is>
      </c>
      <c r="D53" t="inlineStr">
        <is>
          <t>163140</t>
        </is>
      </c>
      <c r="E53" t="inlineStr">
        <is>
          <t>HALFSIM TIGO</t>
        </is>
      </c>
      <c r="F53" t="n">
        <v>4</v>
      </c>
      <c r="G53" t="n">
        <v>2.76</v>
      </c>
      <c r="H53" t="inlineStr">
        <is>
          <t>0.69</t>
        </is>
      </c>
      <c r="J53" t="inlineStr">
        <is>
          <t>JOSE ANTONIO LARA KEVIN CHAMBA_THE TESALIA SPRINGS COMPANY S A</t>
        </is>
      </c>
      <c r="K53" t="inlineStr">
        <is>
          <t>1790005739001</t>
        </is>
      </c>
      <c r="M53" t="inlineStr">
        <is>
          <t>BTB</t>
        </is>
      </c>
      <c r="N53" t="inlineStr">
        <is>
          <t>CANAL DIRECTO</t>
        </is>
      </c>
    </row>
    <row r="54">
      <c r="A54" t="inlineStr">
        <is>
          <t>02/10/2026</t>
        </is>
      </c>
      <c r="B54" t="inlineStr">
        <is>
          <t>16502075</t>
        </is>
      </c>
      <c r="C54" t="inlineStr">
        <is>
          <t>163140</t>
        </is>
      </c>
      <c r="D54" t="inlineStr">
        <is>
          <t>163140</t>
        </is>
      </c>
      <c r="E54" t="inlineStr">
        <is>
          <t>HALFSIM TIGO</t>
        </is>
      </c>
      <c r="F54" t="n">
        <v>20</v>
      </c>
      <c r="G54" t="n">
        <v>13.799999999999999</v>
      </c>
      <c r="H54" t="inlineStr">
        <is>
          <t>0.69</t>
        </is>
      </c>
      <c r="J54" t="inlineStr">
        <is>
          <t>MARTIN CACERES_NESTLE ECUADOR S A</t>
        </is>
      </c>
      <c r="K54" t="inlineStr">
        <is>
          <t>0990032246001</t>
        </is>
      </c>
      <c r="M54" t="inlineStr">
        <is>
          <t>BTB</t>
        </is>
      </c>
      <c r="N54" t="inlineStr">
        <is>
          <t>CANAL DIRECTO</t>
        </is>
      </c>
    </row>
    <row r="55">
      <c r="A55" t="inlineStr">
        <is>
          <t>02/10/2026</t>
        </is>
      </c>
      <c r="B55" t="inlineStr">
        <is>
          <t>2026-08047</t>
        </is>
      </c>
      <c r="C55" t="inlineStr">
        <is>
          <t>163140_02</t>
        </is>
      </c>
      <c r="D55" t="inlineStr">
        <is>
          <t>163140</t>
        </is>
      </c>
      <c r="E55" t="inlineStr">
        <is>
          <t>HALFSIM TIGO CHIP PREPAGO $3 WP NUMERADO</t>
        </is>
      </c>
      <c r="F55" t="n">
        <v>2000</v>
      </c>
      <c r="G55" t="n">
        <v>1380</v>
      </c>
      <c r="H55" t="inlineStr">
        <is>
          <t>0.69</t>
        </is>
      </c>
      <c r="J55" t="inlineStr">
        <is>
          <t>NORPHONE PICHINCHA PDA_MIGUELANGEL MICHILENA QUINTANA</t>
        </is>
      </c>
      <c r="K55" t="inlineStr">
        <is>
          <t>0916791601</t>
        </is>
      </c>
      <c r="M55" t="inlineStr">
        <is>
          <t>INDIRECTO</t>
        </is>
      </c>
      <c r="N55" t="inlineStr">
        <is>
          <t>CANAL INDIRECTO</t>
        </is>
      </c>
    </row>
    <row r="56">
      <c r="A56" t="inlineStr">
        <is>
          <t>02/10/2026</t>
        </is>
      </c>
      <c r="B56" t="inlineStr">
        <is>
          <t>2026-08049</t>
        </is>
      </c>
      <c r="C56" t="inlineStr">
        <is>
          <t>163141</t>
        </is>
      </c>
      <c r="D56" t="inlineStr">
        <is>
          <t>163141</t>
        </is>
      </c>
      <c r="E56" t="inlineStr">
        <is>
          <t>ESIM TIGO DIGITAL</t>
        </is>
      </c>
      <c r="F56" t="n">
        <v>100</v>
      </c>
      <c r="G56" t="n">
        <v>21</v>
      </c>
      <c r="H56" t="inlineStr">
        <is>
          <t>0.21</t>
        </is>
      </c>
      <c r="J56" t="inlineStr">
        <is>
          <t>CAV MALL DEL SOL_FREDDY ALFREDO PLUAS MIRANDA / EDITA DANIELA MORAN ORRALA</t>
        </is>
      </c>
      <c r="K56" t="inlineStr">
        <is>
          <t>0941448565 / 0921268066</t>
        </is>
      </c>
      <c r="M56" t="inlineStr">
        <is>
          <t>INDIRECTO</t>
        </is>
      </c>
      <c r="N56" t="inlineStr">
        <is>
          <t>CANAL INDIRECTO</t>
        </is>
      </c>
    </row>
    <row r="57">
      <c r="A57" t="inlineStr">
        <is>
          <t>02/10/2026</t>
        </is>
      </c>
      <c r="B57" t="inlineStr">
        <is>
          <t>2026-08050</t>
        </is>
      </c>
      <c r="C57" t="inlineStr">
        <is>
          <t>163140_02</t>
        </is>
      </c>
      <c r="D57" t="inlineStr">
        <is>
          <t>163140</t>
        </is>
      </c>
      <c r="E57" t="inlineStr">
        <is>
          <t>HALFSIM TIGO CHIP PREPAGO $3 WP NUMERADO</t>
        </is>
      </c>
      <c r="F57" t="n">
        <v>400</v>
      </c>
      <c r="G57" t="n">
        <v>276</v>
      </c>
      <c r="H57" t="inlineStr">
        <is>
          <t>0.69</t>
        </is>
      </c>
      <c r="J57" t="inlineStr">
        <is>
          <t>FDV&amp;H ESMERALDAS PDA_VICTOR FLORES DE VALGAZ ANDRADE</t>
        </is>
      </c>
      <c r="K57" t="inlineStr">
        <is>
          <t>1716384035</t>
        </is>
      </c>
      <c r="M57" t="inlineStr">
        <is>
          <t>INDIRECTO</t>
        </is>
      </c>
      <c r="N57" t="inlineStr">
        <is>
          <t>CANAL INDIRECTO</t>
        </is>
      </c>
    </row>
    <row r="58">
      <c r="A58" t="inlineStr">
        <is>
          <t>02/10/2026</t>
        </is>
      </c>
      <c r="B58" t="inlineStr">
        <is>
          <t>2026-08052</t>
        </is>
      </c>
      <c r="C58" t="inlineStr">
        <is>
          <t>163140_02</t>
        </is>
      </c>
      <c r="D58" t="inlineStr">
        <is>
          <t>163140</t>
        </is>
      </c>
      <c r="E58" t="inlineStr">
        <is>
          <t>HALFSIM TIGO CHIP PREPAGO $3 WP NUMERADO</t>
        </is>
      </c>
      <c r="F58" t="n">
        <v>200</v>
      </c>
      <c r="G58" t="n">
        <v>138</v>
      </c>
      <c r="H58" t="inlineStr">
        <is>
          <t>0.69</t>
        </is>
      </c>
      <c r="J58" t="inlineStr">
        <is>
          <t>AE CORPORATIVO ROMERO RYRTECH (MALL DEL SUR)_ELIZABETH SALAGATA</t>
        </is>
      </c>
      <c r="K58" t="inlineStr">
        <is>
          <t>0915962609</t>
        </is>
      </c>
      <c r="M58" t="inlineStr">
        <is>
          <t>INDIRECTO</t>
        </is>
      </c>
      <c r="N58" t="inlineStr">
        <is>
          <t>CANAL INDIRECTO</t>
        </is>
      </c>
    </row>
    <row r="59">
      <c r="A59" t="inlineStr">
        <is>
          <t>02/10/2026</t>
        </is>
      </c>
      <c r="B59" t="inlineStr">
        <is>
          <t>2026-08053</t>
        </is>
      </c>
      <c r="C59" t="inlineStr">
        <is>
          <t>163140_04</t>
        </is>
      </c>
      <c r="D59" t="inlineStr">
        <is>
          <t>163140</t>
        </is>
      </c>
      <c r="E59" t="inlineStr">
        <is>
          <t>HALFSIM TIGO CHIP PREPAGO $3 WP AUTOSERVICIO NUMERADO</t>
        </is>
      </c>
      <c r="F59" t="n">
        <v>3000</v>
      </c>
      <c r="G59" t="n">
        <v>2070</v>
      </c>
      <c r="H59" t="inlineStr">
        <is>
          <t>0.69</t>
        </is>
      </c>
      <c r="J59" t="inlineStr">
        <is>
          <t>DIFARE GUAYAQUIL AUTOSERVICIOS_ANA MOLESTINA</t>
        </is>
      </c>
      <c r="K59" t="inlineStr">
        <is>
          <t>0</t>
        </is>
      </c>
      <c r="M59" t="inlineStr">
        <is>
          <t>RETAIL</t>
        </is>
      </c>
      <c r="N59" t="inlineStr">
        <is>
          <t>CANAL INDIRECTO</t>
        </is>
      </c>
    </row>
    <row r="60">
      <c r="A60" t="inlineStr">
        <is>
          <t>02/10/2026</t>
        </is>
      </c>
      <c r="B60" t="inlineStr">
        <is>
          <t>2026-08054</t>
        </is>
      </c>
      <c r="C60" t="inlineStr">
        <is>
          <t>163140_06</t>
        </is>
      </c>
      <c r="D60" t="inlineStr">
        <is>
          <t>163140</t>
        </is>
      </c>
      <c r="E60" t="inlineStr">
        <is>
          <t>HALFSIM TIGO PORTABILIDAD</t>
        </is>
      </c>
      <c r="F60" t="n">
        <v>1000</v>
      </c>
      <c r="G60" t="n">
        <v>690</v>
      </c>
      <c r="H60" t="inlineStr">
        <is>
          <t>0.69</t>
        </is>
      </c>
      <c r="J60" t="inlineStr">
        <is>
          <t>EMPRESA DE DESARROLLO TECNOLÓGICO PRILANTEC CTA. LTDA_OSCAR COELLO</t>
        </is>
      </c>
      <c r="K60" t="inlineStr">
        <is>
          <t>1792412501001</t>
        </is>
      </c>
      <c r="M60" t="inlineStr">
        <is>
          <t>INDIRECTO</t>
        </is>
      </c>
      <c r="N60" t="inlineStr">
        <is>
          <t>CANAL INDIRECTO</t>
        </is>
      </c>
    </row>
    <row r="61">
      <c r="A61" t="inlineStr">
        <is>
          <t>02/10/2026</t>
        </is>
      </c>
      <c r="B61" t="inlineStr">
        <is>
          <t>2026-08055</t>
        </is>
      </c>
      <c r="C61" t="inlineStr">
        <is>
          <t>163140_02</t>
        </is>
      </c>
      <c r="D61" t="inlineStr">
        <is>
          <t>163140</t>
        </is>
      </c>
      <c r="E61" t="inlineStr">
        <is>
          <t>HALFSIM TIGO CHIP PREPAGO $3 WP NUMERADO</t>
        </is>
      </c>
      <c r="F61" t="n">
        <v>1000</v>
      </c>
      <c r="G61" t="n">
        <v>690</v>
      </c>
      <c r="H61" t="inlineStr">
        <is>
          <t>0.69</t>
        </is>
      </c>
      <c r="J61" t="inlineStr">
        <is>
          <t>NORPHONE ZONIFICACION CARCHI 2_CARLOS JOSE CAMPOVERDE BERRU</t>
        </is>
      </c>
      <c r="K61" t="inlineStr">
        <is>
          <t>1001472958</t>
        </is>
      </c>
      <c r="M61" t="inlineStr">
        <is>
          <t>INDIRECTO</t>
        </is>
      </c>
      <c r="N61" t="inlineStr">
        <is>
          <t>CANAL INDIRECTO</t>
        </is>
      </c>
    </row>
    <row r="62">
      <c r="A62" t="inlineStr">
        <is>
          <t>02/10/2026</t>
        </is>
      </c>
      <c r="B62" t="inlineStr">
        <is>
          <t>2026-08056</t>
        </is>
      </c>
      <c r="C62" t="inlineStr">
        <is>
          <t>163140</t>
        </is>
      </c>
      <c r="D62" t="inlineStr">
        <is>
          <t>163140</t>
        </is>
      </c>
      <c r="E62" t="inlineStr">
        <is>
          <t>HALFSIM TIGO</t>
        </is>
      </c>
      <c r="F62" t="n">
        <v>300</v>
      </c>
      <c r="G62" t="n">
        <v>206.99999999999997</v>
      </c>
      <c r="H62" t="inlineStr">
        <is>
          <t>0.69</t>
        </is>
      </c>
      <c r="J62" t="inlineStr">
        <is>
          <t>CAVS PORTAL SHOPPING_ANDRES REA / ESTEBAL JIMENEZ</t>
        </is>
      </c>
      <c r="K62" t="inlineStr">
        <is>
          <t>1791890663001</t>
        </is>
      </c>
      <c r="M62" t="inlineStr">
        <is>
          <t>INDIRECTO</t>
        </is>
      </c>
      <c r="N62" t="inlineStr">
        <is>
          <t>CANAL INDIRECTO</t>
        </is>
      </c>
    </row>
    <row r="63">
      <c r="A63" t="inlineStr">
        <is>
          <t>02/10/2026</t>
        </is>
      </c>
      <c r="B63" t="inlineStr">
        <is>
          <t>2026-08056</t>
        </is>
      </c>
      <c r="C63" t="inlineStr">
        <is>
          <t>163141</t>
        </is>
      </c>
      <c r="D63" t="inlineStr">
        <is>
          <t>163141</t>
        </is>
      </c>
      <c r="E63" t="inlineStr">
        <is>
          <t>ESIM TIGO DIGITAL</t>
        </is>
      </c>
      <c r="F63" t="n">
        <v>100</v>
      </c>
      <c r="G63" t="n">
        <v>21</v>
      </c>
      <c r="H63" t="inlineStr">
        <is>
          <t>0.21</t>
        </is>
      </c>
      <c r="J63" t="inlineStr">
        <is>
          <t>CAVS PORTAL SHOPPING_ANDRES REA / ESTEBAL JIMENEZ</t>
        </is>
      </c>
      <c r="K63" t="inlineStr">
        <is>
          <t>1791890663001</t>
        </is>
      </c>
      <c r="M63" t="inlineStr">
        <is>
          <t>INDIRECTO</t>
        </is>
      </c>
      <c r="N63" t="inlineStr">
        <is>
          <t>CANAL INDIRECTO</t>
        </is>
      </c>
    </row>
    <row r="64">
      <c r="A64" t="inlineStr">
        <is>
          <t>02/10/2026</t>
        </is>
      </c>
      <c r="B64" t="inlineStr">
        <is>
          <t>2026-08057</t>
        </is>
      </c>
      <c r="C64" t="inlineStr">
        <is>
          <t>163140</t>
        </is>
      </c>
      <c r="D64" t="inlineStr">
        <is>
          <t>163140</t>
        </is>
      </c>
      <c r="E64" t="inlineStr">
        <is>
          <t>HALFSIM TIGO</t>
        </is>
      </c>
      <c r="F64" t="n">
        <v>300</v>
      </c>
      <c r="G64" t="n">
        <v>206.99999999999997</v>
      </c>
      <c r="H64" t="inlineStr">
        <is>
          <t>0.69</t>
        </is>
      </c>
      <c r="J64" t="inlineStr">
        <is>
          <t>CAVS MALL DEL RIO_MARCO SEBASTIAN FAJARDO / ANDREA ESTEFANIA TIGRE / ALBERTO QUINTERO CORREA</t>
        </is>
      </c>
      <c r="K64" t="inlineStr">
        <is>
          <t>0106434541 / 0104840426 / 1521</t>
        </is>
      </c>
      <c r="M64" t="inlineStr">
        <is>
          <t>INDIRECTO</t>
        </is>
      </c>
      <c r="N64" t="inlineStr">
        <is>
          <t>CANAL INDIRECTO</t>
        </is>
      </c>
    </row>
    <row r="65">
      <c r="A65" t="inlineStr">
        <is>
          <t>02/10/2026</t>
        </is>
      </c>
      <c r="B65" t="inlineStr">
        <is>
          <t>2026-08057</t>
        </is>
      </c>
      <c r="C65" t="inlineStr">
        <is>
          <t>163141</t>
        </is>
      </c>
      <c r="D65" t="inlineStr">
        <is>
          <t>163141</t>
        </is>
      </c>
      <c r="E65" t="inlineStr">
        <is>
          <t>ESIM TIGO DIGITAL</t>
        </is>
      </c>
      <c r="F65" t="n">
        <v>100</v>
      </c>
      <c r="G65" t="n">
        <v>21</v>
      </c>
      <c r="H65" t="inlineStr">
        <is>
          <t>0.21</t>
        </is>
      </c>
      <c r="J65" t="inlineStr">
        <is>
          <t>CAVS MALL DEL RIO_MARCO SEBASTIAN FAJARDO / ANDREA ESTEFANIA TIGRE / ALBERTO QUINTERO CORREA</t>
        </is>
      </c>
      <c r="K65" t="inlineStr">
        <is>
          <t>0106434541 / 0104840426 / 1521</t>
        </is>
      </c>
      <c r="M65" t="inlineStr">
        <is>
          <t>INDIRECTO</t>
        </is>
      </c>
      <c r="N65" t="inlineStr">
        <is>
          <t>CANAL INDIRECTO</t>
        </is>
      </c>
    </row>
    <row r="66">
      <c r="A66" t="inlineStr">
        <is>
          <t>02/10/2026</t>
        </is>
      </c>
      <c r="B66" t="inlineStr">
        <is>
          <t>2026-08058</t>
        </is>
      </c>
      <c r="C66" t="inlineStr">
        <is>
          <t>163140_06</t>
        </is>
      </c>
      <c r="D66" t="inlineStr">
        <is>
          <t>163140</t>
        </is>
      </c>
      <c r="E66" t="inlineStr">
        <is>
          <t>HALFSIM TIGO PORTABILIDAD</t>
        </is>
      </c>
      <c r="F66" t="n">
        <v>200</v>
      </c>
      <c r="G66" t="n">
        <v>138</v>
      </c>
      <c r="H66" t="inlineStr">
        <is>
          <t>0.69</t>
        </is>
      </c>
      <c r="J66" t="inlineStr">
        <is>
          <t>C &amp; C MOBILE SOLUTIONS_CHRISTIAN PATRICIO CARTAGENOVA BOADA</t>
        </is>
      </c>
      <c r="K66" t="inlineStr">
        <is>
          <t>1715361067001</t>
        </is>
      </c>
      <c r="M66" t="inlineStr">
        <is>
          <t>INDIRECTO</t>
        </is>
      </c>
      <c r="N66" t="inlineStr">
        <is>
          <t>CANAL INDIRECTO</t>
        </is>
      </c>
    </row>
    <row r="67">
      <c r="A67" t="inlineStr">
        <is>
          <t>02/10/2026</t>
        </is>
      </c>
      <c r="B67" t="inlineStr">
        <is>
          <t>2026-08059</t>
        </is>
      </c>
      <c r="C67" t="inlineStr">
        <is>
          <t>163140_02</t>
        </is>
      </c>
      <c r="D67" t="inlineStr">
        <is>
          <t>163140</t>
        </is>
      </c>
      <c r="E67" t="inlineStr">
        <is>
          <t>HALFSIM TIGO CHIP PREPAGO $3 WP NUMERADO</t>
        </is>
      </c>
      <c r="F67" t="n">
        <v>1000</v>
      </c>
      <c r="G67" t="n">
        <v>690</v>
      </c>
      <c r="H67" t="inlineStr">
        <is>
          <t>0.69</t>
        </is>
      </c>
      <c r="J67" t="inlineStr">
        <is>
          <t>FDV&amp;H SANTO DOMINGO PDA_VICTOR FLORES DE VALGAZ ANDRADE</t>
        </is>
      </c>
      <c r="K67" t="inlineStr">
        <is>
          <t>1716384035</t>
        </is>
      </c>
      <c r="M67" t="inlineStr">
        <is>
          <t>INDIRECTO</t>
        </is>
      </c>
      <c r="N67" t="inlineStr">
        <is>
          <t>CANAL INDIRECTO</t>
        </is>
      </c>
    </row>
    <row r="68">
      <c r="A68" t="inlineStr">
        <is>
          <t>02/10/2026</t>
        </is>
      </c>
      <c r="B68" t="inlineStr">
        <is>
          <t>2026-08060</t>
        </is>
      </c>
      <c r="C68" t="inlineStr">
        <is>
          <t>163140_06</t>
        </is>
      </c>
      <c r="D68" t="inlineStr">
        <is>
          <t>163140</t>
        </is>
      </c>
      <c r="E68" t="inlineStr">
        <is>
          <t>HALFSIM TIGO PORTABILIDAD</t>
        </is>
      </c>
      <c r="F68" t="n">
        <v>200</v>
      </c>
      <c r="G68" t="n">
        <v>138</v>
      </c>
      <c r="H68" t="inlineStr">
        <is>
          <t>0.69</t>
        </is>
      </c>
      <c r="J68" t="inlineStr">
        <is>
          <t>BODEGA CELISTIC ZONIFICADOS_MARIA JOSE TOBAR ZAMBRANO</t>
        </is>
      </c>
      <c r="K68" t="inlineStr">
        <is>
          <t>1306571512</t>
        </is>
      </c>
      <c r="M68" t="inlineStr">
        <is>
          <t>INDIRECTO</t>
        </is>
      </c>
      <c r="N68" t="inlineStr">
        <is>
          <t>CANAL INDIRECTO</t>
        </is>
      </c>
    </row>
    <row r="69">
      <c r="A69" t="inlineStr">
        <is>
          <t>02/10/2026</t>
        </is>
      </c>
      <c r="B69" t="inlineStr">
        <is>
          <t>2026-08061</t>
        </is>
      </c>
      <c r="C69" t="inlineStr">
        <is>
          <t>163140</t>
        </is>
      </c>
      <c r="D69" t="inlineStr">
        <is>
          <t>163140</t>
        </is>
      </c>
      <c r="E69" t="inlineStr">
        <is>
          <t>HALFSIM TIGO</t>
        </is>
      </c>
      <c r="F69" t="n">
        <v>300</v>
      </c>
      <c r="G69" t="n">
        <v>206.99999999999997</v>
      </c>
      <c r="H69" t="inlineStr">
        <is>
          <t>0.69</t>
        </is>
      </c>
      <c r="J69" t="inlineStr">
        <is>
          <t>CAVS RECREO_RODRIGUEZ CELI CARMEN JACQUELIN / FAICAN QUINCHE ROSARIO NADEZDA</t>
        </is>
      </c>
      <c r="K69" t="inlineStr">
        <is>
          <t>1712117678 / 1104457054</t>
        </is>
      </c>
      <c r="M69" t="inlineStr">
        <is>
          <t>INDIRECTO</t>
        </is>
      </c>
      <c r="N69" t="inlineStr">
        <is>
          <t>CANAL INDIRECTO</t>
        </is>
      </c>
    </row>
    <row r="70">
      <c r="A70" t="inlineStr">
        <is>
          <t>02/10/2026</t>
        </is>
      </c>
      <c r="B70" t="inlineStr">
        <is>
          <t>2026-08061</t>
        </is>
      </c>
      <c r="C70" t="inlineStr">
        <is>
          <t>163141</t>
        </is>
      </c>
      <c r="D70" t="inlineStr">
        <is>
          <t>163141</t>
        </is>
      </c>
      <c r="E70" t="inlineStr">
        <is>
          <t>ESIM TIGO DIGITAL</t>
        </is>
      </c>
      <c r="F70" t="n">
        <v>100</v>
      </c>
      <c r="G70" t="n">
        <v>21</v>
      </c>
      <c r="H70" t="inlineStr">
        <is>
          <t>0.21</t>
        </is>
      </c>
      <c r="J70" t="inlineStr">
        <is>
          <t>CAVS RECREO_RODRIGUEZ CELI CARMEN JACQUELIN / FAICAN QUINCHE ROSARIO NADEZDA</t>
        </is>
      </c>
      <c r="K70" t="inlineStr">
        <is>
          <t>1712117678 / 1104457054</t>
        </is>
      </c>
      <c r="M70" t="inlineStr">
        <is>
          <t>INDIRECTO</t>
        </is>
      </c>
      <c r="N70" t="inlineStr">
        <is>
          <t>CANAL INDIRECTO</t>
        </is>
      </c>
    </row>
    <row r="71">
      <c r="A71" t="inlineStr">
        <is>
          <t>02/10/2026</t>
        </is>
      </c>
      <c r="B71" t="inlineStr">
        <is>
          <t>2026-08062</t>
        </is>
      </c>
      <c r="C71" t="inlineStr">
        <is>
          <t>163140_02</t>
        </is>
      </c>
      <c r="D71" t="inlineStr">
        <is>
          <t>163140</t>
        </is>
      </c>
      <c r="E71" t="inlineStr">
        <is>
          <t>HALFSIM TIGO CHIP PREPAGO $3 WP NUMERADO</t>
        </is>
      </c>
      <c r="F71" t="n">
        <v>2000</v>
      </c>
      <c r="G71" t="n">
        <v>1380</v>
      </c>
      <c r="H71" t="inlineStr">
        <is>
          <t>0.69</t>
        </is>
      </c>
      <c r="J71" t="inlineStr">
        <is>
          <t>FDV&amp;H MANABI PDA_VICTOR FLORES DE VALGAZ ANDRADE</t>
        </is>
      </c>
      <c r="K71" t="inlineStr">
        <is>
          <t>1716384035</t>
        </is>
      </c>
      <c r="M71" t="inlineStr">
        <is>
          <t>INDIRECTO</t>
        </is>
      </c>
      <c r="N71" t="inlineStr">
        <is>
          <t>CANAL INDIRECTO</t>
        </is>
      </c>
    </row>
    <row r="72">
      <c r="A72" t="inlineStr">
        <is>
          <t>02/10/2026</t>
        </is>
      </c>
      <c r="B72" t="inlineStr">
        <is>
          <t>2026-08063</t>
        </is>
      </c>
      <c r="C72" t="inlineStr">
        <is>
          <t>163140_02</t>
        </is>
      </c>
      <c r="D72" t="inlineStr">
        <is>
          <t>163140</t>
        </is>
      </c>
      <c r="E72" t="inlineStr">
        <is>
          <t>HALFSIM TIGO CHIP PREPAGO $3 WP NUMERADO</t>
        </is>
      </c>
      <c r="F72" t="n">
        <v>500</v>
      </c>
      <c r="G72" t="n">
        <v>345</v>
      </c>
      <c r="H72" t="inlineStr">
        <is>
          <t>0.69</t>
        </is>
      </c>
      <c r="J72" t="inlineStr">
        <is>
          <t>NORPHONE ZONIFICACION IMBABURA _LOURDES BRAVO</t>
        </is>
      </c>
      <c r="K72" t="inlineStr">
        <is>
          <t>1091717898001</t>
        </is>
      </c>
      <c r="M72" t="inlineStr">
        <is>
          <t>INDIRECTO</t>
        </is>
      </c>
      <c r="N72" t="inlineStr">
        <is>
          <t>CANAL INDIRECTO</t>
        </is>
      </c>
    </row>
    <row r="73">
      <c r="A73" t="inlineStr">
        <is>
          <t>02/10/2026</t>
        </is>
      </c>
      <c r="B73" t="inlineStr">
        <is>
          <t>2026-08064</t>
        </is>
      </c>
      <c r="C73" t="inlineStr">
        <is>
          <t>163140_02</t>
        </is>
      </c>
      <c r="D73" t="inlineStr">
        <is>
          <t>163140</t>
        </is>
      </c>
      <c r="E73" t="inlineStr">
        <is>
          <t>HALFSIM TIGO CHIP PREPAGO $3 WP NUMERADO</t>
        </is>
      </c>
      <c r="F73" t="n">
        <v>200</v>
      </c>
      <c r="G73" t="n">
        <v>138</v>
      </c>
      <c r="H73" t="inlineStr">
        <is>
          <t>0.69</t>
        </is>
      </c>
      <c r="J73" t="inlineStr">
        <is>
          <t>NORPHONE IMBABURA PDA_IVAN ROMERO</t>
        </is>
      </c>
      <c r="K73" t="inlineStr">
        <is>
          <t>1703799922</t>
        </is>
      </c>
      <c r="M73" t="inlineStr">
        <is>
          <t>INDIRECTO</t>
        </is>
      </c>
      <c r="N73" t="inlineStr">
        <is>
          <t>CANAL INDIRECTO</t>
        </is>
      </c>
    </row>
    <row r="74">
      <c r="A74" t="inlineStr">
        <is>
          <t>02/10/2026</t>
        </is>
      </c>
      <c r="B74" t="inlineStr">
        <is>
          <t>2026-08065</t>
        </is>
      </c>
      <c r="C74" t="inlineStr">
        <is>
          <t>163140_06</t>
        </is>
      </c>
      <c r="D74" t="inlineStr">
        <is>
          <t>163140</t>
        </is>
      </c>
      <c r="E74" t="inlineStr">
        <is>
          <t>HALFSIM TIGO PORTABILIDAD</t>
        </is>
      </c>
      <c r="F74" t="n">
        <v>1000</v>
      </c>
      <c r="G74" t="n">
        <v>690</v>
      </c>
      <c r="H74" t="inlineStr">
        <is>
          <t>0.69</t>
        </is>
      </c>
      <c r="J74" t="inlineStr">
        <is>
          <t>KATYNA IVONNE VALLADARES SALAZAR_KATYNA VALLADARES</t>
        </is>
      </c>
      <c r="K74" t="inlineStr">
        <is>
          <t>1707929228001</t>
        </is>
      </c>
      <c r="M74" t="inlineStr">
        <is>
          <t>INDIRECTO</t>
        </is>
      </c>
      <c r="N74" t="inlineStr">
        <is>
          <t>CANAL INDIRECTO</t>
        </is>
      </c>
    </row>
    <row r="75">
      <c r="A75" t="inlineStr">
        <is>
          <t>02/10/2026</t>
        </is>
      </c>
      <c r="B75" t="inlineStr">
        <is>
          <t>16502098</t>
        </is>
      </c>
      <c r="C75" t="inlineStr">
        <is>
          <t>163140</t>
        </is>
      </c>
      <c r="D75" t="inlineStr">
        <is>
          <t>163140</t>
        </is>
      </c>
      <c r="E75" t="inlineStr">
        <is>
          <t>HALFSIM TIGO</t>
        </is>
      </c>
      <c r="F75" t="n">
        <v>65</v>
      </c>
      <c r="G75" t="n">
        <v>44.849999999999994</v>
      </c>
      <c r="H75" t="inlineStr">
        <is>
          <t>0.69</t>
        </is>
      </c>
      <c r="J75" t="inlineStr">
        <is>
          <t>JOSELYN RODRIGUEZ_EQUAHOLD S A S</t>
        </is>
      </c>
      <c r="K75" t="inlineStr">
        <is>
          <t>1793214324001</t>
        </is>
      </c>
      <c r="M75" t="inlineStr">
        <is>
          <t>BTB</t>
        </is>
      </c>
      <c r="N75" t="inlineStr">
        <is>
          <t>CANAL DIRECTO</t>
        </is>
      </c>
    </row>
    <row r="76">
      <c r="A76" t="inlineStr">
        <is>
          <t>02/10/2026</t>
        </is>
      </c>
      <c r="B76" t="inlineStr">
        <is>
          <t>16502167</t>
        </is>
      </c>
      <c r="C76" t="inlineStr">
        <is>
          <t>163140</t>
        </is>
      </c>
      <c r="D76" t="inlineStr">
        <is>
          <t>163140</t>
        </is>
      </c>
      <c r="E76" t="inlineStr">
        <is>
          <t>HALFSIM TIGO</t>
        </is>
      </c>
      <c r="F76" t="n">
        <v>1</v>
      </c>
      <c r="G76" t="n">
        <v>0.69</v>
      </c>
      <c r="H76" t="inlineStr">
        <is>
          <t>0.69</t>
        </is>
      </c>
      <c r="J76" t="inlineStr">
        <is>
          <t>CECILIA BASTIDAS KEVIN CARRION_BANCO INTERNACIONAL</t>
        </is>
      </c>
      <c r="K76" t="inlineStr">
        <is>
          <t>1790098354001</t>
        </is>
      </c>
      <c r="M76" t="inlineStr">
        <is>
          <t>BTB</t>
        </is>
      </c>
      <c r="N76" t="inlineStr">
        <is>
          <t>CANAL DIRECTO</t>
        </is>
      </c>
    </row>
    <row r="77">
      <c r="A77" t="inlineStr">
        <is>
          <t>03/10/2026</t>
        </is>
      </c>
      <c r="B77" t="inlineStr">
        <is>
          <t>97728093</t>
        </is>
      </c>
      <c r="C77" t="inlineStr">
        <is>
          <t>163140</t>
        </is>
      </c>
      <c r="D77" t="inlineStr">
        <is>
          <t>163140</t>
        </is>
      </c>
      <c r="E77" t="inlineStr">
        <is>
          <t>HALFSIM TIGO</t>
        </is>
      </c>
      <c r="F77" t="n">
        <v>1</v>
      </c>
      <c r="G77" t="n">
        <v>0.69</v>
      </c>
      <c r="H77" t="inlineStr">
        <is>
          <t>0.69</t>
        </is>
      </c>
      <c r="J77" t="inlineStr">
        <is>
          <t>Antonella Ayora</t>
        </is>
      </c>
      <c r="K77" t="inlineStr">
        <is>
          <t>0850442880</t>
        </is>
      </c>
      <c r="L77" t="inlineStr">
        <is>
          <t>Villamil</t>
        </is>
      </c>
      <c r="M77" t="inlineStr">
        <is>
          <t>Cliente Final</t>
        </is>
      </c>
      <c r="N77" t="inlineStr">
        <is>
          <t>CANAL INDIRECTO</t>
        </is>
      </c>
    </row>
    <row r="78">
      <c r="A78" t="inlineStr">
        <is>
          <t>05/10/2026</t>
        </is>
      </c>
      <c r="B78" t="inlineStr">
        <is>
          <t>16500440</t>
        </is>
      </c>
      <c r="C78" t="inlineStr">
        <is>
          <t>163140</t>
        </is>
      </c>
      <c r="D78" t="inlineStr">
        <is>
          <t>163140</t>
        </is>
      </c>
      <c r="E78" t="inlineStr">
        <is>
          <t>HALFSIM TIGO</t>
        </is>
      </c>
      <c r="F78" t="n">
        <v>1</v>
      </c>
      <c r="G78" t="n">
        <v>0.69</v>
      </c>
      <c r="H78" t="inlineStr">
        <is>
          <t>0.69</t>
        </is>
      </c>
      <c r="J78" t="inlineStr">
        <is>
          <t>SIMBANA CANDO EDWIN XAVIER_SIMBANA CANDO EDWIN XAVIER</t>
        </is>
      </c>
      <c r="K78" t="inlineStr">
        <is>
          <t>1713907754001</t>
        </is>
      </c>
      <c r="M78" t="inlineStr">
        <is>
          <t>BTB</t>
        </is>
      </c>
      <c r="N78" t="inlineStr">
        <is>
          <t>CANAL DIRECTO</t>
        </is>
      </c>
    </row>
    <row r="79">
      <c r="A79" t="inlineStr">
        <is>
          <t>05/10/2026</t>
        </is>
      </c>
      <c r="B79" t="inlineStr">
        <is>
          <t>16500565</t>
        </is>
      </c>
      <c r="C79" t="inlineStr">
        <is>
          <t>163140</t>
        </is>
      </c>
      <c r="D79" t="inlineStr">
        <is>
          <t>163140</t>
        </is>
      </c>
      <c r="E79" t="inlineStr">
        <is>
          <t>HALFSIM TIGO</t>
        </is>
      </c>
      <c r="F79" t="n">
        <v>1</v>
      </c>
      <c r="G79" t="n">
        <v>0.69</v>
      </c>
      <c r="H79" t="inlineStr">
        <is>
          <t>0.69</t>
        </is>
      </c>
      <c r="J79" t="inlineStr">
        <is>
          <t>CARLOS LOPEZ DELGADO_MANACRIPEX CIA LTDA MANABITA DE CRIA PESCA Y E</t>
        </is>
      </c>
      <c r="K79" t="inlineStr">
        <is>
          <t>1391700830001</t>
        </is>
      </c>
      <c r="M79" t="inlineStr">
        <is>
          <t>BTB</t>
        </is>
      </c>
      <c r="N79" t="inlineStr">
        <is>
          <t>CANAL DIRECTO</t>
        </is>
      </c>
    </row>
    <row r="80">
      <c r="A80" t="inlineStr">
        <is>
          <t>05/10/2026</t>
        </is>
      </c>
      <c r="B80" t="inlineStr">
        <is>
          <t>16500720</t>
        </is>
      </c>
      <c r="C80" t="inlineStr">
        <is>
          <t>162141</t>
        </is>
      </c>
      <c r="D80" t="inlineStr">
        <is>
          <t>162141</t>
        </is>
      </c>
      <c r="E80" t="inlineStr">
        <is>
          <t>HALFSIM MOVISTAR</t>
        </is>
      </c>
      <c r="F80" t="n">
        <v>1</v>
      </c>
      <c r="G80" t="n">
        <v>0.69</v>
      </c>
      <c r="H80" t="inlineStr">
        <is>
          <t>0.69</t>
        </is>
      </c>
      <c r="J80" t="inlineStr">
        <is>
          <t>ANTHONY VALDEZ_VALDEZ VALENCIA ANTHONY JESUS</t>
        </is>
      </c>
      <c r="K80" t="inlineStr">
        <is>
          <t>0850525148001</t>
        </is>
      </c>
      <c r="M80" t="inlineStr">
        <is>
          <t>BTB</t>
        </is>
      </c>
      <c r="N80" t="inlineStr">
        <is>
          <t>CANAL DIRECTO</t>
        </is>
      </c>
    </row>
    <row r="81">
      <c r="A81" t="inlineStr">
        <is>
          <t>05/10/2026</t>
        </is>
      </c>
      <c r="B81" t="inlineStr">
        <is>
          <t>16500720</t>
        </is>
      </c>
      <c r="C81" t="inlineStr">
        <is>
          <t>162141</t>
        </is>
      </c>
      <c r="D81" t="inlineStr">
        <is>
          <t>162141</t>
        </is>
      </c>
      <c r="E81" t="inlineStr">
        <is>
          <t>HALFSIM MOVISTAR</t>
        </is>
      </c>
      <c r="F81" t="n">
        <v>1</v>
      </c>
      <c r="G81" t="n">
        <v>0.69</v>
      </c>
      <c r="H81" t="inlineStr">
        <is>
          <t>0.69</t>
        </is>
      </c>
      <c r="J81" t="inlineStr">
        <is>
          <t>ANTHONY VALDEZ_VALDEZ VALENCIA ANTHONY JESUS</t>
        </is>
      </c>
      <c r="K81" t="inlineStr">
        <is>
          <t>0850525148001</t>
        </is>
      </c>
      <c r="M81" t="inlineStr">
        <is>
          <t>BTB</t>
        </is>
      </c>
      <c r="N81" t="inlineStr">
        <is>
          <t>CANAL DIRECTO</t>
        </is>
      </c>
    </row>
    <row r="82">
      <c r="A82" t="inlineStr">
        <is>
          <t>05/10/2026</t>
        </is>
      </c>
      <c r="B82" t="inlineStr">
        <is>
          <t>97723174</t>
        </is>
      </c>
      <c r="C82" t="inlineStr">
        <is>
          <t>163140</t>
        </is>
      </c>
      <c r="D82" t="inlineStr">
        <is>
          <t>163140</t>
        </is>
      </c>
      <c r="E82" t="inlineStr">
        <is>
          <t>HALFSIM TIGO</t>
        </is>
      </c>
      <c r="F82" t="n">
        <v>1</v>
      </c>
      <c r="G82" t="n">
        <v>0.69</v>
      </c>
      <c r="H82" t="inlineStr">
        <is>
          <t>0.69</t>
        </is>
      </c>
      <c r="J82" t="inlineStr">
        <is>
          <t>Bri Macay</t>
        </is>
      </c>
      <c r="K82" t="inlineStr">
        <is>
          <t>0944108455</t>
        </is>
      </c>
      <c r="L82" t="inlineStr">
        <is>
          <t>Guayaquil</t>
        </is>
      </c>
      <c r="M82" t="inlineStr">
        <is>
          <t>Cliente Final</t>
        </is>
      </c>
      <c r="N82" t="inlineStr">
        <is>
          <t>CANAL INDIRECTO</t>
        </is>
      </c>
    </row>
    <row r="83">
      <c r="A83" t="inlineStr">
        <is>
          <t>05/10/2026</t>
        </is>
      </c>
      <c r="B83" t="inlineStr">
        <is>
          <t>97732099</t>
        </is>
      </c>
      <c r="C83" t="inlineStr">
        <is>
          <t>163140</t>
        </is>
      </c>
      <c r="D83" t="inlineStr">
        <is>
          <t>163140</t>
        </is>
      </c>
      <c r="E83" t="inlineStr">
        <is>
          <t>HALFSIM TIGO</t>
        </is>
      </c>
      <c r="F83" t="n">
        <v>1</v>
      </c>
      <c r="G83" t="n">
        <v>0.69</v>
      </c>
      <c r="H83" t="inlineStr">
        <is>
          <t>0.69</t>
        </is>
      </c>
      <c r="J83" t="inlineStr">
        <is>
          <t>Joan Manuel Quiroz Mero</t>
        </is>
      </c>
      <c r="K83" t="inlineStr">
        <is>
          <t>1309479143</t>
        </is>
      </c>
      <c r="L83" t="inlineStr">
        <is>
          <t>Manta</t>
        </is>
      </c>
      <c r="M83" t="inlineStr">
        <is>
          <t>Cliente Final</t>
        </is>
      </c>
      <c r="N83" t="inlineStr">
        <is>
          <t>CANAL INDIRECTO</t>
        </is>
      </c>
    </row>
    <row r="84">
      <c r="A84" t="inlineStr">
        <is>
          <t>05/10/2026</t>
        </is>
      </c>
      <c r="B84" t="inlineStr">
        <is>
          <t>16501565</t>
        </is>
      </c>
      <c r="C84" t="inlineStr">
        <is>
          <t>163140</t>
        </is>
      </c>
      <c r="D84" t="inlineStr">
        <is>
          <t>163140</t>
        </is>
      </c>
      <c r="E84" t="inlineStr">
        <is>
          <t>HALFSIM TIGO</t>
        </is>
      </c>
      <c r="F84" t="n">
        <v>1</v>
      </c>
      <c r="G84" t="n">
        <v>0.69</v>
      </c>
      <c r="H84" t="inlineStr">
        <is>
          <t>0.69</t>
        </is>
      </c>
      <c r="J84" t="inlineStr">
        <is>
          <t>SHIRLEY MINDA_TANIA ESPINOZA</t>
        </is>
      </c>
      <c r="K84" t="inlineStr">
        <is>
          <t>1793118410001</t>
        </is>
      </c>
      <c r="M84" t="inlineStr">
        <is>
          <t>BTB</t>
        </is>
      </c>
      <c r="N84" t="inlineStr">
        <is>
          <t>CANAL DIRECTO</t>
        </is>
      </c>
    </row>
    <row r="85">
      <c r="A85" t="inlineStr">
        <is>
          <t>05/10/2026</t>
        </is>
      </c>
      <c r="B85" t="inlineStr">
        <is>
          <t>16502001</t>
        </is>
      </c>
      <c r="C85" t="inlineStr">
        <is>
          <t>163140</t>
        </is>
      </c>
      <c r="D85" t="inlineStr">
        <is>
          <t>163140</t>
        </is>
      </c>
      <c r="E85" t="inlineStr">
        <is>
          <t>HALFSIM TIGO</t>
        </is>
      </c>
      <c r="F85" t="n">
        <v>1</v>
      </c>
      <c r="G85" t="n">
        <v>0.69</v>
      </c>
      <c r="H85" t="inlineStr">
        <is>
          <t>0.69</t>
        </is>
      </c>
      <c r="J85" t="inlineStr">
        <is>
          <t>HEREDIA VILLAMARIN CESAR FRANCISCO_HEREDIA VILLAMARIN CESAR FRANCISCO</t>
        </is>
      </c>
      <c r="K85" t="inlineStr">
        <is>
          <t>1711092757001</t>
        </is>
      </c>
      <c r="M85" t="inlineStr">
        <is>
          <t>BTB</t>
        </is>
      </c>
      <c r="N85" t="inlineStr">
        <is>
          <t>CANAL DIRECTO</t>
        </is>
      </c>
    </row>
    <row r="86">
      <c r="A86" t="inlineStr">
        <is>
          <t>05/10/2026</t>
        </is>
      </c>
      <c r="B86" t="inlineStr">
        <is>
          <t>16502095</t>
        </is>
      </c>
      <c r="C86" t="inlineStr">
        <is>
          <t>163140</t>
        </is>
      </c>
      <c r="D86" t="inlineStr">
        <is>
          <t>163140</t>
        </is>
      </c>
      <c r="E86" t="inlineStr">
        <is>
          <t>HALFSIM TIGO</t>
        </is>
      </c>
      <c r="F86" t="n">
        <v>1</v>
      </c>
      <c r="G86" t="n">
        <v>0.69</v>
      </c>
      <c r="H86" t="inlineStr">
        <is>
          <t>0.69</t>
        </is>
      </c>
      <c r="J86" t="inlineStr">
        <is>
          <t>LUIS HERNAN PISUNA LLUGLLUNA_LUIS HERNAN PISUNA LLUGLLUNA</t>
        </is>
      </c>
      <c r="K86" t="inlineStr">
        <is>
          <t>1718390113001</t>
        </is>
      </c>
      <c r="M86" t="inlineStr">
        <is>
          <t>BTB</t>
        </is>
      </c>
      <c r="N86" t="inlineStr">
        <is>
          <t>CANAL DIRECTO</t>
        </is>
      </c>
    </row>
    <row r="87">
      <c r="A87" t="inlineStr">
        <is>
          <t>05/10/2026</t>
        </is>
      </c>
      <c r="B87" t="inlineStr">
        <is>
          <t>16502216</t>
        </is>
      </c>
      <c r="C87" t="inlineStr">
        <is>
          <t>163140</t>
        </is>
      </c>
      <c r="D87" t="inlineStr">
        <is>
          <t>163140</t>
        </is>
      </c>
      <c r="E87" t="inlineStr">
        <is>
          <t>HALFSIM TIGO</t>
        </is>
      </c>
      <c r="F87" t="n">
        <v>1</v>
      </c>
      <c r="G87" t="n">
        <v>0.69</v>
      </c>
      <c r="H87" t="inlineStr">
        <is>
          <t>0.69</t>
        </is>
      </c>
      <c r="J87" t="inlineStr">
        <is>
          <t>SILVA GOYES CARLOS VINICIO_SILVA GOYES CARLOS VINICIO</t>
        </is>
      </c>
      <c r="K87" t="inlineStr">
        <is>
          <t>1205131350001</t>
        </is>
      </c>
      <c r="M87" t="inlineStr">
        <is>
          <t>BTB</t>
        </is>
      </c>
      <c r="N87" t="inlineStr">
        <is>
          <t>CANAL DIRECTO</t>
        </is>
      </c>
    </row>
    <row r="88">
      <c r="A88" t="inlineStr">
        <is>
          <t>05/10/2026</t>
        </is>
      </c>
      <c r="B88" t="inlineStr">
        <is>
          <t>16502096</t>
        </is>
      </c>
      <c r="C88" t="inlineStr">
        <is>
          <t>163140</t>
        </is>
      </c>
      <c r="D88" t="inlineStr">
        <is>
          <t>163140</t>
        </is>
      </c>
      <c r="E88" t="inlineStr">
        <is>
          <t>HALFSIM TIGO</t>
        </is>
      </c>
      <c r="F88" t="n">
        <v>1</v>
      </c>
      <c r="G88" t="n">
        <v>0.69</v>
      </c>
      <c r="H88" t="inlineStr">
        <is>
          <t>0.69</t>
        </is>
      </c>
      <c r="J88" t="inlineStr">
        <is>
          <t>NATALIA EUGENIA GONZALEZ_SOLINTECE CIA LTDA</t>
        </is>
      </c>
      <c r="K88" t="inlineStr">
        <is>
          <t>1792033713001</t>
        </is>
      </c>
      <c r="M88" t="inlineStr">
        <is>
          <t>BTB</t>
        </is>
      </c>
      <c r="N88" t="inlineStr">
        <is>
          <t>CANAL DIRECTO</t>
        </is>
      </c>
    </row>
    <row r="89">
      <c r="A89" t="inlineStr">
        <is>
          <t>05/10/2026</t>
        </is>
      </c>
      <c r="B89" t="inlineStr">
        <is>
          <t>16502171</t>
        </is>
      </c>
      <c r="C89" t="inlineStr">
        <is>
          <t>163140</t>
        </is>
      </c>
      <c r="D89" t="inlineStr">
        <is>
          <t>163140</t>
        </is>
      </c>
      <c r="E89" t="inlineStr">
        <is>
          <t>HALFSIM TIGO</t>
        </is>
      </c>
      <c r="F89" t="n">
        <v>10</v>
      </c>
      <c r="G89" t="n">
        <v>6.8999999999999995</v>
      </c>
      <c r="H89" t="inlineStr">
        <is>
          <t>0.69</t>
        </is>
      </c>
      <c r="J89" t="inlineStr">
        <is>
          <t>ESTEFANIA CRUZ_PAYLESS SHOESOURCE ECUADOR CIA LTDA</t>
        </is>
      </c>
      <c r="K89" t="inlineStr">
        <is>
          <t>1791807529001</t>
        </is>
      </c>
      <c r="M89" t="inlineStr">
        <is>
          <t>BTB</t>
        </is>
      </c>
      <c r="N89" t="inlineStr">
        <is>
          <t>CANAL DIRECTO</t>
        </is>
      </c>
    </row>
    <row r="90">
      <c r="A90" t="inlineStr">
        <is>
          <t>05/10/2026</t>
        </is>
      </c>
      <c r="B90" t="inlineStr">
        <is>
          <t>16502182</t>
        </is>
      </c>
      <c r="C90" t="inlineStr">
        <is>
          <t>163140</t>
        </is>
      </c>
      <c r="D90" t="inlineStr">
        <is>
          <t>163140</t>
        </is>
      </c>
      <c r="E90" t="inlineStr">
        <is>
          <t>HALFSIM TIGO</t>
        </is>
      </c>
      <c r="F90" t="n">
        <v>1</v>
      </c>
      <c r="G90" t="n">
        <v>0.69</v>
      </c>
      <c r="H90" t="inlineStr">
        <is>
          <t>0.69</t>
        </is>
      </c>
      <c r="J90" t="inlineStr">
        <is>
          <t>DIEGO BUSTAMANTE _ GATEGOURMET DEL ECUADOR CIA LTDA</t>
        </is>
      </c>
      <c r="K90" t="inlineStr">
        <is>
          <t>1791411986001</t>
        </is>
      </c>
      <c r="M90" t="inlineStr">
        <is>
          <t>BTB</t>
        </is>
      </c>
      <c r="N90" t="inlineStr">
        <is>
          <t>CANAL DIRECTO</t>
        </is>
      </c>
    </row>
    <row r="91">
      <c r="A91" t="inlineStr">
        <is>
          <t>05/10/2026</t>
        </is>
      </c>
      <c r="B91" t="inlineStr">
        <is>
          <t>16502184</t>
        </is>
      </c>
      <c r="C91" t="inlineStr">
        <is>
          <t>163140</t>
        </is>
      </c>
      <c r="D91" t="inlineStr">
        <is>
          <t>163140</t>
        </is>
      </c>
      <c r="E91" t="inlineStr">
        <is>
          <t>HALFSIM TIGO</t>
        </is>
      </c>
      <c r="F91" t="n">
        <v>1</v>
      </c>
      <c r="G91" t="n">
        <v>0.69</v>
      </c>
      <c r="H91" t="inlineStr">
        <is>
          <t>0.69</t>
        </is>
      </c>
      <c r="J91" t="inlineStr">
        <is>
          <t>ISABEL ORTIZ_GERARDO ORTIZ E HIJOS CIA LTDA</t>
        </is>
      </c>
      <c r="K91" t="inlineStr">
        <is>
          <t>0190072002001</t>
        </is>
      </c>
      <c r="M91" t="inlineStr">
        <is>
          <t>BTB</t>
        </is>
      </c>
      <c r="N91" t="inlineStr">
        <is>
          <t>CANAL DIRECTO</t>
        </is>
      </c>
    </row>
    <row r="92">
      <c r="A92" t="inlineStr">
        <is>
          <t>05/10/2026</t>
        </is>
      </c>
      <c r="B92" t="inlineStr">
        <is>
          <t>16502186</t>
        </is>
      </c>
      <c r="C92" t="inlineStr">
        <is>
          <t>163140</t>
        </is>
      </c>
      <c r="D92" t="inlineStr">
        <is>
          <t>163140</t>
        </is>
      </c>
      <c r="E92" t="inlineStr">
        <is>
          <t>HALFSIM TIGO</t>
        </is>
      </c>
      <c r="F92" t="n">
        <v>30</v>
      </c>
      <c r="G92" t="n">
        <v>20.7</v>
      </c>
      <c r="H92" t="inlineStr">
        <is>
          <t>0.69</t>
        </is>
      </c>
      <c r="J92" t="inlineStr">
        <is>
          <t>JESSICA QUEZADA_SERVICALLSUR C L</t>
        </is>
      </c>
      <c r="K92" t="inlineStr">
        <is>
          <t>0190435938001</t>
        </is>
      </c>
      <c r="M92" t="inlineStr">
        <is>
          <t>BTB</t>
        </is>
      </c>
      <c r="N92" t="inlineStr">
        <is>
          <t>CANAL DIRECTO</t>
        </is>
      </c>
    </row>
    <row r="93">
      <c r="A93" t="inlineStr">
        <is>
          <t>05/10/2026</t>
        </is>
      </c>
      <c r="B93" t="inlineStr">
        <is>
          <t>16502222</t>
        </is>
      </c>
      <c r="C93" t="inlineStr">
        <is>
          <t>163140</t>
        </is>
      </c>
      <c r="D93" t="inlineStr">
        <is>
          <t>163140</t>
        </is>
      </c>
      <c r="E93" t="inlineStr">
        <is>
          <t>HALFSIM TIGO</t>
        </is>
      </c>
      <c r="F93" t="n">
        <v>1</v>
      </c>
      <c r="G93" t="n">
        <v>0.69</v>
      </c>
      <c r="H93" t="inlineStr">
        <is>
          <t>0.69</t>
        </is>
      </c>
      <c r="J93" t="inlineStr">
        <is>
          <t>YAJAIRA CALVA_AVICOLA NUTRIFRANK CIA LTDA</t>
        </is>
      </c>
      <c r="K93" t="inlineStr">
        <is>
          <t>1191742121001</t>
        </is>
      </c>
      <c r="M93" t="inlineStr">
        <is>
          <t>BTB</t>
        </is>
      </c>
      <c r="N93" t="inlineStr">
        <is>
          <t>CANAL DIRECTO</t>
        </is>
      </c>
    </row>
    <row r="94">
      <c r="A94" t="inlineStr">
        <is>
          <t>05/10/2026</t>
        </is>
      </c>
      <c r="B94" t="inlineStr">
        <is>
          <t>16502223</t>
        </is>
      </c>
      <c r="C94" t="inlineStr">
        <is>
          <t>163140</t>
        </is>
      </c>
      <c r="D94" t="inlineStr">
        <is>
          <t>163140</t>
        </is>
      </c>
      <c r="E94" t="inlineStr">
        <is>
          <t>HALFSIM TIGO</t>
        </is>
      </c>
      <c r="F94" t="n">
        <v>10</v>
      </c>
      <c r="G94" t="n">
        <v>6.8999999999999995</v>
      </c>
      <c r="H94" t="inlineStr">
        <is>
          <t>0.69</t>
        </is>
      </c>
      <c r="J94" t="inlineStr">
        <is>
          <t>MAURICIO PAZMINO_INDUSTRIASTERRA S A S</t>
        </is>
      </c>
      <c r="K94" t="inlineStr">
        <is>
          <t>1591727793001</t>
        </is>
      </c>
      <c r="M94" t="inlineStr">
        <is>
          <t>BTB</t>
        </is>
      </c>
      <c r="N94" t="inlineStr">
        <is>
          <t>CANAL DIRECTO</t>
        </is>
      </c>
    </row>
    <row r="95">
      <c r="A95" t="inlineStr">
        <is>
          <t>05/10/2026</t>
        </is>
      </c>
      <c r="B95" t="inlineStr">
        <is>
          <t>16502236</t>
        </is>
      </c>
      <c r="C95" t="inlineStr">
        <is>
          <t>163140</t>
        </is>
      </c>
      <c r="D95" t="inlineStr">
        <is>
          <t>163140</t>
        </is>
      </c>
      <c r="E95" t="inlineStr">
        <is>
          <t>HALFSIM TIGO</t>
        </is>
      </c>
      <c r="F95" t="n">
        <v>1</v>
      </c>
      <c r="G95" t="n">
        <v>0.69</v>
      </c>
      <c r="H95" t="inlineStr">
        <is>
          <t>0.69</t>
        </is>
      </c>
      <c r="J95" t="inlineStr">
        <is>
          <t>VIVIANA LITARDO_CLUB DEPORTIVO BASICO GUAYAQUIL COUNTRY CLUB</t>
        </is>
      </c>
      <c r="K95" t="inlineStr">
        <is>
          <t>0990086680001</t>
        </is>
      </c>
      <c r="M95" t="inlineStr">
        <is>
          <t>BTB</t>
        </is>
      </c>
      <c r="N95" t="inlineStr">
        <is>
          <t>CANAL DIRECTO</t>
        </is>
      </c>
    </row>
    <row r="96">
      <c r="A96" t="inlineStr">
        <is>
          <t>05/10/2026</t>
        </is>
      </c>
      <c r="B96" t="inlineStr">
        <is>
          <t>16502237</t>
        </is>
      </c>
      <c r="C96" t="inlineStr">
        <is>
          <t>163140</t>
        </is>
      </c>
      <c r="D96" t="inlineStr">
        <is>
          <t>163140</t>
        </is>
      </c>
      <c r="E96" t="inlineStr">
        <is>
          <t>HALFSIM TIGO</t>
        </is>
      </c>
      <c r="F96" t="n">
        <v>2</v>
      </c>
      <c r="G96" t="n">
        <v>1.38</v>
      </c>
      <c r="H96" t="inlineStr">
        <is>
          <t>0.69</t>
        </is>
      </c>
      <c r="J96" t="inlineStr">
        <is>
          <t>MARIA ISABEL NOVOA_MARIA ISABEL NOVOA</t>
        </is>
      </c>
      <c r="K96" t="inlineStr">
        <is>
          <t>0591712969001</t>
        </is>
      </c>
      <c r="M96" t="inlineStr">
        <is>
          <t>BTB</t>
        </is>
      </c>
      <c r="N96" t="inlineStr">
        <is>
          <t>CANAL DIRECTO</t>
        </is>
      </c>
    </row>
    <row r="97">
      <c r="A97" t="inlineStr">
        <is>
          <t>05/10/2026</t>
        </is>
      </c>
      <c r="B97" t="inlineStr">
        <is>
          <t>16502241</t>
        </is>
      </c>
      <c r="C97" t="inlineStr">
        <is>
          <t>163140</t>
        </is>
      </c>
      <c r="D97" t="inlineStr">
        <is>
          <t>163140</t>
        </is>
      </c>
      <c r="E97" t="inlineStr">
        <is>
          <t>HALFSIM TIGO</t>
        </is>
      </c>
      <c r="F97" t="n">
        <v>30</v>
      </c>
      <c r="G97" t="n">
        <v>20.7</v>
      </c>
      <c r="H97" t="inlineStr">
        <is>
          <t>0.69</t>
        </is>
      </c>
      <c r="J97" t="inlineStr">
        <is>
          <t>DERLY CAMPOVERDE_MAINT S A</t>
        </is>
      </c>
      <c r="K97" t="inlineStr">
        <is>
          <t>0990722161001</t>
        </is>
      </c>
      <c r="M97" t="inlineStr">
        <is>
          <t>BTB</t>
        </is>
      </c>
      <c r="N97" t="inlineStr">
        <is>
          <t>CANAL DIRECTO</t>
        </is>
      </c>
    </row>
    <row r="98">
      <c r="A98" t="inlineStr">
        <is>
          <t>05/10/2026</t>
        </is>
      </c>
      <c r="B98" t="inlineStr">
        <is>
          <t>97722201</t>
        </is>
      </c>
      <c r="C98" t="inlineStr">
        <is>
          <t>163140</t>
        </is>
      </c>
      <c r="D98" t="inlineStr">
        <is>
          <t>163140</t>
        </is>
      </c>
      <c r="E98" t="inlineStr">
        <is>
          <t>HALFSIM TIGO</t>
        </is>
      </c>
      <c r="F98" t="n">
        <v>1</v>
      </c>
      <c r="G98" t="n">
        <v>0.69</v>
      </c>
      <c r="H98" t="inlineStr">
        <is>
          <t>0.69</t>
        </is>
      </c>
      <c r="J98" t="inlineStr">
        <is>
          <t>Rogger Jesús Herdoiza Heras</t>
        </is>
      </c>
      <c r="K98" t="inlineStr">
        <is>
          <t>0953846292</t>
        </is>
      </c>
      <c r="L98" t="inlineStr">
        <is>
          <t>-2.2054803,-79.9327809</t>
        </is>
      </c>
      <c r="M98" t="inlineStr">
        <is>
          <t>Cliente Final</t>
        </is>
      </c>
      <c r="N98" t="inlineStr">
        <is>
          <t>CANAL INDIRECTO</t>
        </is>
      </c>
    </row>
    <row r="99">
      <c r="A99" t="inlineStr">
        <is>
          <t>05/10/2026</t>
        </is>
      </c>
      <c r="B99" t="inlineStr">
        <is>
          <t>97722353</t>
        </is>
      </c>
      <c r="C99" t="inlineStr">
        <is>
          <t>163140</t>
        </is>
      </c>
      <c r="D99" t="inlineStr">
        <is>
          <t>163140</t>
        </is>
      </c>
      <c r="E99" t="inlineStr">
        <is>
          <t>HALFSIM TIGO</t>
        </is>
      </c>
      <c r="F99" t="n">
        <v>1</v>
      </c>
      <c r="G99" t="n">
        <v>0.69</v>
      </c>
      <c r="H99" t="inlineStr">
        <is>
          <t>0.69</t>
        </is>
      </c>
      <c r="J99" t="inlineStr">
        <is>
          <t>Dhilan Chapi</t>
        </is>
      </c>
      <c r="K99" t="inlineStr">
        <is>
          <t>1756013114</t>
        </is>
      </c>
      <c r="L99" t="inlineStr">
        <is>
          <t>0.0686324,-78.1301445</t>
        </is>
      </c>
      <c r="M99" t="inlineStr">
        <is>
          <t>Cliente Final</t>
        </is>
      </c>
      <c r="N99" t="inlineStr">
        <is>
          <t>CANAL INDIRECTO</t>
        </is>
      </c>
    </row>
    <row r="100">
      <c r="A100" t="inlineStr">
        <is>
          <t>05/10/2026</t>
        </is>
      </c>
      <c r="B100" t="inlineStr">
        <is>
          <t>97723005</t>
        </is>
      </c>
      <c r="C100" t="inlineStr">
        <is>
          <t>163140</t>
        </is>
      </c>
      <c r="D100" t="inlineStr">
        <is>
          <t>163140</t>
        </is>
      </c>
      <c r="E100" t="inlineStr">
        <is>
          <t>HALFSIM TIGO</t>
        </is>
      </c>
      <c r="F100" t="n">
        <v>1</v>
      </c>
      <c r="G100" t="n">
        <v>0.69</v>
      </c>
      <c r="H100" t="inlineStr">
        <is>
          <t>0.69</t>
        </is>
      </c>
      <c r="J100" t="inlineStr">
        <is>
          <t>Dagmar Alejandra Aroca Araujo</t>
        </is>
      </c>
      <c r="K100" t="inlineStr">
        <is>
          <t>0957950207</t>
        </is>
      </c>
      <c r="L100" t="inlineStr">
        <is>
          <t>-2.1887332,-79.8926662</t>
        </is>
      </c>
      <c r="M100" t="inlineStr">
        <is>
          <t>Cliente Final</t>
        </is>
      </c>
      <c r="N100" t="inlineStr">
        <is>
          <t>CANAL INDIRECTO</t>
        </is>
      </c>
    </row>
    <row r="101">
      <c r="A101" t="inlineStr">
        <is>
          <t>05/10/2026</t>
        </is>
      </c>
      <c r="B101" t="inlineStr">
        <is>
          <t>97723031</t>
        </is>
      </c>
      <c r="C101" t="inlineStr">
        <is>
          <t>163140</t>
        </is>
      </c>
      <c r="D101" t="inlineStr">
        <is>
          <t>163140</t>
        </is>
      </c>
      <c r="E101" t="inlineStr">
        <is>
          <t>HALFSIM TIGO</t>
        </is>
      </c>
      <c r="F101" t="n">
        <v>1</v>
      </c>
      <c r="G101" t="n">
        <v>0.69</v>
      </c>
      <c r="H101" t="inlineStr">
        <is>
          <t>0.69</t>
        </is>
      </c>
      <c r="J101" t="inlineStr">
        <is>
          <t>Christian Calle</t>
        </is>
      </c>
      <c r="K101" t="inlineStr">
        <is>
          <t>0931091714</t>
        </is>
      </c>
      <c r="L101" t="inlineStr">
        <is>
          <t>-2.1894759,-79.8938967</t>
        </is>
      </c>
      <c r="M101" t="inlineStr">
        <is>
          <t>Cliente Final</t>
        </is>
      </c>
      <c r="N101" t="inlineStr">
        <is>
          <t>CANAL INDIRECTO</t>
        </is>
      </c>
    </row>
    <row r="102">
      <c r="A102" t="inlineStr">
        <is>
          <t>05/10/2026</t>
        </is>
      </c>
      <c r="B102" t="inlineStr">
        <is>
          <t>97723566</t>
        </is>
      </c>
      <c r="C102" t="inlineStr">
        <is>
          <t>163140</t>
        </is>
      </c>
      <c r="D102" t="inlineStr">
        <is>
          <t>163140</t>
        </is>
      </c>
      <c r="E102" t="inlineStr">
        <is>
          <t>HALFSIM TIGO</t>
        </is>
      </c>
      <c r="F102" t="n">
        <v>1</v>
      </c>
      <c r="G102" t="n">
        <v>0.69</v>
      </c>
      <c r="H102" t="inlineStr">
        <is>
          <t>0.69</t>
        </is>
      </c>
      <c r="J102" t="inlineStr">
        <is>
          <t>Faiber Leal</t>
        </is>
      </c>
      <c r="K102" t="inlineStr">
        <is>
          <t>1758545014</t>
        </is>
      </c>
      <c r="L102" t="inlineStr">
        <is>
          <t>-0.2042218,-78.5011966</t>
        </is>
      </c>
      <c r="M102" t="inlineStr">
        <is>
          <t>Cliente Final</t>
        </is>
      </c>
      <c r="N102" t="inlineStr">
        <is>
          <t>CANAL INDIRECTO</t>
        </is>
      </c>
    </row>
    <row r="103">
      <c r="A103" t="inlineStr">
        <is>
          <t>05/10/2026</t>
        </is>
      </c>
      <c r="B103" t="inlineStr">
        <is>
          <t>97723707</t>
        </is>
      </c>
      <c r="C103" t="inlineStr">
        <is>
          <t>163140</t>
        </is>
      </c>
      <c r="D103" t="inlineStr">
        <is>
          <t>163140</t>
        </is>
      </c>
      <c r="E103" t="inlineStr">
        <is>
          <t>HALFSIM TIGO</t>
        </is>
      </c>
      <c r="F103" t="n">
        <v>1</v>
      </c>
      <c r="G103" t="n">
        <v>0.69</v>
      </c>
      <c r="H103" t="inlineStr">
        <is>
          <t>0.69</t>
        </is>
      </c>
      <c r="J103" t="inlineStr">
        <is>
          <t>Jonathan Carvajal</t>
        </is>
      </c>
      <c r="K103" t="inlineStr">
        <is>
          <t>1850218379</t>
        </is>
      </c>
      <c r="L103" t="inlineStr">
        <is>
          <t>-1.23523,-78.60664</t>
        </is>
      </c>
      <c r="M103" t="inlineStr">
        <is>
          <t>Cliente Final</t>
        </is>
      </c>
      <c r="N103" t="inlineStr">
        <is>
          <t>CANAL INDIRECTO</t>
        </is>
      </c>
    </row>
    <row r="104">
      <c r="A104" t="inlineStr">
        <is>
          <t>05/10/2026</t>
        </is>
      </c>
      <c r="B104" t="inlineStr">
        <is>
          <t>97723827</t>
        </is>
      </c>
      <c r="C104" t="inlineStr">
        <is>
          <t>163140</t>
        </is>
      </c>
      <c r="D104" t="inlineStr">
        <is>
          <t>163140</t>
        </is>
      </c>
      <c r="E104" t="inlineStr">
        <is>
          <t>HALFSIM TIGO</t>
        </is>
      </c>
      <c r="F104" t="n">
        <v>1</v>
      </c>
      <c r="G104" t="n">
        <v>0.69</v>
      </c>
      <c r="H104" t="inlineStr">
        <is>
          <t>0.69</t>
        </is>
      </c>
      <c r="J104" t="inlineStr">
        <is>
          <t>Katty Ganchozo</t>
        </is>
      </c>
      <c r="K104" t="inlineStr">
        <is>
          <t>1351828908</t>
        </is>
      </c>
      <c r="L104" t="inlineStr">
        <is>
          <t>-0.999899,-80.710394</t>
        </is>
      </c>
      <c r="M104" t="inlineStr">
        <is>
          <t>Cliente Final</t>
        </is>
      </c>
      <c r="N104" t="inlineStr">
        <is>
          <t>CANAL INDIRECTO</t>
        </is>
      </c>
    </row>
    <row r="105">
      <c r="A105" t="inlineStr">
        <is>
          <t>05/10/2026</t>
        </is>
      </c>
      <c r="B105" t="inlineStr">
        <is>
          <t>97724436</t>
        </is>
      </c>
      <c r="C105" t="inlineStr">
        <is>
          <t>163140</t>
        </is>
      </c>
      <c r="D105" t="inlineStr">
        <is>
          <t>163140</t>
        </is>
      </c>
      <c r="E105" t="inlineStr">
        <is>
          <t>HALFSIM TIGO</t>
        </is>
      </c>
      <c r="F105" t="n">
        <v>1</v>
      </c>
      <c r="G105" t="n">
        <v>0.69</v>
      </c>
      <c r="H105" t="inlineStr">
        <is>
          <t>0.69</t>
        </is>
      </c>
      <c r="J105" t="inlineStr">
        <is>
          <t>Moisés Merino</t>
        </is>
      </c>
      <c r="K105" t="inlineStr">
        <is>
          <t>1720754710</t>
        </is>
      </c>
      <c r="L105" t="inlineStr">
        <is>
          <t>-0.2999042,-78.4576214</t>
        </is>
      </c>
      <c r="M105" t="inlineStr">
        <is>
          <t>Cliente Final</t>
        </is>
      </c>
      <c r="N105" t="inlineStr">
        <is>
          <t>CANAL INDIRECTO</t>
        </is>
      </c>
    </row>
    <row r="106">
      <c r="A106" t="inlineStr">
        <is>
          <t>05/10/2026</t>
        </is>
      </c>
      <c r="B106" t="inlineStr">
        <is>
          <t>97725980</t>
        </is>
      </c>
      <c r="C106" t="inlineStr">
        <is>
          <t>163140</t>
        </is>
      </c>
      <c r="D106" t="inlineStr">
        <is>
          <t>163140</t>
        </is>
      </c>
      <c r="E106" t="inlineStr">
        <is>
          <t>HALFSIM TIGO</t>
        </is>
      </c>
      <c r="F106" t="n">
        <v>1</v>
      </c>
      <c r="G106" t="n">
        <v>0.69</v>
      </c>
      <c r="H106" t="inlineStr">
        <is>
          <t>0.69</t>
        </is>
      </c>
      <c r="J106" t="inlineStr">
        <is>
          <t>Mary Ivonne Palacios Campuzano</t>
        </is>
      </c>
      <c r="K106" t="inlineStr">
        <is>
          <t>0920650298</t>
        </is>
      </c>
      <c r="L106" t="inlineStr">
        <is>
          <t>-1.9151875,-80.0085288</t>
        </is>
      </c>
      <c r="M106" t="inlineStr">
        <is>
          <t>Cliente Final</t>
        </is>
      </c>
      <c r="N106" t="inlineStr">
        <is>
          <t>CANAL INDIRECTO</t>
        </is>
      </c>
    </row>
    <row r="107">
      <c r="A107" t="inlineStr">
        <is>
          <t>05/10/2026</t>
        </is>
      </c>
      <c r="B107" t="inlineStr">
        <is>
          <t>97726433</t>
        </is>
      </c>
      <c r="C107" t="inlineStr">
        <is>
          <t>163140</t>
        </is>
      </c>
      <c r="D107" t="inlineStr">
        <is>
          <t>163140</t>
        </is>
      </c>
      <c r="E107" t="inlineStr">
        <is>
          <t>HALFSIM TIGO</t>
        </is>
      </c>
      <c r="F107" t="n">
        <v>1</v>
      </c>
      <c r="G107" t="n">
        <v>0.69</v>
      </c>
      <c r="H107" t="inlineStr">
        <is>
          <t>0.69</t>
        </is>
      </c>
      <c r="J107" t="inlineStr">
        <is>
          <t>Edgar Contreras</t>
        </is>
      </c>
      <c r="K107" t="inlineStr">
        <is>
          <t>0955715297</t>
        </is>
      </c>
      <c r="L107" t="inlineStr">
        <is>
          <t>-2.174994377639086,-79.90479029209922</t>
        </is>
      </c>
      <c r="M107" t="inlineStr">
        <is>
          <t>Cliente Final</t>
        </is>
      </c>
      <c r="N107" t="inlineStr">
        <is>
          <t>CANAL INDIRECTO</t>
        </is>
      </c>
    </row>
    <row r="108">
      <c r="A108" t="inlineStr">
        <is>
          <t>05/10/2026</t>
        </is>
      </c>
      <c r="B108" t="inlineStr">
        <is>
          <t>97726452</t>
        </is>
      </c>
      <c r="C108" t="inlineStr">
        <is>
          <t>163140</t>
        </is>
      </c>
      <c r="D108" t="inlineStr">
        <is>
          <t>163140</t>
        </is>
      </c>
      <c r="E108" t="inlineStr">
        <is>
          <t>HALFSIM TIGO</t>
        </is>
      </c>
      <c r="F108" t="n">
        <v>1</v>
      </c>
      <c r="G108" t="n">
        <v>0.69</v>
      </c>
      <c r="H108" t="inlineStr">
        <is>
          <t>0.69</t>
        </is>
      </c>
      <c r="J108" t="inlineStr">
        <is>
          <t>Nataly Mancero</t>
        </is>
      </c>
      <c r="K108" t="inlineStr">
        <is>
          <t>1755874730</t>
        </is>
      </c>
      <c r="L108" t="inlineStr">
        <is>
          <t>-0.3069491,-78.5018999</t>
        </is>
      </c>
      <c r="M108" t="inlineStr">
        <is>
          <t>Cliente Final</t>
        </is>
      </c>
      <c r="N108" t="inlineStr">
        <is>
          <t>CANAL INDIRECTO</t>
        </is>
      </c>
    </row>
    <row r="109">
      <c r="A109" t="inlineStr">
        <is>
          <t>05/10/2026</t>
        </is>
      </c>
      <c r="B109" t="inlineStr">
        <is>
          <t>97727567</t>
        </is>
      </c>
      <c r="C109" t="inlineStr">
        <is>
          <t>163140</t>
        </is>
      </c>
      <c r="D109" t="inlineStr">
        <is>
          <t>163140</t>
        </is>
      </c>
      <c r="E109" t="inlineStr">
        <is>
          <t>HALFSIM TIGO</t>
        </is>
      </c>
      <c r="F109" t="n">
        <v>1</v>
      </c>
      <c r="G109" t="n">
        <v>0.69</v>
      </c>
      <c r="H109" t="inlineStr">
        <is>
          <t>0.69</t>
        </is>
      </c>
      <c r="J109" t="inlineStr">
        <is>
          <t>Milena Leon</t>
        </is>
      </c>
      <c r="K109" t="inlineStr">
        <is>
          <t>0943941252</t>
        </is>
      </c>
      <c r="L109" t="inlineStr">
        <is>
          <t>-2.1470277,-79.8691663</t>
        </is>
      </c>
      <c r="M109" t="inlineStr">
        <is>
          <t>Cliente Final</t>
        </is>
      </c>
      <c r="N109" t="inlineStr">
        <is>
          <t>CANAL INDIRECTO</t>
        </is>
      </c>
    </row>
    <row r="110">
      <c r="A110" t="inlineStr">
        <is>
          <t>05/10/2026</t>
        </is>
      </c>
      <c r="B110" t="inlineStr">
        <is>
          <t>97727748</t>
        </is>
      </c>
      <c r="C110" t="inlineStr">
        <is>
          <t>163140</t>
        </is>
      </c>
      <c r="D110" t="inlineStr">
        <is>
          <t>163140</t>
        </is>
      </c>
      <c r="E110" t="inlineStr">
        <is>
          <t>HALFSIM TIGO</t>
        </is>
      </c>
      <c r="F110" t="n">
        <v>1</v>
      </c>
      <c r="G110" t="n">
        <v>0.69</v>
      </c>
      <c r="H110" t="inlineStr">
        <is>
          <t>0.69</t>
        </is>
      </c>
      <c r="J110" t="inlineStr">
        <is>
          <t>Jimena Toapanta</t>
        </is>
      </c>
      <c r="K110" t="inlineStr">
        <is>
          <t>1803626256</t>
        </is>
      </c>
      <c r="L110" t="inlineStr">
        <is>
          <t>-1.2265394,-78.5937144</t>
        </is>
      </c>
      <c r="M110" t="inlineStr">
        <is>
          <t>Cliente Final</t>
        </is>
      </c>
      <c r="N110" t="inlineStr">
        <is>
          <t>CANAL INDIRECTO</t>
        </is>
      </c>
    </row>
    <row r="111">
      <c r="A111" t="inlineStr">
        <is>
          <t>05/10/2026</t>
        </is>
      </c>
      <c r="B111" t="inlineStr">
        <is>
          <t>97727898</t>
        </is>
      </c>
      <c r="C111" t="inlineStr">
        <is>
          <t>163140</t>
        </is>
      </c>
      <c r="D111" t="inlineStr">
        <is>
          <t>163140</t>
        </is>
      </c>
      <c r="E111" t="inlineStr">
        <is>
          <t>HALFSIM TIGO</t>
        </is>
      </c>
      <c r="F111" t="n">
        <v>1</v>
      </c>
      <c r="G111" t="n">
        <v>0.69</v>
      </c>
      <c r="H111" t="inlineStr">
        <is>
          <t>0.69</t>
        </is>
      </c>
      <c r="J111" t="inlineStr">
        <is>
          <t>Erick Mera Suárez</t>
        </is>
      </c>
      <c r="K111" t="inlineStr">
        <is>
          <t>0926600230</t>
        </is>
      </c>
      <c r="L111" t="inlineStr">
        <is>
          <t>-2.1314594,-79.8832378</t>
        </is>
      </c>
      <c r="M111" t="inlineStr">
        <is>
          <t>Cliente Final</t>
        </is>
      </c>
      <c r="N111" t="inlineStr">
        <is>
          <t>CANAL INDIRECTO</t>
        </is>
      </c>
    </row>
    <row r="112">
      <c r="A112" t="inlineStr">
        <is>
          <t>05/10/2026</t>
        </is>
      </c>
      <c r="B112" t="inlineStr">
        <is>
          <t>97728002</t>
        </is>
      </c>
      <c r="C112" t="inlineStr">
        <is>
          <t>163140</t>
        </is>
      </c>
      <c r="D112" t="inlineStr">
        <is>
          <t>163140</t>
        </is>
      </c>
      <c r="E112" t="inlineStr">
        <is>
          <t>HALFSIM TIGO</t>
        </is>
      </c>
      <c r="F112" t="n">
        <v>1</v>
      </c>
      <c r="G112" t="n">
        <v>0.69</v>
      </c>
      <c r="H112" t="inlineStr">
        <is>
          <t>0.69</t>
        </is>
      </c>
      <c r="J112" t="inlineStr">
        <is>
          <t>Noemi Saquinga</t>
        </is>
      </c>
      <c r="K112" t="inlineStr">
        <is>
          <t>1750773374</t>
        </is>
      </c>
      <c r="L112" t="inlineStr">
        <is>
          <t>-0.08252055236335341,-78.5086104344571</t>
        </is>
      </c>
      <c r="M112" t="inlineStr">
        <is>
          <t>Cliente Final</t>
        </is>
      </c>
      <c r="N112" t="inlineStr">
        <is>
          <t>CANAL INDIRECTO</t>
        </is>
      </c>
    </row>
    <row r="113">
      <c r="A113" t="inlineStr">
        <is>
          <t>05/10/2026</t>
        </is>
      </c>
      <c r="B113" t="inlineStr">
        <is>
          <t>97728111</t>
        </is>
      </c>
      <c r="C113" t="inlineStr">
        <is>
          <t>163140</t>
        </is>
      </c>
      <c r="D113" t="inlineStr">
        <is>
          <t>163140</t>
        </is>
      </c>
      <c r="E113" t="inlineStr">
        <is>
          <t>HALFSIM TIGO</t>
        </is>
      </c>
      <c r="F113" t="n">
        <v>1</v>
      </c>
      <c r="G113" t="n">
        <v>0.69</v>
      </c>
      <c r="H113" t="inlineStr">
        <is>
          <t>0.69</t>
        </is>
      </c>
      <c r="J113" t="inlineStr">
        <is>
          <t>Egma Narváez</t>
        </is>
      </c>
      <c r="K113" t="inlineStr">
        <is>
          <t>0302725312</t>
        </is>
      </c>
      <c r="L113" t="inlineStr">
        <is>
          <t>-2.9080805,-79.0142911</t>
        </is>
      </c>
      <c r="M113" t="inlineStr">
        <is>
          <t>Cliente Final</t>
        </is>
      </c>
      <c r="N113" t="inlineStr">
        <is>
          <t>CANAL INDIRECTO</t>
        </is>
      </c>
    </row>
    <row r="114">
      <c r="A114" t="inlineStr">
        <is>
          <t>05/10/2026</t>
        </is>
      </c>
      <c r="B114" t="inlineStr">
        <is>
          <t>97722324</t>
        </is>
      </c>
      <c r="C114" t="inlineStr">
        <is>
          <t>163140</t>
        </is>
      </c>
      <c r="D114" t="inlineStr">
        <is>
          <t>163140</t>
        </is>
      </c>
      <c r="E114" t="inlineStr">
        <is>
          <t>HALFSIM TIGO</t>
        </is>
      </c>
      <c r="F114" t="n">
        <v>1</v>
      </c>
      <c r="G114" t="n">
        <v>0.69</v>
      </c>
      <c r="H114" t="inlineStr">
        <is>
          <t>0.69</t>
        </is>
      </c>
      <c r="J114" t="inlineStr">
        <is>
          <t>Patricio vaca</t>
        </is>
      </c>
      <c r="K114" t="inlineStr">
        <is>
          <t>1001273497</t>
        </is>
      </c>
      <c r="L114" t="inlineStr">
        <is>
          <t>-0.0993048,-78.46642849999999</t>
        </is>
      </c>
      <c r="M114" t="inlineStr">
        <is>
          <t>Cliente Final</t>
        </is>
      </c>
      <c r="N114" t="inlineStr">
        <is>
          <t>CANAL INDIRECTO</t>
        </is>
      </c>
    </row>
    <row r="115">
      <c r="A115" t="inlineStr">
        <is>
          <t>05/10/2026</t>
        </is>
      </c>
      <c r="B115" t="inlineStr">
        <is>
          <t>97725674</t>
        </is>
      </c>
      <c r="C115" t="inlineStr">
        <is>
          <t>163140</t>
        </is>
      </c>
      <c r="D115" t="inlineStr">
        <is>
          <t>163140</t>
        </is>
      </c>
      <c r="E115" t="inlineStr">
        <is>
          <t>HALFSIM TIGO</t>
        </is>
      </c>
      <c r="F115" t="n">
        <v>1</v>
      </c>
      <c r="G115" t="n">
        <v>0.69</v>
      </c>
      <c r="H115" t="inlineStr">
        <is>
          <t>0.69</t>
        </is>
      </c>
      <c r="J115" t="inlineStr">
        <is>
          <t>Noelia Natabel Chicaiza Palacios</t>
        </is>
      </c>
      <c r="K115" t="inlineStr">
        <is>
          <t>1600803199</t>
        </is>
      </c>
      <c r="L115" t="inlineStr">
        <is>
          <t>-1.2374326,-78.6144144</t>
        </is>
      </c>
      <c r="M115" t="inlineStr">
        <is>
          <t>Cliente Final</t>
        </is>
      </c>
      <c r="N115" t="inlineStr">
        <is>
          <t>CANAL INDIRECTO</t>
        </is>
      </c>
    </row>
    <row r="116">
      <c r="A116" t="inlineStr">
        <is>
          <t>05/10/2026</t>
        </is>
      </c>
      <c r="B116" t="inlineStr">
        <is>
          <t>97726397</t>
        </is>
      </c>
      <c r="C116" t="inlineStr">
        <is>
          <t>163140</t>
        </is>
      </c>
      <c r="D116" t="inlineStr">
        <is>
          <t>163140</t>
        </is>
      </c>
      <c r="E116" t="inlineStr">
        <is>
          <t>HALFSIM TIGO</t>
        </is>
      </c>
      <c r="F116" t="n">
        <v>1</v>
      </c>
      <c r="G116" t="n">
        <v>0.69</v>
      </c>
      <c r="H116" t="inlineStr">
        <is>
          <t>0.69</t>
        </is>
      </c>
      <c r="J116" t="inlineStr">
        <is>
          <t>Roland Arteaga</t>
        </is>
      </c>
      <c r="K116" t="inlineStr">
        <is>
          <t>1725943136</t>
        </is>
      </c>
      <c r="L116" t="inlineStr">
        <is>
          <t>-0.0921462,-78.4747738</t>
        </is>
      </c>
      <c r="M116" t="inlineStr">
        <is>
          <t>Cliente Final</t>
        </is>
      </c>
      <c r="N116" t="inlineStr">
        <is>
          <t>CANAL INDIRECTO</t>
        </is>
      </c>
    </row>
    <row r="117">
      <c r="A117" t="inlineStr">
        <is>
          <t>05/10/2026</t>
        </is>
      </c>
      <c r="B117" t="inlineStr">
        <is>
          <t>97729219</t>
        </is>
      </c>
      <c r="C117" t="inlineStr">
        <is>
          <t>163140</t>
        </is>
      </c>
      <c r="D117" t="inlineStr">
        <is>
          <t>163140</t>
        </is>
      </c>
      <c r="E117" t="inlineStr">
        <is>
          <t>HALFSIM TIGO</t>
        </is>
      </c>
      <c r="F117" t="n">
        <v>1</v>
      </c>
      <c r="G117" t="n">
        <v>0.69</v>
      </c>
      <c r="H117" t="inlineStr">
        <is>
          <t>0.69</t>
        </is>
      </c>
      <c r="J117" t="inlineStr">
        <is>
          <t>Zaira Litardo</t>
        </is>
      </c>
      <c r="K117" t="inlineStr">
        <is>
          <t>1207387984</t>
        </is>
      </c>
      <c r="L117" t="inlineStr">
        <is>
          <t>-2.2357529,-79.9348019</t>
        </is>
      </c>
      <c r="M117" t="inlineStr">
        <is>
          <t>Cliente Final</t>
        </is>
      </c>
      <c r="N117" t="inlineStr">
        <is>
          <t>CANAL INDIRECTO</t>
        </is>
      </c>
    </row>
    <row r="118">
      <c r="A118" t="inlineStr">
        <is>
          <t>05/10/2026</t>
        </is>
      </c>
      <c r="B118" t="inlineStr">
        <is>
          <t>97729219</t>
        </is>
      </c>
      <c r="C118" t="inlineStr">
        <is>
          <t>163140</t>
        </is>
      </c>
      <c r="D118" t="inlineStr">
        <is>
          <t>163140</t>
        </is>
      </c>
      <c r="E118" t="inlineStr">
        <is>
          <t>HALFSIM TIGO</t>
        </is>
      </c>
      <c r="F118" t="n">
        <v>1</v>
      </c>
      <c r="G118" t="n">
        <v>0.69</v>
      </c>
      <c r="H118" t="inlineStr">
        <is>
          <t>0.69</t>
        </is>
      </c>
      <c r="J118" t="inlineStr">
        <is>
          <t>Zaira Litardo</t>
        </is>
      </c>
      <c r="K118" t="inlineStr">
        <is>
          <t>1207387984</t>
        </is>
      </c>
      <c r="L118" t="inlineStr">
        <is>
          <t>-2.2357529,-79.9348019</t>
        </is>
      </c>
      <c r="M118" t="inlineStr">
        <is>
          <t>Cliente Final</t>
        </is>
      </c>
      <c r="N118" t="inlineStr">
        <is>
          <t>CANAL INDIRECTO</t>
        </is>
      </c>
    </row>
    <row r="119">
      <c r="A119" t="inlineStr">
        <is>
          <t>05/10/2026</t>
        </is>
      </c>
      <c r="B119" t="inlineStr">
        <is>
          <t>97729247</t>
        </is>
      </c>
      <c r="C119" t="inlineStr">
        <is>
          <t>163140</t>
        </is>
      </c>
      <c r="D119" t="inlineStr">
        <is>
          <t>163140</t>
        </is>
      </c>
      <c r="E119" t="inlineStr">
        <is>
          <t>HALFSIM TIGO</t>
        </is>
      </c>
      <c r="F119" t="n">
        <v>1</v>
      </c>
      <c r="G119" t="n">
        <v>0.69</v>
      </c>
      <c r="H119" t="inlineStr">
        <is>
          <t>0.69</t>
        </is>
      </c>
      <c r="J119" t="inlineStr">
        <is>
          <t>Andreina Arias</t>
        </is>
      </c>
      <c r="K119" t="inlineStr">
        <is>
          <t>0951588284</t>
        </is>
      </c>
      <c r="L119" t="inlineStr">
        <is>
          <t>-2.0930279383574866,-79.91667679211855</t>
        </is>
      </c>
      <c r="M119" t="inlineStr">
        <is>
          <t>Cliente Final</t>
        </is>
      </c>
      <c r="N119" t="inlineStr">
        <is>
          <t>CANAL INDIRECTO</t>
        </is>
      </c>
    </row>
    <row r="120">
      <c r="A120" t="inlineStr">
        <is>
          <t>05/10/2026</t>
        </is>
      </c>
      <c r="B120" t="inlineStr">
        <is>
          <t>97729925</t>
        </is>
      </c>
      <c r="C120" t="inlineStr">
        <is>
          <t>163140</t>
        </is>
      </c>
      <c r="D120" t="inlineStr">
        <is>
          <t>163140</t>
        </is>
      </c>
      <c r="E120" t="inlineStr">
        <is>
          <t>HALFSIM TIGO</t>
        </is>
      </c>
      <c r="F120" t="n">
        <v>1</v>
      </c>
      <c r="G120" t="n">
        <v>0.69</v>
      </c>
      <c r="H120" t="inlineStr">
        <is>
          <t>0.69</t>
        </is>
      </c>
      <c r="J120" t="inlineStr">
        <is>
          <t>Kevin feijoo</t>
        </is>
      </c>
      <c r="K120" t="inlineStr">
        <is>
          <t>0705809465</t>
        </is>
      </c>
      <c r="L120" t="inlineStr">
        <is>
          <t>-3.2591626,-79.95686119999999</t>
        </is>
      </c>
      <c r="M120" t="inlineStr">
        <is>
          <t>Cliente Final</t>
        </is>
      </c>
      <c r="N120" t="inlineStr">
        <is>
          <t>CANAL INDIRECTO</t>
        </is>
      </c>
    </row>
    <row r="121">
      <c r="A121" t="inlineStr">
        <is>
          <t>05/10/2026</t>
        </is>
      </c>
      <c r="B121" t="inlineStr">
        <is>
          <t>16502273</t>
        </is>
      </c>
      <c r="C121" t="inlineStr">
        <is>
          <t>163140</t>
        </is>
      </c>
      <c r="D121" t="inlineStr">
        <is>
          <t>163140</t>
        </is>
      </c>
      <c r="E121" t="inlineStr">
        <is>
          <t>HALFSIM TIGO</t>
        </is>
      </c>
      <c r="F121" t="n">
        <v>20</v>
      </c>
      <c r="G121" t="n">
        <v>13.799999999999999</v>
      </c>
      <c r="H121" t="inlineStr">
        <is>
          <t>0.69</t>
        </is>
      </c>
      <c r="J121" t="inlineStr">
        <is>
          <t>DANIELA ESPINOSA_BANCO INTERNACIONAL S A</t>
        </is>
      </c>
      <c r="K121" t="inlineStr">
        <is>
          <t>1790098354001</t>
        </is>
      </c>
      <c r="M121" t="inlineStr">
        <is>
          <t>BTB</t>
        </is>
      </c>
      <c r="N121" t="inlineStr">
        <is>
          <t>CANAL DIRECTO</t>
        </is>
      </c>
    </row>
    <row r="122">
      <c r="A122" t="inlineStr">
        <is>
          <t>05/10/2026</t>
        </is>
      </c>
      <c r="B122" t="inlineStr">
        <is>
          <t>16502293</t>
        </is>
      </c>
      <c r="C122" t="inlineStr">
        <is>
          <t>163140</t>
        </is>
      </c>
      <c r="D122" t="inlineStr">
        <is>
          <t>163140</t>
        </is>
      </c>
      <c r="E122" t="inlineStr">
        <is>
          <t>HALFSIM TIGO</t>
        </is>
      </c>
      <c r="F122" t="n">
        <v>1</v>
      </c>
      <c r="G122" t="n">
        <v>0.69</v>
      </c>
      <c r="H122" t="inlineStr">
        <is>
          <t>0.69</t>
        </is>
      </c>
      <c r="J122" t="inlineStr">
        <is>
          <t>HANS JIMENEZ_ACERO COMERCIAL ECUATORIANO S A</t>
        </is>
      </c>
      <c r="K122" t="inlineStr">
        <is>
          <t>1790008959001</t>
        </is>
      </c>
      <c r="M122" t="inlineStr">
        <is>
          <t>BTB</t>
        </is>
      </c>
      <c r="N122" t="inlineStr">
        <is>
          <t>CANAL DIRECTO</t>
        </is>
      </c>
    </row>
    <row r="123">
      <c r="A123" t="inlineStr">
        <is>
          <t>05/10/2026</t>
        </is>
      </c>
      <c r="B123" t="inlineStr">
        <is>
          <t>16502294</t>
        </is>
      </c>
      <c r="C123" t="inlineStr">
        <is>
          <t>163140</t>
        </is>
      </c>
      <c r="D123" t="inlineStr">
        <is>
          <t>163140</t>
        </is>
      </c>
      <c r="E123" t="inlineStr">
        <is>
          <t>HALFSIM TIGO</t>
        </is>
      </c>
      <c r="F123" t="n">
        <v>10</v>
      </c>
      <c r="G123" t="n">
        <v>6.8999999999999995</v>
      </c>
      <c r="H123" t="inlineStr">
        <is>
          <t>0.69</t>
        </is>
      </c>
      <c r="J123" t="inlineStr">
        <is>
          <t>NAOMI GOMEZ POZO_PLUSTELESMART CIA LTDA</t>
        </is>
      </c>
      <c r="K123" t="inlineStr">
        <is>
          <t>1792996570001</t>
        </is>
      </c>
      <c r="M123" t="inlineStr">
        <is>
          <t>BTB</t>
        </is>
      </c>
      <c r="N123" t="inlineStr">
        <is>
          <t>CANAL DIRECTO</t>
        </is>
      </c>
    </row>
    <row r="124">
      <c r="A124" t="inlineStr">
        <is>
          <t>05/10/2026</t>
        </is>
      </c>
      <c r="B124" t="inlineStr">
        <is>
          <t>2026-08069</t>
        </is>
      </c>
      <c r="C124" t="inlineStr">
        <is>
          <t>163140_02</t>
        </is>
      </c>
      <c r="D124" t="inlineStr">
        <is>
          <t>163140</t>
        </is>
      </c>
      <c r="E124" t="inlineStr">
        <is>
          <t>HALFSIM TIGO CHIP PREPAGO $3 WP NUMERADO</t>
        </is>
      </c>
      <c r="F124" t="n">
        <v>500</v>
      </c>
      <c r="G124" t="n">
        <v>345</v>
      </c>
      <c r="H124" t="inlineStr">
        <is>
          <t>0.69</t>
        </is>
      </c>
      <c r="J124" t="inlineStr">
        <is>
          <t>MOVIPHONE EL ORO PDA MOVISTAR_LENIN CRESPO</t>
        </is>
      </c>
      <c r="K124" t="inlineStr">
        <is>
          <t>0301197232</t>
        </is>
      </c>
      <c r="M124" t="inlineStr">
        <is>
          <t>INDIRECTO</t>
        </is>
      </c>
      <c r="N124" t="inlineStr">
        <is>
          <t>CANAL INDIRECTO</t>
        </is>
      </c>
    </row>
    <row r="125">
      <c r="A125" t="inlineStr">
        <is>
          <t>05/10/2026</t>
        </is>
      </c>
      <c r="B125" t="inlineStr">
        <is>
          <t>2026-08075</t>
        </is>
      </c>
      <c r="C125" t="inlineStr">
        <is>
          <t>163140_02</t>
        </is>
      </c>
      <c r="D125" t="inlineStr">
        <is>
          <t>163140</t>
        </is>
      </c>
      <c r="E125" t="inlineStr">
        <is>
          <t>HALFSIM TIGO CHIP PREPAGO $3 WP NUMERADO</t>
        </is>
      </c>
      <c r="F125" t="n">
        <v>1000</v>
      </c>
      <c r="G125" t="n">
        <v>690</v>
      </c>
      <c r="H125" t="inlineStr">
        <is>
          <t>0.69</t>
        </is>
      </c>
      <c r="J125" t="inlineStr">
        <is>
          <t>TARSISINVEST TUENTI SANTA ELENA_MARCO VINICIO BASTIDAS TOALA</t>
        </is>
      </c>
      <c r="K125" t="inlineStr">
        <is>
          <t>0992862459001</t>
        </is>
      </c>
      <c r="M125" t="inlineStr">
        <is>
          <t>INDIRECTO</t>
        </is>
      </c>
      <c r="N125" t="inlineStr">
        <is>
          <t>CANAL INDIRECTO</t>
        </is>
      </c>
    </row>
    <row r="126">
      <c r="A126" t="inlineStr">
        <is>
          <t>05/10/2026</t>
        </is>
      </c>
      <c r="B126" t="inlineStr">
        <is>
          <t>2026-08075</t>
        </is>
      </c>
      <c r="C126" t="inlineStr">
        <is>
          <t>163140_06</t>
        </is>
      </c>
      <c r="D126" t="inlineStr">
        <is>
          <t>163140</t>
        </is>
      </c>
      <c r="E126" t="inlineStr">
        <is>
          <t>HALFSIM TIGO PORTABILIDAD</t>
        </is>
      </c>
      <c r="F126" t="n">
        <v>100</v>
      </c>
      <c r="G126" t="n">
        <v>69</v>
      </c>
      <c r="H126" t="inlineStr">
        <is>
          <t>0.69</t>
        </is>
      </c>
      <c r="J126" t="inlineStr">
        <is>
          <t>TARSISINVEST TUENTI SANTA ELENA_MARCO VINICIO BASTIDAS TOALA</t>
        </is>
      </c>
      <c r="K126" t="inlineStr">
        <is>
          <t>0992862459001</t>
        </is>
      </c>
      <c r="M126" t="inlineStr">
        <is>
          <t>INDIRECTO</t>
        </is>
      </c>
      <c r="N126" t="inlineStr">
        <is>
          <t>CANAL INDIRECTO</t>
        </is>
      </c>
    </row>
    <row r="127">
      <c r="A127" t="inlineStr">
        <is>
          <t>05/10/2026</t>
        </is>
      </c>
      <c r="B127" t="inlineStr">
        <is>
          <t>2026-08079</t>
        </is>
      </c>
      <c r="C127" t="inlineStr">
        <is>
          <t>163140_02</t>
        </is>
      </c>
      <c r="D127" t="inlineStr">
        <is>
          <t>163140</t>
        </is>
      </c>
      <c r="E127" t="inlineStr">
        <is>
          <t>HALFSIM TIGO CHIP PREPAGO $3 WP NUMERADO</t>
        </is>
      </c>
      <c r="F127" t="n">
        <v>3000</v>
      </c>
      <c r="G127" t="n">
        <v>2070</v>
      </c>
      <c r="H127" t="inlineStr">
        <is>
          <t>0.69</t>
        </is>
      </c>
      <c r="J127" t="inlineStr">
        <is>
          <t>MOVIPHONE ZONIFICADO MACHALA_LENIN CRESPO</t>
        </is>
      </c>
      <c r="K127" t="inlineStr">
        <is>
          <t>0391007160001</t>
        </is>
      </c>
      <c r="M127" t="inlineStr">
        <is>
          <t>INDIRECTO</t>
        </is>
      </c>
      <c r="N127" t="inlineStr">
        <is>
          <t>CANAL INDIRECTO</t>
        </is>
      </c>
    </row>
    <row r="128">
      <c r="A128" t="inlineStr">
        <is>
          <t>05/10/2026</t>
        </is>
      </c>
      <c r="B128" t="inlineStr">
        <is>
          <t>2026-08080</t>
        </is>
      </c>
      <c r="C128" t="inlineStr">
        <is>
          <t>163140_02</t>
        </is>
      </c>
      <c r="D128" t="inlineStr">
        <is>
          <t>163140</t>
        </is>
      </c>
      <c r="E128" t="inlineStr">
        <is>
          <t>HALFSIM TIGO CHIP PREPAGO $3 WP NUMERADO</t>
        </is>
      </c>
      <c r="F128" t="n">
        <v>1000</v>
      </c>
      <c r="G128" t="n">
        <v>690</v>
      </c>
      <c r="H128" t="inlineStr">
        <is>
          <t>0.69</t>
        </is>
      </c>
      <c r="J128" t="inlineStr">
        <is>
          <t>MOVIPHONE ZONIFICADOS CAÑAR_LENIN CRESPO</t>
        </is>
      </c>
      <c r="K128" t="inlineStr">
        <is>
          <t>0391007160001</t>
        </is>
      </c>
      <c r="M128" t="inlineStr">
        <is>
          <t>INDIRECTO</t>
        </is>
      </c>
      <c r="N128" t="inlineStr">
        <is>
          <t>CANAL INDIRECTO</t>
        </is>
      </c>
    </row>
    <row r="129">
      <c r="A129" t="inlineStr">
        <is>
          <t>05/10/2026</t>
        </is>
      </c>
      <c r="B129" t="inlineStr">
        <is>
          <t>2026-08081</t>
        </is>
      </c>
      <c r="C129" t="inlineStr">
        <is>
          <t>163140_02</t>
        </is>
      </c>
      <c r="D129" t="inlineStr">
        <is>
          <t>163140</t>
        </is>
      </c>
      <c r="E129" t="inlineStr">
        <is>
          <t>HALFSIM TIGO CHIP PREPAGO $3 WP NUMERADO</t>
        </is>
      </c>
      <c r="F129" t="n">
        <v>3000</v>
      </c>
      <c r="G129" t="n">
        <v>2070</v>
      </c>
      <c r="H129" t="inlineStr">
        <is>
          <t>0.69</t>
        </is>
      </c>
      <c r="J129" t="inlineStr">
        <is>
          <t>MOVIPHONE AZUAY_GALO PALLAROSO</t>
        </is>
      </c>
      <c r="K129" t="inlineStr">
        <is>
          <t>0391007160001</t>
        </is>
      </c>
      <c r="M129" t="inlineStr">
        <is>
          <t>INDIRECTO</t>
        </is>
      </c>
      <c r="N129" t="inlineStr">
        <is>
          <t>CANAL INDIRECTO</t>
        </is>
      </c>
    </row>
    <row r="130">
      <c r="A130" t="inlineStr">
        <is>
          <t>05/10/2026</t>
        </is>
      </c>
      <c r="B130" t="inlineStr">
        <is>
          <t>2026-08082</t>
        </is>
      </c>
      <c r="C130" t="inlineStr">
        <is>
          <t>163140_02</t>
        </is>
      </c>
      <c r="D130" t="inlineStr">
        <is>
          <t>163140</t>
        </is>
      </c>
      <c r="E130" t="inlineStr">
        <is>
          <t>HALFSIM TIGO CHIP PREPAGO $3 WP NUMERADO</t>
        </is>
      </c>
      <c r="F130" t="n">
        <v>1000</v>
      </c>
      <c r="G130" t="n">
        <v>690</v>
      </c>
      <c r="H130" t="inlineStr">
        <is>
          <t>0.69</t>
        </is>
      </c>
      <c r="J130" t="inlineStr">
        <is>
          <t>MOVIPHONE ZONIFICADO LOJA_DIEGO ARMANDO VASQUEZ SALDAÑA</t>
        </is>
      </c>
      <c r="K130" t="inlineStr">
        <is>
          <t>0391007160001</t>
        </is>
      </c>
      <c r="M130" t="inlineStr">
        <is>
          <t>INDIRECTO</t>
        </is>
      </c>
      <c r="N130" t="inlineStr">
        <is>
          <t>CANAL INDIRECTO</t>
        </is>
      </c>
    </row>
    <row r="131">
      <c r="A131" t="inlineStr">
        <is>
          <t>05/10/2026</t>
        </is>
      </c>
      <c r="B131" t="inlineStr">
        <is>
          <t>2026-08083</t>
        </is>
      </c>
      <c r="C131" t="inlineStr">
        <is>
          <t>163140_06</t>
        </is>
      </c>
      <c r="D131" t="inlineStr">
        <is>
          <t>163140</t>
        </is>
      </c>
      <c r="E131" t="inlineStr">
        <is>
          <t>HALFSIM TIGO PORTABILIDAD</t>
        </is>
      </c>
      <c r="F131" t="n">
        <v>100</v>
      </c>
      <c r="G131" t="n">
        <v>69</v>
      </c>
      <c r="H131" t="inlineStr">
        <is>
          <t>0.69</t>
        </is>
      </c>
      <c r="J131" t="inlineStr">
        <is>
          <t>AIRLINKCO SAS PYMES CUENCA_CARLOS LEONARDO MEJÍA CALLE</t>
        </is>
      </c>
      <c r="K131" t="inlineStr">
        <is>
          <t>0103710703</t>
        </is>
      </c>
      <c r="M131" t="inlineStr">
        <is>
          <t>INDIRECTO</t>
        </is>
      </c>
      <c r="N131" t="inlineStr">
        <is>
          <t>CANAL INDIRECTO</t>
        </is>
      </c>
    </row>
    <row r="132">
      <c r="A132" t="inlineStr">
        <is>
          <t>05/10/2026</t>
        </is>
      </c>
      <c r="B132" t="inlineStr">
        <is>
          <t>2026-08084</t>
        </is>
      </c>
      <c r="C132" t="inlineStr">
        <is>
          <t>163140_02</t>
        </is>
      </c>
      <c r="D132" t="inlineStr">
        <is>
          <t>163140</t>
        </is>
      </c>
      <c r="E132" t="inlineStr">
        <is>
          <t>HALFSIM TIGO CHIP PREPAGO $3 WP NUMERADO</t>
        </is>
      </c>
      <c r="F132" t="n">
        <v>1000</v>
      </c>
      <c r="G132" t="n">
        <v>690</v>
      </c>
      <c r="H132" t="inlineStr">
        <is>
          <t>0.69</t>
        </is>
      </c>
      <c r="J132" t="inlineStr">
        <is>
          <t>MOVIPHONE AZUAY PDA_LENIN CRESPO</t>
        </is>
      </c>
      <c r="K132" t="inlineStr">
        <is>
          <t>0301197232</t>
        </is>
      </c>
      <c r="M132" t="inlineStr">
        <is>
          <t>INDIRECTO</t>
        </is>
      </c>
      <c r="N132" t="inlineStr">
        <is>
          <t>CANAL INDIRECTO</t>
        </is>
      </c>
    </row>
    <row r="133">
      <c r="A133" t="inlineStr">
        <is>
          <t>05/10/2026</t>
        </is>
      </c>
      <c r="B133" t="inlineStr">
        <is>
          <t>2026-08085</t>
        </is>
      </c>
      <c r="C133" t="inlineStr">
        <is>
          <t>163140_02</t>
        </is>
      </c>
      <c r="D133" t="inlineStr">
        <is>
          <t>163140</t>
        </is>
      </c>
      <c r="E133" t="inlineStr">
        <is>
          <t>HALFSIM TIGO CHIP PREPAGO $3 WP NUMERADO</t>
        </is>
      </c>
      <c r="F133" t="n">
        <v>2000</v>
      </c>
      <c r="G133" t="n">
        <v>1380</v>
      </c>
      <c r="H133" t="inlineStr">
        <is>
          <t>0.69</t>
        </is>
      </c>
      <c r="J133" t="inlineStr">
        <is>
          <t>TARSISINVEST TUENTI KENNEDY_MARCO BASTIDAS TOALA</t>
        </is>
      </c>
      <c r="K133" t="inlineStr">
        <is>
          <t>0992862459001</t>
        </is>
      </c>
      <c r="M133" t="inlineStr">
        <is>
          <t>INDIRECTO</t>
        </is>
      </c>
      <c r="N133" t="inlineStr">
        <is>
          <t>CANAL INDIRECTO</t>
        </is>
      </c>
    </row>
    <row r="134">
      <c r="A134" t="inlineStr">
        <is>
          <t>05/10/2026</t>
        </is>
      </c>
      <c r="B134" t="inlineStr">
        <is>
          <t>2026-08085</t>
        </is>
      </c>
      <c r="C134" t="inlineStr">
        <is>
          <t>163140_06</t>
        </is>
      </c>
      <c r="D134" t="inlineStr">
        <is>
          <t>163140</t>
        </is>
      </c>
      <c r="E134" t="inlineStr">
        <is>
          <t>HALFSIM TIGO PORTABILIDAD</t>
        </is>
      </c>
      <c r="F134" t="n">
        <v>1000</v>
      </c>
      <c r="G134" t="n">
        <v>690</v>
      </c>
      <c r="H134" t="inlineStr">
        <is>
          <t>0.69</t>
        </is>
      </c>
      <c r="J134" t="inlineStr">
        <is>
          <t>TARSISINVEST TUENTI KENNEDY_MARCO BASTIDAS TOALA</t>
        </is>
      </c>
      <c r="K134" t="inlineStr">
        <is>
          <t>0992862459001</t>
        </is>
      </c>
      <c r="M134" t="inlineStr">
        <is>
          <t>INDIRECTO</t>
        </is>
      </c>
      <c r="N134" t="inlineStr">
        <is>
          <t>CANAL INDIRECTO</t>
        </is>
      </c>
    </row>
    <row r="135">
      <c r="A135" t="inlineStr">
        <is>
          <t>05/10/2026</t>
        </is>
      </c>
      <c r="B135" t="inlineStr">
        <is>
          <t>16502305</t>
        </is>
      </c>
      <c r="C135" t="inlineStr">
        <is>
          <t>163140</t>
        </is>
      </c>
      <c r="D135" t="inlineStr">
        <is>
          <t>163140</t>
        </is>
      </c>
      <c r="E135" t="inlineStr">
        <is>
          <t>HALFSIM TIGO</t>
        </is>
      </c>
      <c r="F135" t="n">
        <v>1</v>
      </c>
      <c r="G135" t="n">
        <v>0.69</v>
      </c>
      <c r="H135" t="inlineStr">
        <is>
          <t>0.69</t>
        </is>
      </c>
      <c r="J135" t="inlineStr">
        <is>
          <t>HURTADO VALENCIA EMIL RICARDO_HURTADO VALENCIA EMIL RICARDO</t>
        </is>
      </c>
      <c r="K135" t="inlineStr">
        <is>
          <t>0703902908001</t>
        </is>
      </c>
      <c r="M135" t="inlineStr">
        <is>
          <t>BTB</t>
        </is>
      </c>
      <c r="N135" t="inlineStr">
        <is>
          <t>CANAL DIRECTO</t>
        </is>
      </c>
    </row>
    <row r="136">
      <c r="A136" t="inlineStr">
        <is>
          <t>05/10/2026</t>
        </is>
      </c>
      <c r="B136" t="inlineStr">
        <is>
          <t>16502306</t>
        </is>
      </c>
      <c r="C136" t="inlineStr">
        <is>
          <t>163140</t>
        </is>
      </c>
      <c r="D136" t="inlineStr">
        <is>
          <t>163140</t>
        </is>
      </c>
      <c r="E136" t="inlineStr">
        <is>
          <t>HALFSIM TIGO</t>
        </is>
      </c>
      <c r="F136" t="n">
        <v>1</v>
      </c>
      <c r="G136" t="n">
        <v>0.69</v>
      </c>
      <c r="H136" t="inlineStr">
        <is>
          <t>0.69</t>
        </is>
      </c>
      <c r="J136" t="inlineStr">
        <is>
          <t>ROCA CHUCAD MARCOS ANTONIO_ROCA CHUCAD MARCOS ANTONIO</t>
        </is>
      </c>
      <c r="K136" t="inlineStr">
        <is>
          <t>1207009372001</t>
        </is>
      </c>
      <c r="M136" t="inlineStr">
        <is>
          <t>BTB</t>
        </is>
      </c>
      <c r="N136" t="inlineStr">
        <is>
          <t>CANAL DIRECTO</t>
        </is>
      </c>
    </row>
    <row r="137">
      <c r="A137" t="inlineStr">
        <is>
          <t>05/10/2026</t>
        </is>
      </c>
      <c r="B137" t="inlineStr">
        <is>
          <t>16502307</t>
        </is>
      </c>
      <c r="C137" t="inlineStr">
        <is>
          <t>163140</t>
        </is>
      </c>
      <c r="D137" t="inlineStr">
        <is>
          <t>163140</t>
        </is>
      </c>
      <c r="E137" t="inlineStr">
        <is>
          <t>HALFSIM TIGO</t>
        </is>
      </c>
      <c r="F137" t="n">
        <v>1</v>
      </c>
      <c r="G137" t="n">
        <v>0.69</v>
      </c>
      <c r="H137" t="inlineStr">
        <is>
          <t>0.69</t>
        </is>
      </c>
      <c r="J137" t="inlineStr">
        <is>
          <t>SILVA SILVA MARIA INES_SILVA SILVA MARIA INES</t>
        </is>
      </c>
      <c r="K137" t="inlineStr">
        <is>
          <t>1717734840001</t>
        </is>
      </c>
      <c r="M137" t="inlineStr">
        <is>
          <t>BTB</t>
        </is>
      </c>
      <c r="N137" t="inlineStr">
        <is>
          <t>CANAL DIRECTO</t>
        </is>
      </c>
    </row>
    <row r="138">
      <c r="A138" t="inlineStr">
        <is>
          <t>05/10/2026</t>
        </is>
      </c>
      <c r="B138" t="inlineStr">
        <is>
          <t>16502308</t>
        </is>
      </c>
      <c r="C138" t="inlineStr">
        <is>
          <t>163140</t>
        </is>
      </c>
      <c r="D138" t="inlineStr">
        <is>
          <t>163140</t>
        </is>
      </c>
      <c r="E138" t="inlineStr">
        <is>
          <t>HALFSIM TIGO</t>
        </is>
      </c>
      <c r="F138" t="n">
        <v>1</v>
      </c>
      <c r="G138" t="n">
        <v>0.69</v>
      </c>
      <c r="H138" t="inlineStr">
        <is>
          <t>0.69</t>
        </is>
      </c>
      <c r="J138" t="inlineStr">
        <is>
          <t>VARGAS MORALES EDWIN VINICIO_VARGAS MORALES EDWIN VINICIO</t>
        </is>
      </c>
      <c r="K138" t="inlineStr">
        <is>
          <t>1721368700001</t>
        </is>
      </c>
      <c r="M138" t="inlineStr">
        <is>
          <t>BTB</t>
        </is>
      </c>
      <c r="N138" t="inlineStr">
        <is>
          <t>CANAL DIRECTO</t>
        </is>
      </c>
    </row>
    <row r="139">
      <c r="A139" t="inlineStr">
        <is>
          <t>05/10/2026</t>
        </is>
      </c>
      <c r="B139" t="inlineStr">
        <is>
          <t>16502308</t>
        </is>
      </c>
      <c r="C139" t="inlineStr">
        <is>
          <t>163140</t>
        </is>
      </c>
      <c r="D139" t="inlineStr">
        <is>
          <t>163140</t>
        </is>
      </c>
      <c r="E139" t="inlineStr">
        <is>
          <t>HALFSIM TIGO</t>
        </is>
      </c>
      <c r="F139" t="n">
        <v>1</v>
      </c>
      <c r="G139" t="n">
        <v>0.69</v>
      </c>
      <c r="H139" t="inlineStr">
        <is>
          <t>0.69</t>
        </is>
      </c>
      <c r="J139" t="inlineStr">
        <is>
          <t>VARGAS MORALES EDWIN VINICIO_VARGAS MORALES EDWIN VINICIO</t>
        </is>
      </c>
      <c r="K139" t="inlineStr">
        <is>
          <t>1721368700001</t>
        </is>
      </c>
      <c r="M139" t="inlineStr">
        <is>
          <t>BTB</t>
        </is>
      </c>
      <c r="N139" t="inlineStr">
        <is>
          <t>CANAL DIRECTO</t>
        </is>
      </c>
    </row>
    <row r="140">
      <c r="A140" t="inlineStr">
        <is>
          <t>05/10/2026</t>
        </is>
      </c>
      <c r="B140" t="inlineStr">
        <is>
          <t>16502310</t>
        </is>
      </c>
      <c r="C140" t="inlineStr">
        <is>
          <t>163140</t>
        </is>
      </c>
      <c r="D140" t="inlineStr">
        <is>
          <t>163140</t>
        </is>
      </c>
      <c r="E140" t="inlineStr">
        <is>
          <t>HALFSIM TIGO</t>
        </is>
      </c>
      <c r="F140" t="n">
        <v>1</v>
      </c>
      <c r="G140" t="n">
        <v>0.69</v>
      </c>
      <c r="H140" t="inlineStr">
        <is>
          <t>0.69</t>
        </is>
      </c>
      <c r="J140" t="inlineStr">
        <is>
          <t>GALARZA SARMIENTO LUIS SANTIAGO_GALARZA SARMIENTO LUIS SANTIAGO</t>
        </is>
      </c>
      <c r="K140" t="inlineStr">
        <is>
          <t>0103914503001</t>
        </is>
      </c>
      <c r="M140" t="inlineStr">
        <is>
          <t>BTB</t>
        </is>
      </c>
      <c r="N140" t="inlineStr">
        <is>
          <t>CANAL DIRECTO</t>
        </is>
      </c>
    </row>
    <row r="141">
      <c r="A141" t="inlineStr">
        <is>
          <t>05/10/2026</t>
        </is>
      </c>
      <c r="B141" t="inlineStr">
        <is>
          <t>16502311</t>
        </is>
      </c>
      <c r="C141" t="inlineStr">
        <is>
          <t>163140</t>
        </is>
      </c>
      <c r="D141" t="inlineStr">
        <is>
          <t>163140</t>
        </is>
      </c>
      <c r="E141" t="inlineStr">
        <is>
          <t>HALFSIM TIGO</t>
        </is>
      </c>
      <c r="F141" t="n">
        <v>1</v>
      </c>
      <c r="G141" t="n">
        <v>0.69</v>
      </c>
      <c r="H141" t="inlineStr">
        <is>
          <t>0.69</t>
        </is>
      </c>
      <c r="J141" t="inlineStr">
        <is>
          <t>LARCO DAVALOS SEBASTIAN ALEJANDRO_LARCO DAVALOS SEBASTIAN ALEJANDRO</t>
        </is>
      </c>
      <c r="K141" t="inlineStr">
        <is>
          <t>0603298324001</t>
        </is>
      </c>
      <c r="M141" t="inlineStr">
        <is>
          <t>BTB</t>
        </is>
      </c>
      <c r="N141" t="inlineStr">
        <is>
          <t>CANAL DIRECTO</t>
        </is>
      </c>
    </row>
    <row r="142">
      <c r="A142" t="inlineStr">
        <is>
          <t>05/10/2026</t>
        </is>
      </c>
      <c r="B142" t="inlineStr">
        <is>
          <t>16502312</t>
        </is>
      </c>
      <c r="C142" t="inlineStr">
        <is>
          <t>163140</t>
        </is>
      </c>
      <c r="D142" t="inlineStr">
        <is>
          <t>163140</t>
        </is>
      </c>
      <c r="E142" t="inlineStr">
        <is>
          <t>HALFSIM TIGO</t>
        </is>
      </c>
      <c r="F142" t="n">
        <v>1</v>
      </c>
      <c r="G142" t="n">
        <v>0.69</v>
      </c>
      <c r="H142" t="inlineStr">
        <is>
          <t>0.69</t>
        </is>
      </c>
      <c r="J142" t="inlineStr">
        <is>
          <t>MENDEZ VERA KLEVER ANDRES_MENDEZ VERA KLEVER ANDRES</t>
        </is>
      </c>
      <c r="K142" t="inlineStr">
        <is>
          <t>0923160899001</t>
        </is>
      </c>
      <c r="M142" t="inlineStr">
        <is>
          <t>BTB</t>
        </is>
      </c>
      <c r="N142" t="inlineStr">
        <is>
          <t>CANAL DIRECTO</t>
        </is>
      </c>
    </row>
    <row r="143">
      <c r="A143" t="inlineStr">
        <is>
          <t>05/10/2026</t>
        </is>
      </c>
      <c r="B143" t="inlineStr">
        <is>
          <t>16502313</t>
        </is>
      </c>
      <c r="C143" t="inlineStr">
        <is>
          <t>163140</t>
        </is>
      </c>
      <c r="D143" t="inlineStr">
        <is>
          <t>163140</t>
        </is>
      </c>
      <c r="E143" t="inlineStr">
        <is>
          <t>HALFSIM TIGO</t>
        </is>
      </c>
      <c r="F143" t="n">
        <v>1</v>
      </c>
      <c r="G143" t="n">
        <v>0.69</v>
      </c>
      <c r="H143" t="inlineStr">
        <is>
          <t>0.69</t>
        </is>
      </c>
      <c r="J143" t="inlineStr">
        <is>
          <t>ALVARADO FLORES CARLOS ALFONSO_ALVARADO FLORES CARLOS ALFONSO</t>
        </is>
      </c>
      <c r="K143" t="inlineStr">
        <is>
          <t>1310269376001</t>
        </is>
      </c>
      <c r="M143" t="inlineStr">
        <is>
          <t>BTB</t>
        </is>
      </c>
      <c r="N143" t="inlineStr">
        <is>
          <t>CANAL DIRECTO</t>
        </is>
      </c>
    </row>
    <row r="144">
      <c r="A144" t="inlineStr">
        <is>
          <t>05/10/2026</t>
        </is>
      </c>
      <c r="B144" t="inlineStr">
        <is>
          <t>16502314</t>
        </is>
      </c>
      <c r="C144" t="inlineStr">
        <is>
          <t>163140</t>
        </is>
      </c>
      <c r="D144" t="inlineStr">
        <is>
          <t>163140</t>
        </is>
      </c>
      <c r="E144" t="inlineStr">
        <is>
          <t>HALFSIM TIGO</t>
        </is>
      </c>
      <c r="F144" t="n">
        <v>1</v>
      </c>
      <c r="G144" t="n">
        <v>0.69</v>
      </c>
      <c r="H144" t="inlineStr">
        <is>
          <t>0.69</t>
        </is>
      </c>
      <c r="J144" t="inlineStr">
        <is>
          <t>CORREA VEGA MARIO FABIAN_CORREA VEGA MARIO FABIAN</t>
        </is>
      </c>
      <c r="K144" t="inlineStr">
        <is>
          <t>1704766987001</t>
        </is>
      </c>
      <c r="M144" t="inlineStr">
        <is>
          <t>BTB</t>
        </is>
      </c>
      <c r="N144" t="inlineStr">
        <is>
          <t>CANAL DIRECTO</t>
        </is>
      </c>
    </row>
    <row r="145">
      <c r="A145" t="inlineStr">
        <is>
          <t>05/10/2026</t>
        </is>
      </c>
      <c r="B145" t="inlineStr">
        <is>
          <t>16502396</t>
        </is>
      </c>
      <c r="C145" t="inlineStr">
        <is>
          <t>163140</t>
        </is>
      </c>
      <c r="D145" t="inlineStr">
        <is>
          <t>163140</t>
        </is>
      </c>
      <c r="E145" t="inlineStr">
        <is>
          <t>HALFSIM TIGO</t>
        </is>
      </c>
      <c r="F145" t="n">
        <v>1</v>
      </c>
      <c r="G145" t="n">
        <v>0.69</v>
      </c>
      <c r="H145" t="inlineStr">
        <is>
          <t>0.69</t>
        </is>
      </c>
      <c r="J145" t="inlineStr">
        <is>
          <t>CAIZA CAIZA EDWIN PATRICIO_CAIZA CAIZA EDWIN PATRICIO</t>
        </is>
      </c>
      <c r="K145" t="inlineStr">
        <is>
          <t>1713305843001</t>
        </is>
      </c>
      <c r="M145" t="inlineStr">
        <is>
          <t>BTB</t>
        </is>
      </c>
      <c r="N145" t="inlineStr">
        <is>
          <t>CANAL DIRECTO</t>
        </is>
      </c>
    </row>
    <row r="146">
      <c r="A146" t="inlineStr">
        <is>
          <t>05/10/2026</t>
        </is>
      </c>
      <c r="B146" t="inlineStr">
        <is>
          <t>16502397</t>
        </is>
      </c>
      <c r="C146" t="inlineStr">
        <is>
          <t>163140</t>
        </is>
      </c>
      <c r="D146" t="inlineStr">
        <is>
          <t>163140</t>
        </is>
      </c>
      <c r="E146" t="inlineStr">
        <is>
          <t>HALFSIM TIGO</t>
        </is>
      </c>
      <c r="F146" t="n">
        <v>1</v>
      </c>
      <c r="G146" t="n">
        <v>0.69</v>
      </c>
      <c r="H146" t="inlineStr">
        <is>
          <t>0.69</t>
        </is>
      </c>
      <c r="J146" t="inlineStr">
        <is>
          <t>ORELLANA YANZA ROSA ANGELICA_ORELLANA YANZA ROSA ANGELICA</t>
        </is>
      </c>
      <c r="K146" t="inlineStr">
        <is>
          <t>0101227239001</t>
        </is>
      </c>
      <c r="M146" t="inlineStr">
        <is>
          <t>BTB</t>
        </is>
      </c>
      <c r="N146" t="inlineStr">
        <is>
          <t>CANAL DIRECTO</t>
        </is>
      </c>
    </row>
    <row r="147">
      <c r="A147" t="inlineStr">
        <is>
          <t>05/10/2026</t>
        </is>
      </c>
      <c r="B147" t="inlineStr">
        <is>
          <t>16502315</t>
        </is>
      </c>
      <c r="C147" t="inlineStr">
        <is>
          <t>163140</t>
        </is>
      </c>
      <c r="D147" t="inlineStr">
        <is>
          <t>163140</t>
        </is>
      </c>
      <c r="E147" t="inlineStr">
        <is>
          <t>HALFSIM TIGO</t>
        </is>
      </c>
      <c r="F147" t="n">
        <v>40</v>
      </c>
      <c r="G147" t="n">
        <v>27.599999999999998</v>
      </c>
      <c r="H147" t="inlineStr">
        <is>
          <t>0.69</t>
        </is>
      </c>
      <c r="J147" t="inlineStr">
        <is>
          <t>JUAN CARLOS HIDALGO_PANELES LATINOAMERICANOS PANELAT ECUADOR S A S</t>
        </is>
      </c>
      <c r="K147" t="inlineStr">
        <is>
          <t>0591762757001</t>
        </is>
      </c>
      <c r="M147" t="inlineStr">
        <is>
          <t>BTB</t>
        </is>
      </c>
      <c r="N147" t="inlineStr">
        <is>
          <t>CANAL DIRECTO</t>
        </is>
      </c>
    </row>
    <row r="148">
      <c r="A148" t="inlineStr">
        <is>
          <t>05/10/2026</t>
        </is>
      </c>
      <c r="B148" t="inlineStr">
        <is>
          <t>16502355</t>
        </is>
      </c>
      <c r="C148" t="inlineStr">
        <is>
          <t>163140</t>
        </is>
      </c>
      <c r="D148" t="inlineStr">
        <is>
          <t>163140</t>
        </is>
      </c>
      <c r="E148" t="inlineStr">
        <is>
          <t>HALFSIM TIGO</t>
        </is>
      </c>
      <c r="F148" t="n">
        <v>11</v>
      </c>
      <c r="G148" t="n">
        <v>7.59</v>
      </c>
      <c r="H148" t="inlineStr">
        <is>
          <t>0.69</t>
        </is>
      </c>
      <c r="J148" t="inlineStr">
        <is>
          <t>KAREN SANTOS_CELUMANIA S A</t>
        </is>
      </c>
      <c r="K148" t="inlineStr">
        <is>
          <t>0992682353001</t>
        </is>
      </c>
      <c r="M148" t="inlineStr">
        <is>
          <t>BTB</t>
        </is>
      </c>
      <c r="N148" t="inlineStr">
        <is>
          <t>CANAL DIRECTO</t>
        </is>
      </c>
    </row>
    <row r="149">
      <c r="A149" t="inlineStr">
        <is>
          <t>05/10/2026</t>
        </is>
      </c>
      <c r="B149" t="inlineStr">
        <is>
          <t>16502367</t>
        </is>
      </c>
      <c r="C149" t="inlineStr">
        <is>
          <t>163140</t>
        </is>
      </c>
      <c r="D149" t="inlineStr">
        <is>
          <t>163140</t>
        </is>
      </c>
      <c r="E149" t="inlineStr">
        <is>
          <t>HALFSIM TIGO</t>
        </is>
      </c>
      <c r="F149" t="n">
        <v>1</v>
      </c>
      <c r="G149" t="n">
        <v>0.69</v>
      </c>
      <c r="H149" t="inlineStr">
        <is>
          <t>0.69</t>
        </is>
      </c>
      <c r="J149" t="inlineStr">
        <is>
          <t>MARLENE ANDRADE CARRASCO_MARLENE ANDRADE CARRASCO</t>
        </is>
      </c>
      <c r="K149" t="inlineStr">
        <is>
          <t>1290064313001</t>
        </is>
      </c>
      <c r="M149" t="inlineStr">
        <is>
          <t>BTB</t>
        </is>
      </c>
      <c r="N149" t="inlineStr">
        <is>
          <t>CANAL DIRECTO</t>
        </is>
      </c>
    </row>
    <row r="150">
      <c r="A150" t="inlineStr">
        <is>
          <t>05/10/2026</t>
        </is>
      </c>
      <c r="B150" t="inlineStr">
        <is>
          <t>16502372</t>
        </is>
      </c>
      <c r="C150" t="inlineStr">
        <is>
          <t>163140</t>
        </is>
      </c>
      <c r="D150" t="inlineStr">
        <is>
          <t>163140</t>
        </is>
      </c>
      <c r="E150" t="inlineStr">
        <is>
          <t>HALFSIM TIGO</t>
        </is>
      </c>
      <c r="F150" t="n">
        <v>12</v>
      </c>
      <c r="G150" t="n">
        <v>8.2799999999999994</v>
      </c>
      <c r="H150" t="inlineStr">
        <is>
          <t>0.69</t>
        </is>
      </c>
      <c r="J150" t="inlineStr">
        <is>
          <t>NELLY FABARA_ FUNDACION CRISFE</t>
        </is>
      </c>
      <c r="K150" t="inlineStr">
        <is>
          <t>1791297121001</t>
        </is>
      </c>
      <c r="M150" t="inlineStr">
        <is>
          <t>BTB</t>
        </is>
      </c>
      <c r="N150" t="inlineStr">
        <is>
          <t>CANAL DIRECTO</t>
        </is>
      </c>
    </row>
    <row r="151">
      <c r="A151" t="inlineStr">
        <is>
          <t>05/10/2026</t>
        </is>
      </c>
      <c r="B151" t="inlineStr">
        <is>
          <t>16502389</t>
        </is>
      </c>
      <c r="C151" t="inlineStr">
        <is>
          <t>163140</t>
        </is>
      </c>
      <c r="D151" t="inlineStr">
        <is>
          <t>163140</t>
        </is>
      </c>
      <c r="E151" t="inlineStr">
        <is>
          <t>HALFSIM TIGO</t>
        </is>
      </c>
      <c r="F151" t="n">
        <v>1</v>
      </c>
      <c r="G151" t="n">
        <v>0.69</v>
      </c>
      <c r="H151" t="inlineStr">
        <is>
          <t>0.69</t>
        </is>
      </c>
      <c r="J151" t="inlineStr">
        <is>
          <t>RICARDO MENDOZA_COOPERATIVA DE AHORRO Y CREDITO UNIBLOCK Y SERVICIOS LTDA</t>
        </is>
      </c>
      <c r="K151" t="inlineStr">
        <is>
          <t>0591714236001</t>
        </is>
      </c>
      <c r="M151" t="inlineStr">
        <is>
          <t>BTB</t>
        </is>
      </c>
      <c r="N151" t="inlineStr">
        <is>
          <t>CANAL DIRECTO</t>
        </is>
      </c>
    </row>
    <row r="152">
      <c r="A152" t="inlineStr">
        <is>
          <t>05/10/2026</t>
        </is>
      </c>
      <c r="B152" t="inlineStr">
        <is>
          <t>16502390</t>
        </is>
      </c>
      <c r="C152" t="inlineStr">
        <is>
          <t>163140</t>
        </is>
      </c>
      <c r="D152" t="inlineStr">
        <is>
          <t>163140</t>
        </is>
      </c>
      <c r="E152" t="inlineStr">
        <is>
          <t>HALFSIM TIGO</t>
        </is>
      </c>
      <c r="F152" t="n">
        <v>2</v>
      </c>
      <c r="G152" t="n">
        <v>1.38</v>
      </c>
      <c r="H152" t="inlineStr">
        <is>
          <t>0.69</t>
        </is>
      </c>
      <c r="J152" t="inlineStr">
        <is>
          <t>PAEZ NARANJO JUAN CARLOS_THEMPANDINA S A</t>
        </is>
      </c>
      <c r="K152" t="inlineStr">
        <is>
          <t>1792205638001</t>
        </is>
      </c>
      <c r="M152" t="inlineStr">
        <is>
          <t>BTB</t>
        </is>
      </c>
      <c r="N152" t="inlineStr">
        <is>
          <t>CANAL DIRECTO</t>
        </is>
      </c>
    </row>
    <row r="153">
      <c r="A153" t="inlineStr">
        <is>
          <t>05/10/2026</t>
        </is>
      </c>
      <c r="B153" t="inlineStr">
        <is>
          <t>16502392</t>
        </is>
      </c>
      <c r="C153" t="inlineStr">
        <is>
          <t>163140</t>
        </is>
      </c>
      <c r="D153" t="inlineStr">
        <is>
          <t>163140</t>
        </is>
      </c>
      <c r="E153" t="inlineStr">
        <is>
          <t>HALFSIM TIGO</t>
        </is>
      </c>
      <c r="F153" t="n">
        <v>1</v>
      </c>
      <c r="G153" t="n">
        <v>0.69</v>
      </c>
      <c r="H153" t="inlineStr">
        <is>
          <t>0.69</t>
        </is>
      </c>
      <c r="J153" t="inlineStr">
        <is>
          <t>ATIENCIA TORRES FREDDY RICARDO_ATIENCIA TORRES FREDDY RICARDO</t>
        </is>
      </c>
      <c r="K153" t="inlineStr">
        <is>
          <t>1711655322001</t>
        </is>
      </c>
      <c r="M153" t="inlineStr">
        <is>
          <t>BTB</t>
        </is>
      </c>
      <c r="N153" t="inlineStr">
        <is>
          <t>CANAL DIRECTO</t>
        </is>
      </c>
    </row>
    <row r="154">
      <c r="A154" t="inlineStr">
        <is>
          <t>05/10/2026</t>
        </is>
      </c>
      <c r="B154" t="inlineStr">
        <is>
          <t>16502392</t>
        </is>
      </c>
      <c r="C154" t="inlineStr">
        <is>
          <t>163140</t>
        </is>
      </c>
      <c r="D154" t="inlineStr">
        <is>
          <t>163140</t>
        </is>
      </c>
      <c r="E154" t="inlineStr">
        <is>
          <t>HALFSIM TIGO</t>
        </is>
      </c>
      <c r="F154" t="n">
        <v>1</v>
      </c>
      <c r="G154" t="n">
        <v>0.69</v>
      </c>
      <c r="H154" t="inlineStr">
        <is>
          <t>0.69</t>
        </is>
      </c>
      <c r="J154" t="inlineStr">
        <is>
          <t>ATIENCIA TORRES FREDDY RICARDO_ATIENCIA TORRES FREDDY RICARDO</t>
        </is>
      </c>
      <c r="K154" t="inlineStr">
        <is>
          <t>1711655322001</t>
        </is>
      </c>
      <c r="M154" t="inlineStr">
        <is>
          <t>BTB</t>
        </is>
      </c>
      <c r="N154" t="inlineStr">
        <is>
          <t>CANAL DIRECTO</t>
        </is>
      </c>
    </row>
    <row r="155">
      <c r="A155" t="inlineStr">
        <is>
          <t>05/10/2026</t>
        </is>
      </c>
      <c r="B155" t="inlineStr">
        <is>
          <t>16502393</t>
        </is>
      </c>
      <c r="C155" t="inlineStr">
        <is>
          <t>163140</t>
        </is>
      </c>
      <c r="D155" t="inlineStr">
        <is>
          <t>163140</t>
        </is>
      </c>
      <c r="E155" t="inlineStr">
        <is>
          <t>HALFSIM TIGO</t>
        </is>
      </c>
      <c r="F155" t="n">
        <v>1</v>
      </c>
      <c r="G155" t="n">
        <v>0.69</v>
      </c>
      <c r="H155" t="inlineStr">
        <is>
          <t>0.69</t>
        </is>
      </c>
      <c r="J155" t="inlineStr">
        <is>
          <t>QUEVEDO VALVERDE FREDDY CARLOS_QUEVEDO VALVERDE FREDDY CARLOS</t>
        </is>
      </c>
      <c r="K155" t="inlineStr">
        <is>
          <t>1726834680001</t>
        </is>
      </c>
      <c r="M155" t="inlineStr">
        <is>
          <t>BTB</t>
        </is>
      </c>
      <c r="N155" t="inlineStr">
        <is>
          <t>CANAL DIRECTO</t>
        </is>
      </c>
    </row>
    <row r="156">
      <c r="A156" t="inlineStr">
        <is>
          <t>05/10/2026</t>
        </is>
      </c>
      <c r="B156" t="inlineStr">
        <is>
          <t>16502394</t>
        </is>
      </c>
      <c r="C156" t="inlineStr">
        <is>
          <t>163140</t>
        </is>
      </c>
      <c r="D156" t="inlineStr">
        <is>
          <t>163140</t>
        </is>
      </c>
      <c r="E156" t="inlineStr">
        <is>
          <t>HALFSIM TIGO</t>
        </is>
      </c>
      <c r="F156" t="n">
        <v>1</v>
      </c>
      <c r="G156" t="n">
        <v>0.69</v>
      </c>
      <c r="H156" t="inlineStr">
        <is>
          <t>0.69</t>
        </is>
      </c>
      <c r="J156" t="inlineStr">
        <is>
          <t>KGSARM SECURITY CIA LTDA_KGSARM SECURITY CIA LTDA</t>
        </is>
      </c>
      <c r="K156" t="inlineStr">
        <is>
          <t>1091746030001</t>
        </is>
      </c>
      <c r="M156" t="inlineStr">
        <is>
          <t>BTB</t>
        </is>
      </c>
      <c r="N156" t="inlineStr">
        <is>
          <t>CANAL DIRECTO</t>
        </is>
      </c>
    </row>
    <row r="157">
      <c r="A157" t="inlineStr">
        <is>
          <t>05/10/2026</t>
        </is>
      </c>
      <c r="B157" t="inlineStr">
        <is>
          <t>16502395</t>
        </is>
      </c>
      <c r="C157" t="inlineStr">
        <is>
          <t>163140</t>
        </is>
      </c>
      <c r="D157" t="inlineStr">
        <is>
          <t>163140</t>
        </is>
      </c>
      <c r="E157" t="inlineStr">
        <is>
          <t>HALFSIM TIGO</t>
        </is>
      </c>
      <c r="F157" t="n">
        <v>1</v>
      </c>
      <c r="G157" t="n">
        <v>0.69</v>
      </c>
      <c r="H157" t="inlineStr">
        <is>
          <t>0.69</t>
        </is>
      </c>
      <c r="J157" t="inlineStr">
        <is>
          <t>NICARAGUA CARLOSAMA WILMER SANTIAGO_NICARAGUA CARLOSAMA WILMER SANTIAGO</t>
        </is>
      </c>
      <c r="K157" t="inlineStr">
        <is>
          <t>1002165957001</t>
        </is>
      </c>
      <c r="M157" t="inlineStr">
        <is>
          <t>BTB</t>
        </is>
      </c>
      <c r="N157" t="inlineStr">
        <is>
          <t>CANAL DIRECTO</t>
        </is>
      </c>
    </row>
    <row r="158">
      <c r="A158" t="inlineStr">
        <is>
          <t>05/10/2026</t>
        </is>
      </c>
      <c r="B158" t="inlineStr">
        <is>
          <t>2026-08090</t>
        </is>
      </c>
      <c r="C158" t="inlineStr">
        <is>
          <t>163140_02</t>
        </is>
      </c>
      <c r="D158" t="inlineStr">
        <is>
          <t>163140</t>
        </is>
      </c>
      <c r="E158" t="inlineStr">
        <is>
          <t>HALFSIM TIGO CHIP PREPAGO $3 WP NUMERADO</t>
        </is>
      </c>
      <c r="F158" t="n">
        <v>2000</v>
      </c>
      <c r="G158" t="n">
        <v>1380</v>
      </c>
      <c r="H158" t="inlineStr">
        <is>
          <t>0.69</t>
        </is>
      </c>
      <c r="J158" t="inlineStr">
        <is>
          <t>BLUE CHIP PDA_PAOLA MARICELA MORAN</t>
        </is>
      </c>
      <c r="K158" t="inlineStr">
        <is>
          <t>1703799922</t>
        </is>
      </c>
      <c r="M158" t="inlineStr">
        <is>
          <t>INDIRECTO</t>
        </is>
      </c>
      <c r="N158" t="inlineStr">
        <is>
          <t>CANAL INDIRECTO</t>
        </is>
      </c>
    </row>
    <row r="159">
      <c r="A159" t="inlineStr">
        <is>
          <t>05/10/2026</t>
        </is>
      </c>
      <c r="B159" t="inlineStr">
        <is>
          <t>2026-08093</t>
        </is>
      </c>
      <c r="C159" t="inlineStr">
        <is>
          <t>163140_02</t>
        </is>
      </c>
      <c r="D159" t="inlineStr">
        <is>
          <t>163140</t>
        </is>
      </c>
      <c r="E159" t="inlineStr">
        <is>
          <t>HALFSIM TIGO CHIP PREPAGO $3 WP NUMERADO</t>
        </is>
      </c>
      <c r="F159" t="n">
        <v>200</v>
      </c>
      <c r="G159" t="n">
        <v>138</v>
      </c>
      <c r="H159" t="inlineStr">
        <is>
          <t>0.69</t>
        </is>
      </c>
      <c r="J159" t="inlineStr">
        <is>
          <t>AGILCOM UIO_AZUCENA LOPEZ</t>
        </is>
      </c>
      <c r="K159" t="inlineStr">
        <is>
          <t>1713470456001</t>
        </is>
      </c>
      <c r="M159" t="inlineStr">
        <is>
          <t>INDIRECTO</t>
        </is>
      </c>
      <c r="N159" t="inlineStr">
        <is>
          <t>CANAL INDIRECTO</t>
        </is>
      </c>
    </row>
    <row r="160">
      <c r="A160" t="inlineStr">
        <is>
          <t>05/10/2026</t>
        </is>
      </c>
      <c r="B160" t="inlineStr">
        <is>
          <t>2026-08093</t>
        </is>
      </c>
      <c r="C160" t="inlineStr">
        <is>
          <t>163140_06</t>
        </is>
      </c>
      <c r="D160" t="inlineStr">
        <is>
          <t>163140</t>
        </is>
      </c>
      <c r="E160" t="inlineStr">
        <is>
          <t>HALFSIM TIGO PORTABILIDAD</t>
        </is>
      </c>
      <c r="F160" t="n">
        <v>400</v>
      </c>
      <c r="G160" t="n">
        <v>276</v>
      </c>
      <c r="H160" t="inlineStr">
        <is>
          <t>0.69</t>
        </is>
      </c>
      <c r="J160" t="inlineStr">
        <is>
          <t>AGILCOM UIO_AZUCENA LOPEZ</t>
        </is>
      </c>
      <c r="K160" t="inlineStr">
        <is>
          <t>1713470456001</t>
        </is>
      </c>
      <c r="M160" t="inlineStr">
        <is>
          <t>INDIRECTO</t>
        </is>
      </c>
      <c r="N160" t="inlineStr">
        <is>
          <t>CANAL INDIRECTO</t>
        </is>
      </c>
    </row>
    <row r="161">
      <c r="A161" t="inlineStr">
        <is>
          <t>05/10/2026</t>
        </is>
      </c>
      <c r="B161" t="inlineStr">
        <is>
          <t>2026-08094</t>
        </is>
      </c>
      <c r="C161" t="inlineStr">
        <is>
          <t>163140_02</t>
        </is>
      </c>
      <c r="D161" t="inlineStr">
        <is>
          <t>163140</t>
        </is>
      </c>
      <c r="E161" t="inlineStr">
        <is>
          <t>HALFSIM TIGO CHIP PREPAGO $3 WP NUMERADO</t>
        </is>
      </c>
      <c r="F161" t="n">
        <v>2000</v>
      </c>
      <c r="G161" t="n">
        <v>1380</v>
      </c>
      <c r="H161" t="inlineStr">
        <is>
          <t>0.69</t>
        </is>
      </c>
      <c r="J161" t="inlineStr">
        <is>
          <t>TUTELNEW  - TUENTI - GUAYAS_MARIO JAVIER GIL CEVALLOS</t>
        </is>
      </c>
      <c r="K161" t="inlineStr">
        <is>
          <t>0925805525001</t>
        </is>
      </c>
      <c r="M161" t="inlineStr">
        <is>
          <t>INDIRECTO</t>
        </is>
      </c>
      <c r="N161" t="inlineStr">
        <is>
          <t>CANAL INDIRECTO</t>
        </is>
      </c>
    </row>
    <row r="162">
      <c r="A162" t="inlineStr">
        <is>
          <t>05/10/2026</t>
        </is>
      </c>
      <c r="B162" t="inlineStr">
        <is>
          <t>2026-08094</t>
        </is>
      </c>
      <c r="C162" t="inlineStr">
        <is>
          <t>163140_06</t>
        </is>
      </c>
      <c r="D162" t="inlineStr">
        <is>
          <t>163140</t>
        </is>
      </c>
      <c r="E162" t="inlineStr">
        <is>
          <t>HALFSIM TIGO PORTABILIDAD</t>
        </is>
      </c>
      <c r="F162" t="n">
        <v>100</v>
      </c>
      <c r="G162" t="n">
        <v>69</v>
      </c>
      <c r="H162" t="inlineStr">
        <is>
          <t>0.69</t>
        </is>
      </c>
      <c r="J162" t="inlineStr">
        <is>
          <t>TUTELNEW  - TUENTI - GUAYAS_MARIO JAVIER GIL CEVALLOS</t>
        </is>
      </c>
      <c r="K162" t="inlineStr">
        <is>
          <t>0925805525001</t>
        </is>
      </c>
      <c r="M162" t="inlineStr">
        <is>
          <t>INDIRECTO</t>
        </is>
      </c>
      <c r="N162" t="inlineStr">
        <is>
          <t>CANAL INDIRECTO</t>
        </is>
      </c>
    </row>
    <row r="163">
      <c r="A163" t="inlineStr">
        <is>
          <t>05/10/2026</t>
        </is>
      </c>
      <c r="B163" t="inlineStr">
        <is>
          <t>2026-08095</t>
        </is>
      </c>
      <c r="C163" t="inlineStr">
        <is>
          <t>163140_02</t>
        </is>
      </c>
      <c r="D163" t="inlineStr">
        <is>
          <t>163140</t>
        </is>
      </c>
      <c r="E163" t="inlineStr">
        <is>
          <t>HALFSIM TIGO CHIP PREPAGO $3 WP NUMERADO</t>
        </is>
      </c>
      <c r="F163" t="n">
        <v>3000</v>
      </c>
      <c r="G163" t="n">
        <v>2070</v>
      </c>
      <c r="H163" t="inlineStr">
        <is>
          <t>0.69</t>
        </is>
      </c>
      <c r="J163" t="inlineStr">
        <is>
          <t>TELECOS ZONIFICADO TUNGURAHUA _NATALY CAROLINA CUJI FAJARDO</t>
        </is>
      </c>
      <c r="K163" t="inlineStr">
        <is>
          <t>1791415728001</t>
        </is>
      </c>
      <c r="M163" t="inlineStr">
        <is>
          <t>INDIRECTO</t>
        </is>
      </c>
      <c r="N163" t="inlineStr">
        <is>
          <t>CANAL INDIRECTO</t>
        </is>
      </c>
    </row>
    <row r="164">
      <c r="A164" t="inlineStr">
        <is>
          <t>05/10/2026</t>
        </is>
      </c>
      <c r="B164" t="inlineStr">
        <is>
          <t>2026-08101</t>
        </is>
      </c>
      <c r="C164" t="inlineStr">
        <is>
          <t>163140_02</t>
        </is>
      </c>
      <c r="D164" t="inlineStr">
        <is>
          <t>163140</t>
        </is>
      </c>
      <c r="E164" t="inlineStr">
        <is>
          <t>HALFSIM TIGO CHIP PREPAGO $3 WP NUMERADO</t>
        </is>
      </c>
      <c r="F164" t="n">
        <v>3000</v>
      </c>
      <c r="G164" t="n">
        <v>2070</v>
      </c>
      <c r="H164" t="inlineStr">
        <is>
          <t>0.69</t>
        </is>
      </c>
      <c r="J164" t="inlineStr">
        <is>
          <t>ECUATECHNOLOGIES COTOPAXI ZONIFICADOS_JESSICA BALSECA</t>
        </is>
      </c>
      <c r="K164" t="inlineStr">
        <is>
          <t>1791415728001</t>
        </is>
      </c>
      <c r="M164" t="inlineStr">
        <is>
          <t>INDIRECTO</t>
        </is>
      </c>
      <c r="N164" t="inlineStr">
        <is>
          <t>CANAL INDIRECTO</t>
        </is>
      </c>
    </row>
    <row r="165">
      <c r="A165" t="inlineStr">
        <is>
          <t>05/10/2026</t>
        </is>
      </c>
      <c r="B165" t="inlineStr">
        <is>
          <t>2026-08102</t>
        </is>
      </c>
      <c r="C165" t="inlineStr">
        <is>
          <t>163140_06</t>
        </is>
      </c>
      <c r="D165" t="inlineStr">
        <is>
          <t>163140</t>
        </is>
      </c>
      <c r="E165" t="inlineStr">
        <is>
          <t>HALFSIM TIGO PORTABILIDAD</t>
        </is>
      </c>
      <c r="F165" t="n">
        <v>100</v>
      </c>
      <c r="G165" t="n">
        <v>69</v>
      </c>
      <c r="H165" t="inlineStr">
        <is>
          <t>0.69</t>
        </is>
      </c>
      <c r="J165" t="inlineStr">
        <is>
          <t>TUTELNEW LOS RIOS_MARIO JAVIER GIL CEVALLOS</t>
        </is>
      </c>
      <c r="K165" t="inlineStr">
        <is>
          <t>0925805525</t>
        </is>
      </c>
      <c r="M165" t="inlineStr">
        <is>
          <t>INDIRECTO</t>
        </is>
      </c>
      <c r="N165" t="inlineStr">
        <is>
          <t>CANAL INDIRECTO</t>
        </is>
      </c>
    </row>
    <row r="166">
      <c r="A166" t="inlineStr">
        <is>
          <t>05/10/2026</t>
        </is>
      </c>
      <c r="B166" t="inlineStr">
        <is>
          <t>2026-08103</t>
        </is>
      </c>
      <c r="C166" t="inlineStr">
        <is>
          <t>163140_02</t>
        </is>
      </c>
      <c r="D166" t="inlineStr">
        <is>
          <t>163140</t>
        </is>
      </c>
      <c r="E166" t="inlineStr">
        <is>
          <t>HALFSIM TIGO CHIP PREPAGO $3 WP NUMERADO</t>
        </is>
      </c>
      <c r="F166" t="n">
        <v>500</v>
      </c>
      <c r="G166" t="n">
        <v>345</v>
      </c>
      <c r="H166" t="inlineStr">
        <is>
          <t>0.69</t>
        </is>
      </c>
      <c r="J166" t="inlineStr">
        <is>
          <t>TELECOS TUNGURAHUA  PDA_ABIGAIL PEREZ SAILEMA</t>
        </is>
      </c>
      <c r="K166" t="inlineStr">
        <is>
          <t>0503079535</t>
        </is>
      </c>
      <c r="M166" t="inlineStr">
        <is>
          <t>INDIRECTO</t>
        </is>
      </c>
      <c r="N166" t="inlineStr">
        <is>
          <t>CANAL INDIRECTO</t>
        </is>
      </c>
    </row>
    <row r="167">
      <c r="A167" t="inlineStr">
        <is>
          <t>05/10/2026</t>
        </is>
      </c>
      <c r="B167" t="inlineStr">
        <is>
          <t>2026-08104</t>
        </is>
      </c>
      <c r="C167" t="inlineStr">
        <is>
          <t>163140</t>
        </is>
      </c>
      <c r="D167" t="inlineStr">
        <is>
          <t>163140</t>
        </is>
      </c>
      <c r="E167" t="inlineStr">
        <is>
          <t>HALFSIM TIGO</t>
        </is>
      </c>
      <c r="F167" t="n">
        <v>100</v>
      </c>
      <c r="G167" t="n">
        <v>69</v>
      </c>
      <c r="H167" t="inlineStr">
        <is>
          <t>0.69</t>
        </is>
      </c>
      <c r="J167" t="inlineStr">
        <is>
          <t>PDV LOW COST SMARTPHONELANDIA S.A.S. UNICENTRO_JOSIELY GILER</t>
        </is>
      </c>
      <c r="K167" t="inlineStr">
        <is>
          <t>0918930660</t>
        </is>
      </c>
      <c r="M167" t="inlineStr">
        <is>
          <t>INDIRECTO</t>
        </is>
      </c>
      <c r="N167" t="inlineStr">
        <is>
          <t>CANAL INDIRECTO</t>
        </is>
      </c>
    </row>
    <row r="168">
      <c r="A168" t="inlineStr">
        <is>
          <t>05/10/2026</t>
        </is>
      </c>
      <c r="B168" t="inlineStr">
        <is>
          <t>2026-08104</t>
        </is>
      </c>
      <c r="C168" t="inlineStr">
        <is>
          <t>163141</t>
        </is>
      </c>
      <c r="D168" t="inlineStr">
        <is>
          <t>163141</t>
        </is>
      </c>
      <c r="E168" t="inlineStr">
        <is>
          <t>ESIM TIGO DIGITAL</t>
        </is>
      </c>
      <c r="F168" t="n">
        <v>20</v>
      </c>
      <c r="G168" t="n">
        <v>4.2</v>
      </c>
      <c r="H168" t="inlineStr">
        <is>
          <t>0.21</t>
        </is>
      </c>
      <c r="J168" t="inlineStr">
        <is>
          <t>PDV LOW COST SMARTPHONELANDIA S.A.S. UNICENTRO_JOSIELY GILER</t>
        </is>
      </c>
      <c r="K168" t="inlineStr">
        <is>
          <t>0918930660</t>
        </is>
      </c>
      <c r="M168" t="inlineStr">
        <is>
          <t>INDIRECTO</t>
        </is>
      </c>
      <c r="N168" t="inlineStr">
        <is>
          <t>CANAL INDIRECTO</t>
        </is>
      </c>
    </row>
    <row r="169">
      <c r="A169" t="inlineStr">
        <is>
          <t>05/10/2026</t>
        </is>
      </c>
      <c r="B169" t="inlineStr">
        <is>
          <t>2026-08105</t>
        </is>
      </c>
      <c r="C169" t="inlineStr">
        <is>
          <t>163140_02</t>
        </is>
      </c>
      <c r="D169" t="inlineStr">
        <is>
          <t>163140</t>
        </is>
      </c>
      <c r="E169" t="inlineStr">
        <is>
          <t>HALFSIM TIGO CHIP PREPAGO $3 WP NUMERADO</t>
        </is>
      </c>
      <c r="F169" t="n">
        <v>500</v>
      </c>
      <c r="G169" t="n">
        <v>345</v>
      </c>
      <c r="H169" t="inlineStr">
        <is>
          <t>0.69</t>
        </is>
      </c>
      <c r="J169" t="inlineStr">
        <is>
          <t>TELECOS COTOPAXI PDA_JOHANNA VANESSA PLAZA MIRANDA</t>
        </is>
      </c>
      <c r="K169" t="inlineStr">
        <is>
          <t>1720224771</t>
        </is>
      </c>
      <c r="M169" t="inlineStr">
        <is>
          <t>INDIRECTO</t>
        </is>
      </c>
      <c r="N169" t="inlineStr">
        <is>
          <t>CANAL INDIRECTO</t>
        </is>
      </c>
    </row>
    <row r="170">
      <c r="A170" t="inlineStr">
        <is>
          <t>05/10/2026</t>
        </is>
      </c>
      <c r="B170" t="inlineStr">
        <is>
          <t>2026-08106</t>
        </is>
      </c>
      <c r="C170" t="inlineStr">
        <is>
          <t>163140_02</t>
        </is>
      </c>
      <c r="D170" t="inlineStr">
        <is>
          <t>163140</t>
        </is>
      </c>
      <c r="E170" t="inlineStr">
        <is>
          <t>HALFSIM TIGO CHIP PREPAGO $3 WP NUMERADO</t>
        </is>
      </c>
      <c r="F170" t="n">
        <v>500</v>
      </c>
      <c r="G170" t="n">
        <v>345</v>
      </c>
      <c r="H170" t="inlineStr">
        <is>
          <t>0.69</t>
        </is>
      </c>
      <c r="J170" t="inlineStr">
        <is>
          <t>TELECOS CHIMBORAZO PDA_DAYSI JANNETH PARRA CHANGO</t>
        </is>
      </c>
      <c r="K170" t="inlineStr">
        <is>
          <t>0604718841</t>
        </is>
      </c>
      <c r="M170" t="inlineStr">
        <is>
          <t>INDIRECTO</t>
        </is>
      </c>
      <c r="N170" t="inlineStr">
        <is>
          <t>CANAL INDIRECTO</t>
        </is>
      </c>
    </row>
    <row r="171">
      <c r="A171" t="inlineStr">
        <is>
          <t>05/10/2026</t>
        </is>
      </c>
      <c r="B171" t="inlineStr">
        <is>
          <t>2026-08107</t>
        </is>
      </c>
      <c r="C171" t="inlineStr">
        <is>
          <t>163140_02</t>
        </is>
      </c>
      <c r="D171" t="inlineStr">
        <is>
          <t>163140</t>
        </is>
      </c>
      <c r="E171" t="inlineStr">
        <is>
          <t>HALFSIM TIGO CHIP PREPAGO $3 WP NUMERADO</t>
        </is>
      </c>
      <c r="F171" t="n">
        <v>2000</v>
      </c>
      <c r="G171" t="n">
        <v>1380</v>
      </c>
      <c r="H171" t="inlineStr">
        <is>
          <t>0.69</t>
        </is>
      </c>
      <c r="J171" t="inlineStr">
        <is>
          <t>TELECOS RIOBAMBA_ALEJANDRO CACERES / DAYSI PARRA</t>
        </is>
      </c>
      <c r="K171" t="inlineStr">
        <is>
          <t>1791415728001</t>
        </is>
      </c>
      <c r="M171" t="inlineStr">
        <is>
          <t>INDIRECTO</t>
        </is>
      </c>
      <c r="N171" t="inlineStr">
        <is>
          <t>CANAL INDIRECTO</t>
        </is>
      </c>
    </row>
    <row r="172">
      <c r="A172" t="inlineStr">
        <is>
          <t>05/10/2026</t>
        </is>
      </c>
      <c r="B172" t="inlineStr">
        <is>
          <t>2026-08108</t>
        </is>
      </c>
      <c r="C172" t="inlineStr">
        <is>
          <t>163140</t>
        </is>
      </c>
      <c r="D172" t="inlineStr">
        <is>
          <t>163140</t>
        </is>
      </c>
      <c r="E172" t="inlineStr">
        <is>
          <t>HALFSIM TIGO</t>
        </is>
      </c>
      <c r="F172" t="n">
        <v>150</v>
      </c>
      <c r="G172" t="n">
        <v>103.49999999999999</v>
      </c>
      <c r="H172" t="inlineStr">
        <is>
          <t>0.69</t>
        </is>
      </c>
      <c r="J172" t="inlineStr">
        <is>
          <t>PRUEBAS OTECEL_EDISON NAVARRETE</t>
        </is>
      </c>
      <c r="K172" t="inlineStr">
        <is>
          <t>1715000780</t>
        </is>
      </c>
      <c r="M172" t="inlineStr">
        <is>
          <t>INDIRECTO</t>
        </is>
      </c>
      <c r="N172" t="inlineStr">
        <is>
          <t>CANAL INDIRECTO</t>
        </is>
      </c>
    </row>
    <row r="173">
      <c r="A173" t="inlineStr">
        <is>
          <t>05/10/2026</t>
        </is>
      </c>
      <c r="B173" t="inlineStr">
        <is>
          <t>2026-08108</t>
        </is>
      </c>
      <c r="C173" t="inlineStr">
        <is>
          <t>163140_02</t>
        </is>
      </c>
      <c r="D173" t="inlineStr">
        <is>
          <t>163140</t>
        </is>
      </c>
      <c r="E173" t="inlineStr">
        <is>
          <t>HALFSIM TIGO CHIP PREPAGO $3 WP NUMERADO</t>
        </is>
      </c>
      <c r="F173" t="n">
        <v>100</v>
      </c>
      <c r="G173" t="n">
        <v>69</v>
      </c>
      <c r="H173" t="inlineStr">
        <is>
          <t>0.69</t>
        </is>
      </c>
      <c r="J173" t="inlineStr">
        <is>
          <t>PRUEBAS OTECEL_EDISON NAVARRETE</t>
        </is>
      </c>
      <c r="K173" t="inlineStr">
        <is>
          <t>1715000780</t>
        </is>
      </c>
      <c r="M173" t="inlineStr">
        <is>
          <t>INDIRECTO</t>
        </is>
      </c>
      <c r="N173" t="inlineStr">
        <is>
          <t>CANAL INDIRECTO</t>
        </is>
      </c>
    </row>
    <row r="174">
      <c r="A174" t="inlineStr">
        <is>
          <t>05/10/2026</t>
        </is>
      </c>
      <c r="B174" t="inlineStr">
        <is>
          <t>2026-08108</t>
        </is>
      </c>
      <c r="C174" t="inlineStr">
        <is>
          <t>163141</t>
        </is>
      </c>
      <c r="D174" t="inlineStr">
        <is>
          <t>163141</t>
        </is>
      </c>
      <c r="E174" t="inlineStr">
        <is>
          <t>ESIM TIGO DIGITAL</t>
        </is>
      </c>
      <c r="F174" t="n">
        <v>50</v>
      </c>
      <c r="G174" t="n">
        <v>10.5</v>
      </c>
      <c r="H174" t="inlineStr">
        <is>
          <t>0.21</t>
        </is>
      </c>
      <c r="J174" t="inlineStr">
        <is>
          <t>PRUEBAS OTECEL_EDISON NAVARRETE</t>
        </is>
      </c>
      <c r="K174" t="inlineStr">
        <is>
          <t>1715000780</t>
        </is>
      </c>
      <c r="M174" t="inlineStr">
        <is>
          <t>INDIRECTO</t>
        </is>
      </c>
      <c r="N174" t="inlineStr">
        <is>
          <t>CANAL INDIRECTO</t>
        </is>
      </c>
    </row>
    <row r="175">
      <c r="A175" t="inlineStr">
        <is>
          <t>05/10/2026</t>
        </is>
      </c>
      <c r="B175" t="inlineStr">
        <is>
          <t>16502401</t>
        </is>
      </c>
      <c r="C175" t="inlineStr">
        <is>
          <t>163140</t>
        </is>
      </c>
      <c r="D175" t="inlineStr">
        <is>
          <t>163140</t>
        </is>
      </c>
      <c r="E175" t="inlineStr">
        <is>
          <t>HALFSIM TIGO</t>
        </is>
      </c>
      <c r="F175" t="n">
        <v>1</v>
      </c>
      <c r="G175" t="n">
        <v>0.69</v>
      </c>
      <c r="H175" t="inlineStr">
        <is>
          <t>0.69</t>
        </is>
      </c>
      <c r="J175" t="inlineStr">
        <is>
          <t>PEPITA SUAREZ_ NOVAECUADOR S A AGENCIA ASESORA</t>
        </is>
      </c>
      <c r="K175" t="inlineStr">
        <is>
          <t>1791297121001</t>
        </is>
      </c>
      <c r="M175" t="inlineStr">
        <is>
          <t>BTB</t>
        </is>
      </c>
      <c r="N175" t="inlineStr">
        <is>
          <t>CANAL DIRECTO</t>
        </is>
      </c>
    </row>
    <row r="176">
      <c r="A176" t="inlineStr">
        <is>
          <t>05/10/2026</t>
        </is>
      </c>
      <c r="B176" t="inlineStr">
        <is>
          <t>16502402</t>
        </is>
      </c>
      <c r="C176" t="inlineStr">
        <is>
          <t>163140</t>
        </is>
      </c>
      <c r="D176" t="inlineStr">
        <is>
          <t>163140</t>
        </is>
      </c>
      <c r="E176" t="inlineStr">
        <is>
          <t>HALFSIM TIGO</t>
        </is>
      </c>
      <c r="F176" t="n">
        <v>1</v>
      </c>
      <c r="G176" t="n">
        <v>0.69</v>
      </c>
      <c r="H176" t="inlineStr">
        <is>
          <t>0.69</t>
        </is>
      </c>
      <c r="J176" t="inlineStr">
        <is>
          <t>JOHANA QUEZADA_ EC DOMINIOS ECUADOR S A S</t>
        </is>
      </c>
      <c r="K176" t="inlineStr">
        <is>
          <t>1793199404001</t>
        </is>
      </c>
      <c r="M176" t="inlineStr">
        <is>
          <t>BTB</t>
        </is>
      </c>
      <c r="N176" t="inlineStr">
        <is>
          <t>CANAL DIRECTO</t>
        </is>
      </c>
    </row>
    <row r="177">
      <c r="A177" t="inlineStr">
        <is>
          <t>05/10/2026</t>
        </is>
      </c>
      <c r="B177" t="inlineStr">
        <is>
          <t>16502431</t>
        </is>
      </c>
      <c r="C177" t="inlineStr">
        <is>
          <t>163140</t>
        </is>
      </c>
      <c r="D177" t="inlineStr">
        <is>
          <t>163140</t>
        </is>
      </c>
      <c r="E177" t="inlineStr">
        <is>
          <t>HALFSIM TIGO</t>
        </is>
      </c>
      <c r="F177" t="n">
        <v>3</v>
      </c>
      <c r="G177" t="n">
        <v>2.0699999999999998</v>
      </c>
      <c r="H177" t="inlineStr">
        <is>
          <t>0.69</t>
        </is>
      </c>
      <c r="J177" t="inlineStr">
        <is>
          <t>MARIA GABRIELA QUISHPE LOPEZ_S STUDIOSS C L</t>
        </is>
      </c>
      <c r="K177" t="inlineStr">
        <is>
          <t>1793217659001</t>
        </is>
      </c>
      <c r="M177" t="inlineStr">
        <is>
          <t>BTB</t>
        </is>
      </c>
      <c r="N177" t="inlineStr">
        <is>
          <t>CANAL DIRECTO</t>
        </is>
      </c>
    </row>
    <row r="178">
      <c r="A178" t="inlineStr">
        <is>
          <t>05/10/2026</t>
        </is>
      </c>
      <c r="B178" t="inlineStr">
        <is>
          <t>16502464</t>
        </is>
      </c>
      <c r="C178" t="inlineStr">
        <is>
          <t>163140</t>
        </is>
      </c>
      <c r="D178" t="inlineStr">
        <is>
          <t>163140</t>
        </is>
      </c>
      <c r="E178" t="inlineStr">
        <is>
          <t>HALFSIM TIGO</t>
        </is>
      </c>
      <c r="F178" t="n">
        <v>1</v>
      </c>
      <c r="G178" t="n">
        <v>0.69</v>
      </c>
      <c r="H178" t="inlineStr">
        <is>
          <t>0.69</t>
        </is>
      </c>
      <c r="J178" t="inlineStr">
        <is>
          <t>PAULINA LARA_VITA ALIMENTOS C A</t>
        </is>
      </c>
      <c r="K178" t="inlineStr">
        <is>
          <t>1790050564001</t>
        </is>
      </c>
      <c r="M178" t="inlineStr">
        <is>
          <t>BTB</t>
        </is>
      </c>
      <c r="N178" t="inlineStr">
        <is>
          <t>CANAL DIRECTO</t>
        </is>
      </c>
    </row>
    <row r="179">
      <c r="A179" t="inlineStr">
        <is>
          <t>05/10/2026</t>
        </is>
      </c>
      <c r="B179" t="inlineStr">
        <is>
          <t>16502867</t>
        </is>
      </c>
      <c r="C179" t="inlineStr">
        <is>
          <t>163140</t>
        </is>
      </c>
      <c r="D179" t="inlineStr">
        <is>
          <t>163140</t>
        </is>
      </c>
      <c r="E179" t="inlineStr">
        <is>
          <t>HALFSIM TIGO</t>
        </is>
      </c>
      <c r="F179" t="n">
        <v>1</v>
      </c>
      <c r="G179" t="n">
        <v>0.69</v>
      </c>
      <c r="H179" t="inlineStr">
        <is>
          <t>0.69</t>
        </is>
      </c>
      <c r="J179" t="inlineStr">
        <is>
          <t>HENRRY VINICIO BRAVO ESTEVEZ_HENRRY VINICIO BRAVO ESTEVEZ</t>
        </is>
      </c>
      <c r="K179" t="inlineStr">
        <is>
          <t>1715058507001</t>
        </is>
      </c>
      <c r="M179" t="inlineStr">
        <is>
          <t>BTB</t>
        </is>
      </c>
      <c r="N179" t="inlineStr">
        <is>
          <t>CANAL DIRECTO</t>
        </is>
      </c>
    </row>
    <row r="180">
      <c r="A180" t="inlineStr">
        <is>
          <t>05/10/2026</t>
        </is>
      </c>
      <c r="B180" t="inlineStr">
        <is>
          <t>16502868</t>
        </is>
      </c>
      <c r="C180" t="inlineStr">
        <is>
          <t>163140</t>
        </is>
      </c>
      <c r="D180" t="inlineStr">
        <is>
          <t>163140</t>
        </is>
      </c>
      <c r="E180" t="inlineStr">
        <is>
          <t>HALFSIM TIGO</t>
        </is>
      </c>
      <c r="F180" t="n">
        <v>11</v>
      </c>
      <c r="G180" t="n">
        <v>7.59</v>
      </c>
      <c r="H180" t="inlineStr">
        <is>
          <t>0.69</t>
        </is>
      </c>
      <c r="J180" t="inlineStr">
        <is>
          <t>LUNAPIEL S C C_LUNAPIEL S C C</t>
        </is>
      </c>
      <c r="K180" t="inlineStr">
        <is>
          <t>1793167829001</t>
        </is>
      </c>
      <c r="M180" t="inlineStr">
        <is>
          <t>BTB</t>
        </is>
      </c>
      <c r="N180" t="inlineStr">
        <is>
          <t>CANAL DIRECTO</t>
        </is>
      </c>
    </row>
    <row r="181">
      <c r="A181" t="inlineStr">
        <is>
          <t>06/10/2026</t>
        </is>
      </c>
      <c r="B181" t="inlineStr">
        <is>
          <t>97723174</t>
        </is>
      </c>
      <c r="C181" t="inlineStr">
        <is>
          <t>163140</t>
        </is>
      </c>
      <c r="D181" t="inlineStr">
        <is>
          <t>163140</t>
        </is>
      </c>
      <c r="E181" t="inlineStr">
        <is>
          <t>HALFSIM TIGO</t>
        </is>
      </c>
      <c r="F181" t="n">
        <v>1</v>
      </c>
      <c r="G181" t="n">
        <v>0.69</v>
      </c>
      <c r="H181" t="inlineStr">
        <is>
          <t>0.69</t>
        </is>
      </c>
      <c r="J181" t="inlineStr">
        <is>
          <t>Bri Macay</t>
        </is>
      </c>
      <c r="K181" t="inlineStr">
        <is>
          <t>0944108455</t>
        </is>
      </c>
      <c r="L181" t="inlineStr">
        <is>
          <t>Guayaquil</t>
        </is>
      </c>
      <c r="M181" t="inlineStr">
        <is>
          <t>Cliente Final</t>
        </is>
      </c>
      <c r="N181" t="inlineStr">
        <is>
          <t>CANAL INDIRECTO</t>
        </is>
      </c>
    </row>
    <row r="182">
      <c r="A182" t="inlineStr">
        <is>
          <t>06/10/2026</t>
        </is>
      </c>
      <c r="B182" t="inlineStr">
        <is>
          <t>97728907</t>
        </is>
      </c>
      <c r="C182" t="inlineStr">
        <is>
          <t>163140</t>
        </is>
      </c>
      <c r="D182" t="inlineStr">
        <is>
          <t>163140</t>
        </is>
      </c>
      <c r="E182" t="inlineStr">
        <is>
          <t>HALFSIM TIGO</t>
        </is>
      </c>
      <c r="F182" t="n">
        <v>1</v>
      </c>
      <c r="G182" t="n">
        <v>0.69</v>
      </c>
      <c r="H182" t="inlineStr">
        <is>
          <t>0.69</t>
        </is>
      </c>
      <c r="J182" t="inlineStr">
        <is>
          <t>JUSTYN STALIN LLORE NORIEGA</t>
        </is>
      </c>
      <c r="K182" t="inlineStr">
        <is>
          <t>0750825069</t>
        </is>
      </c>
      <c r="L182" t="inlineStr">
        <is>
          <t>Manta</t>
        </is>
      </c>
      <c r="M182" t="inlineStr">
        <is>
          <t>Cliente Final</t>
        </is>
      </c>
      <c r="N182" t="inlineStr">
        <is>
          <t>CANAL INDIRECTO</t>
        </is>
      </c>
    </row>
    <row r="183">
      <c r="A183" t="inlineStr">
        <is>
          <t>06/10/2026</t>
        </is>
      </c>
      <c r="B183" t="inlineStr">
        <is>
          <t>97728907</t>
        </is>
      </c>
      <c r="C183" t="inlineStr">
        <is>
          <t>163140</t>
        </is>
      </c>
      <c r="D183" t="inlineStr">
        <is>
          <t>163140</t>
        </is>
      </c>
      <c r="E183" t="inlineStr">
        <is>
          <t>HALFSIM TIGO</t>
        </is>
      </c>
      <c r="F183" t="n">
        <v>1</v>
      </c>
      <c r="G183" t="n">
        <v>0.69</v>
      </c>
      <c r="H183" t="inlineStr">
        <is>
          <t>0.69</t>
        </is>
      </c>
      <c r="J183" t="inlineStr">
        <is>
          <t>JUSTYN STALIN LLORE NORIEGA</t>
        </is>
      </c>
      <c r="K183" t="inlineStr">
        <is>
          <t>0750825069</t>
        </is>
      </c>
      <c r="L183" t="inlineStr">
        <is>
          <t>Manta</t>
        </is>
      </c>
      <c r="M183" t="inlineStr">
        <is>
          <t>Cliente Final</t>
        </is>
      </c>
      <c r="N183" t="inlineStr">
        <is>
          <t>CANAL INDIRECTO</t>
        </is>
      </c>
    </row>
    <row r="184">
      <c r="A184" t="inlineStr">
        <is>
          <t>06/10/2026</t>
        </is>
      </c>
      <c r="B184" t="inlineStr">
        <is>
          <t>16502171</t>
        </is>
      </c>
      <c r="C184" t="inlineStr">
        <is>
          <t>163140</t>
        </is>
      </c>
      <c r="D184" t="inlineStr">
        <is>
          <t>163140</t>
        </is>
      </c>
      <c r="E184" t="inlineStr">
        <is>
          <t>HALFSIM TIGO</t>
        </is>
      </c>
      <c r="F184" t="n">
        <v>10</v>
      </c>
      <c r="G184" t="n">
        <v>6.8999999999999995</v>
      </c>
      <c r="H184" t="inlineStr">
        <is>
          <t>0.69</t>
        </is>
      </c>
      <c r="J184" t="inlineStr">
        <is>
          <t>ESTEFANIA CRUZ_PAYLESS SHOESOURCE ECUADOR CIA LTDA</t>
        </is>
      </c>
      <c r="K184" t="inlineStr">
        <is>
          <t>1791807529001</t>
        </is>
      </c>
      <c r="M184" t="inlineStr">
        <is>
          <t>BTB</t>
        </is>
      </c>
      <c r="N184" t="inlineStr">
        <is>
          <t>CANAL DIRECTO</t>
        </is>
      </c>
    </row>
    <row r="185">
      <c r="A185" t="inlineStr">
        <is>
          <t>06/10/2026</t>
        </is>
      </c>
      <c r="B185" t="inlineStr">
        <is>
          <t>16502271</t>
        </is>
      </c>
      <c r="C185" t="inlineStr">
        <is>
          <t>163140</t>
        </is>
      </c>
      <c r="D185" t="inlineStr">
        <is>
          <t>163140</t>
        </is>
      </c>
      <c r="E185" t="inlineStr">
        <is>
          <t>HALFSIM TIGO</t>
        </is>
      </c>
      <c r="F185" t="n">
        <v>1</v>
      </c>
      <c r="G185" t="n">
        <v>0.69</v>
      </c>
      <c r="H185" t="inlineStr">
        <is>
          <t>0.69</t>
        </is>
      </c>
      <c r="J185" t="inlineStr">
        <is>
          <t>MARCILLO BURGOS JACSON ANDRES_CLOVERJAS S A S</t>
        </is>
      </c>
      <c r="K185" t="inlineStr">
        <is>
          <t>1793229559001</t>
        </is>
      </c>
      <c r="M185" t="inlineStr">
        <is>
          <t>BTB</t>
        </is>
      </c>
      <c r="N185" t="inlineStr">
        <is>
          <t>CANAL DIRECTO</t>
        </is>
      </c>
    </row>
    <row r="186">
      <c r="A186" t="inlineStr">
        <is>
          <t>06/10/2026</t>
        </is>
      </c>
      <c r="B186" t="inlineStr">
        <is>
          <t>97723566</t>
        </is>
      </c>
      <c r="C186" t="inlineStr">
        <is>
          <t>163140</t>
        </is>
      </c>
      <c r="D186" t="inlineStr">
        <is>
          <t>163140</t>
        </is>
      </c>
      <c r="E186" t="inlineStr">
        <is>
          <t>HALFSIM TIGO</t>
        </is>
      </c>
      <c r="F186" t="n">
        <v>1</v>
      </c>
      <c r="G186" t="n">
        <v>0.69</v>
      </c>
      <c r="H186" t="inlineStr">
        <is>
          <t>0.69</t>
        </is>
      </c>
      <c r="J186" t="inlineStr">
        <is>
          <t>Faiber Leal</t>
        </is>
      </c>
      <c r="K186" t="inlineStr">
        <is>
          <t>1758545014</t>
        </is>
      </c>
      <c r="L186" t="inlineStr">
        <is>
          <t>-0.2042218,-78.5011966</t>
        </is>
      </c>
      <c r="M186" t="inlineStr">
        <is>
          <t>Cliente Final</t>
        </is>
      </c>
      <c r="N186" t="inlineStr">
        <is>
          <t>CANAL INDIRECTO</t>
        </is>
      </c>
    </row>
    <row r="187">
      <c r="A187" t="inlineStr">
        <is>
          <t>06/10/2026</t>
        </is>
      </c>
      <c r="B187" t="inlineStr">
        <is>
          <t>97723707</t>
        </is>
      </c>
      <c r="C187" t="inlineStr">
        <is>
          <t>163140</t>
        </is>
      </c>
      <c r="D187" t="inlineStr">
        <is>
          <t>163140</t>
        </is>
      </c>
      <c r="E187" t="inlineStr">
        <is>
          <t>HALFSIM TIGO</t>
        </is>
      </c>
      <c r="F187" t="n">
        <v>1</v>
      </c>
      <c r="G187" t="n">
        <v>0.69</v>
      </c>
      <c r="H187" t="inlineStr">
        <is>
          <t>0.69</t>
        </is>
      </c>
      <c r="J187" t="inlineStr">
        <is>
          <t>Jonathan Carvajal</t>
        </is>
      </c>
      <c r="K187" t="inlineStr">
        <is>
          <t>1850218379</t>
        </is>
      </c>
      <c r="L187" t="inlineStr">
        <is>
          <t>-1.23523,-78.60664</t>
        </is>
      </c>
      <c r="M187" t="inlineStr">
        <is>
          <t>Cliente Final</t>
        </is>
      </c>
      <c r="N187" t="inlineStr">
        <is>
          <t>CANAL INDIRECTO</t>
        </is>
      </c>
    </row>
    <row r="188">
      <c r="A188" t="inlineStr">
        <is>
          <t>06/10/2026</t>
        </is>
      </c>
      <c r="B188" t="inlineStr">
        <is>
          <t>97727567</t>
        </is>
      </c>
      <c r="C188" t="inlineStr">
        <is>
          <t>163140</t>
        </is>
      </c>
      <c r="D188" t="inlineStr">
        <is>
          <t>163140</t>
        </is>
      </c>
      <c r="E188" t="inlineStr">
        <is>
          <t>HALFSIM TIGO</t>
        </is>
      </c>
      <c r="F188" t="n">
        <v>1</v>
      </c>
      <c r="G188" t="n">
        <v>0.69</v>
      </c>
      <c r="H188" t="inlineStr">
        <is>
          <t>0.69</t>
        </is>
      </c>
      <c r="J188" t="inlineStr">
        <is>
          <t>Milena Leon</t>
        </is>
      </c>
      <c r="K188" t="inlineStr">
        <is>
          <t>0943941252</t>
        </is>
      </c>
      <c r="L188" t="inlineStr">
        <is>
          <t>-2.1470277,-79.8691663</t>
        </is>
      </c>
      <c r="M188" t="inlineStr">
        <is>
          <t>Cliente Final</t>
        </is>
      </c>
      <c r="N188" t="inlineStr">
        <is>
          <t>CANAL INDIRECTO</t>
        </is>
      </c>
    </row>
    <row r="189">
      <c r="A189" t="inlineStr">
        <is>
          <t>06/10/2026</t>
        </is>
      </c>
      <c r="B189" t="inlineStr">
        <is>
          <t>16502305</t>
        </is>
      </c>
      <c r="C189" t="inlineStr">
        <is>
          <t>163140</t>
        </is>
      </c>
      <c r="D189" t="inlineStr">
        <is>
          <t>163140</t>
        </is>
      </c>
      <c r="E189" t="inlineStr">
        <is>
          <t>HALFSIM TIGO</t>
        </is>
      </c>
      <c r="F189" t="n">
        <v>1</v>
      </c>
      <c r="G189" t="n">
        <v>0.69</v>
      </c>
      <c r="H189" t="inlineStr">
        <is>
          <t>0.69</t>
        </is>
      </c>
      <c r="J189" t="inlineStr">
        <is>
          <t>HURTADO VALENCIA EMIL RICARDO_HURTADO VALENCIA EMIL RICARDO</t>
        </is>
      </c>
      <c r="K189" t="inlineStr">
        <is>
          <t>0703902908001</t>
        </is>
      </c>
      <c r="M189" t="inlineStr">
        <is>
          <t>BTB</t>
        </is>
      </c>
      <c r="N189" t="inlineStr">
        <is>
          <t>CANAL DIRECTO</t>
        </is>
      </c>
    </row>
    <row r="190">
      <c r="A190" t="inlineStr">
        <is>
          <t>06/10/2026</t>
        </is>
      </c>
      <c r="B190" t="inlineStr">
        <is>
          <t>16502390</t>
        </is>
      </c>
      <c r="C190" t="inlineStr">
        <is>
          <t>163140</t>
        </is>
      </c>
      <c r="D190" t="inlineStr">
        <is>
          <t>163140</t>
        </is>
      </c>
      <c r="E190" t="inlineStr">
        <is>
          <t>HALFSIM TIGO</t>
        </is>
      </c>
      <c r="F190" t="n">
        <v>2</v>
      </c>
      <c r="G190" t="n">
        <v>1.38</v>
      </c>
      <c r="H190" t="inlineStr">
        <is>
          <t>0.69</t>
        </is>
      </c>
      <c r="J190" t="inlineStr">
        <is>
          <t>PAEZ NARANJO JUAN CARLOS_THEMPANDINA S A</t>
        </is>
      </c>
      <c r="K190" t="inlineStr">
        <is>
          <t>1792205638001</t>
        </is>
      </c>
      <c r="M190" t="inlineStr">
        <is>
          <t>BTB</t>
        </is>
      </c>
      <c r="N190" t="inlineStr">
        <is>
          <t>CANAL DIRECTO</t>
        </is>
      </c>
    </row>
    <row r="191">
      <c r="A191" t="inlineStr">
        <is>
          <t>06/10/2026</t>
        </is>
      </c>
      <c r="B191" t="inlineStr">
        <is>
          <t>16502395</t>
        </is>
      </c>
      <c r="C191" t="inlineStr">
        <is>
          <t>163140</t>
        </is>
      </c>
      <c r="D191" t="inlineStr">
        <is>
          <t>163140</t>
        </is>
      </c>
      <c r="E191" t="inlineStr">
        <is>
          <t>HALFSIM TIGO</t>
        </is>
      </c>
      <c r="F191" t="n">
        <v>1</v>
      </c>
      <c r="G191" t="n">
        <v>0.69</v>
      </c>
      <c r="H191" t="inlineStr">
        <is>
          <t>0.69</t>
        </is>
      </c>
      <c r="J191" t="inlineStr">
        <is>
          <t>NICARAGUA CARLOSAMA WILMER SANTIAGO_NICARAGUA CARLOSAMA WILMER SANTIAGO</t>
        </is>
      </c>
      <c r="K191" t="inlineStr">
        <is>
          <t>1002165957001</t>
        </is>
      </c>
      <c r="M191" t="inlineStr">
        <is>
          <t>BTB</t>
        </is>
      </c>
      <c r="N191" t="inlineStr">
        <is>
          <t>CANAL DIRECTO</t>
        </is>
      </c>
    </row>
    <row r="192">
      <c r="A192" t="inlineStr">
        <is>
          <t>06/10/2026</t>
        </is>
      </c>
      <c r="B192" t="inlineStr">
        <is>
          <t>2026-08101</t>
        </is>
      </c>
      <c r="C192" t="inlineStr">
        <is>
          <t>163140_02</t>
        </is>
      </c>
      <c r="D192" t="inlineStr">
        <is>
          <t>163140</t>
        </is>
      </c>
      <c r="E192" t="inlineStr">
        <is>
          <t>HALFSIM TIGO CHIP PREPAGO $3 WP NUMERADO</t>
        </is>
      </c>
      <c r="F192" t="n">
        <v>3000</v>
      </c>
      <c r="G192" t="n">
        <v>2070</v>
      </c>
      <c r="H192" t="inlineStr">
        <is>
          <t>0.69</t>
        </is>
      </c>
      <c r="J192" t="inlineStr">
        <is>
          <t>ECUATECHNOLOGIES COTOPAXI ZONIFICADOS_JESSICA BALSECA</t>
        </is>
      </c>
      <c r="K192" t="inlineStr">
        <is>
          <t>1791415728001</t>
        </is>
      </c>
      <c r="M192" t="inlineStr">
        <is>
          <t>INDIRECTO</t>
        </is>
      </c>
      <c r="N192" t="inlineStr">
        <is>
          <t>CANAL INDIRECTO</t>
        </is>
      </c>
    </row>
    <row r="193">
      <c r="A193" t="inlineStr">
        <is>
          <t>06/10/2026</t>
        </is>
      </c>
      <c r="B193" t="inlineStr">
        <is>
          <t>2026-08105</t>
        </is>
      </c>
      <c r="C193" t="inlineStr">
        <is>
          <t>163140_02</t>
        </is>
      </c>
      <c r="D193" t="inlineStr">
        <is>
          <t>163140</t>
        </is>
      </c>
      <c r="E193" t="inlineStr">
        <is>
          <t>HALFSIM TIGO CHIP PREPAGO $3 WP NUMERADO</t>
        </is>
      </c>
      <c r="F193" t="n">
        <v>500</v>
      </c>
      <c r="G193" t="n">
        <v>345</v>
      </c>
      <c r="H193" t="inlineStr">
        <is>
          <t>0.69</t>
        </is>
      </c>
      <c r="J193" t="inlineStr">
        <is>
          <t>TELECOS COTOPAXI PDA_JOHANNA VANESSA PLAZA MIRANDA</t>
        </is>
      </c>
      <c r="K193" t="inlineStr">
        <is>
          <t>1720224771</t>
        </is>
      </c>
      <c r="M193" t="inlineStr">
        <is>
          <t>INDIRECTO</t>
        </is>
      </c>
      <c r="N193" t="inlineStr">
        <is>
          <t>CANAL INDIRECTO</t>
        </is>
      </c>
    </row>
    <row r="194">
      <c r="A194" t="inlineStr">
        <is>
          <t>06/10/2026</t>
        </is>
      </c>
      <c r="B194" t="inlineStr">
        <is>
          <t>2026-08108</t>
        </is>
      </c>
      <c r="C194" t="inlineStr">
        <is>
          <t>163140</t>
        </is>
      </c>
      <c r="D194" t="inlineStr">
        <is>
          <t>163140</t>
        </is>
      </c>
      <c r="E194" t="inlineStr">
        <is>
          <t>HALFSIM TIGO</t>
        </is>
      </c>
      <c r="F194" t="n">
        <v>150</v>
      </c>
      <c r="G194" t="n">
        <v>103.49999999999999</v>
      </c>
      <c r="H194" t="inlineStr">
        <is>
          <t>0.69</t>
        </is>
      </c>
      <c r="J194" t="inlineStr">
        <is>
          <t>PRUEBAS OTECEL_EDISON NAVARRETE</t>
        </is>
      </c>
      <c r="K194" t="inlineStr">
        <is>
          <t>1715000780</t>
        </is>
      </c>
      <c r="M194" t="inlineStr">
        <is>
          <t>INDIRECTO</t>
        </is>
      </c>
      <c r="N194" t="inlineStr">
        <is>
          <t>CANAL INDIRECTO</t>
        </is>
      </c>
    </row>
    <row r="195">
      <c r="A195" t="inlineStr">
        <is>
          <t>06/10/2026</t>
        </is>
      </c>
      <c r="B195" t="inlineStr">
        <is>
          <t>2026-08108</t>
        </is>
      </c>
      <c r="C195" t="inlineStr">
        <is>
          <t>163140_02</t>
        </is>
      </c>
      <c r="D195" t="inlineStr">
        <is>
          <t>163140</t>
        </is>
      </c>
      <c r="E195" t="inlineStr">
        <is>
          <t>HALFSIM TIGO CHIP PREPAGO $3 WP NUMERADO</t>
        </is>
      </c>
      <c r="F195" t="n">
        <v>100</v>
      </c>
      <c r="G195" t="n">
        <v>69</v>
      </c>
      <c r="H195" t="inlineStr">
        <is>
          <t>0.69</t>
        </is>
      </c>
      <c r="J195" t="inlineStr">
        <is>
          <t>PRUEBAS OTECEL_EDISON NAVARRETE</t>
        </is>
      </c>
      <c r="K195" t="inlineStr">
        <is>
          <t>1715000780</t>
        </is>
      </c>
      <c r="M195" t="inlineStr">
        <is>
          <t>INDIRECTO</t>
        </is>
      </c>
      <c r="N195" t="inlineStr">
        <is>
          <t>CANAL INDIRECTO</t>
        </is>
      </c>
    </row>
    <row r="196">
      <c r="A196" t="inlineStr">
        <is>
          <t>06/10/2026</t>
        </is>
      </c>
      <c r="B196" t="inlineStr">
        <is>
          <t>2026-08108</t>
        </is>
      </c>
      <c r="C196" t="inlineStr">
        <is>
          <t>163141</t>
        </is>
      </c>
      <c r="D196" t="inlineStr">
        <is>
          <t>163141</t>
        </is>
      </c>
      <c r="E196" t="inlineStr">
        <is>
          <t>ESIM TIGO DIGITAL</t>
        </is>
      </c>
      <c r="F196" t="n">
        <v>50</v>
      </c>
      <c r="G196" t="n">
        <v>10.5</v>
      </c>
      <c r="H196" t="inlineStr">
        <is>
          <t>0.21</t>
        </is>
      </c>
      <c r="J196" t="inlineStr">
        <is>
          <t>PRUEBAS OTECEL_EDISON NAVARRETE</t>
        </is>
      </c>
      <c r="K196" t="inlineStr">
        <is>
          <t>1715000780</t>
        </is>
      </c>
      <c r="M196" t="inlineStr">
        <is>
          <t>INDIRECTO</t>
        </is>
      </c>
      <c r="N196" t="inlineStr">
        <is>
          <t>CANAL INDIRECTO</t>
        </is>
      </c>
    </row>
    <row r="197">
      <c r="A197" t="inlineStr">
        <is>
          <t>06/10/2026</t>
        </is>
      </c>
      <c r="B197" t="inlineStr">
        <is>
          <t>16502400</t>
        </is>
      </c>
      <c r="C197" t="inlineStr">
        <is>
          <t>163140</t>
        </is>
      </c>
      <c r="D197" t="inlineStr">
        <is>
          <t>163140</t>
        </is>
      </c>
      <c r="E197" t="inlineStr">
        <is>
          <t>HALFSIM TIGO</t>
        </is>
      </c>
      <c r="F197" t="n">
        <v>1</v>
      </c>
      <c r="G197" t="n">
        <v>0.69</v>
      </c>
      <c r="H197" t="inlineStr">
        <is>
          <t>0.69</t>
        </is>
      </c>
      <c r="J197" t="inlineStr">
        <is>
          <t>SHIGLA CEPEDA ANTHONY JOSE_SHIGLA CEPEDA ANTHONY JOSE</t>
        </is>
      </c>
      <c r="K197" t="inlineStr">
        <is>
          <t>2450773714001</t>
        </is>
      </c>
      <c r="M197" t="inlineStr">
        <is>
          <t>BTB</t>
        </is>
      </c>
      <c r="N197" t="inlineStr">
        <is>
          <t>CANAL DIRECTO</t>
        </is>
      </c>
    </row>
    <row r="198">
      <c r="A198" t="inlineStr">
        <is>
          <t>06/10/2026</t>
        </is>
      </c>
      <c r="B198" t="inlineStr">
        <is>
          <t>16502439</t>
        </is>
      </c>
      <c r="C198" t="inlineStr">
        <is>
          <t>163140</t>
        </is>
      </c>
      <c r="D198" t="inlineStr">
        <is>
          <t>163140</t>
        </is>
      </c>
      <c r="E198" t="inlineStr">
        <is>
          <t>HALFSIM TIGO</t>
        </is>
      </c>
      <c r="F198" t="n">
        <v>1</v>
      </c>
      <c r="G198" t="n">
        <v>0.69</v>
      </c>
      <c r="H198" t="inlineStr">
        <is>
          <t>0.69</t>
        </is>
      </c>
      <c r="J198" t="inlineStr">
        <is>
          <t>CUMBAL CUMBAL DIEGO ALFREDO_CUMBAL CUMBAL DIEGO ALFREDO</t>
        </is>
      </c>
      <c r="K198" t="inlineStr">
        <is>
          <t>1721361168001</t>
        </is>
      </c>
      <c r="M198" t="inlineStr">
        <is>
          <t>BTB</t>
        </is>
      </c>
      <c r="N198" t="inlineStr">
        <is>
          <t>CANAL DIRECTO</t>
        </is>
      </c>
    </row>
    <row r="199">
      <c r="A199" t="inlineStr">
        <is>
          <t>06/10/2026</t>
        </is>
      </c>
      <c r="B199" t="inlineStr">
        <is>
          <t>16502463</t>
        </is>
      </c>
      <c r="C199" t="inlineStr">
        <is>
          <t>163140</t>
        </is>
      </c>
      <c r="D199" t="inlineStr">
        <is>
          <t>163140</t>
        </is>
      </c>
      <c r="E199" t="inlineStr">
        <is>
          <t>HALFSIM TIGO</t>
        </is>
      </c>
      <c r="F199" t="n">
        <v>1</v>
      </c>
      <c r="G199" t="n">
        <v>0.69</v>
      </c>
      <c r="H199" t="inlineStr">
        <is>
          <t>0.69</t>
        </is>
      </c>
      <c r="J199" t="inlineStr">
        <is>
          <t>VERA MENESES CARLOS SANTIAGO_VERA MENESES CARLOS SANTIAGO</t>
        </is>
      </c>
      <c r="K199" t="inlineStr">
        <is>
          <t>1711140598001</t>
        </is>
      </c>
      <c r="M199" t="inlineStr">
        <is>
          <t>BTB</t>
        </is>
      </c>
      <c r="N199" t="inlineStr">
        <is>
          <t>CANAL DIRECTO</t>
        </is>
      </c>
    </row>
    <row r="200">
      <c r="A200" t="inlineStr">
        <is>
          <t>06/10/2026</t>
        </is>
      </c>
      <c r="B200" t="inlineStr">
        <is>
          <t>16502403</t>
        </is>
      </c>
      <c r="C200" t="inlineStr">
        <is>
          <t>163140</t>
        </is>
      </c>
      <c r="D200" t="inlineStr">
        <is>
          <t>163140</t>
        </is>
      </c>
      <c r="E200" t="inlineStr">
        <is>
          <t>HALFSIM TIGO</t>
        </is>
      </c>
      <c r="F200" t="n">
        <v>1</v>
      </c>
      <c r="G200" t="n">
        <v>0.69</v>
      </c>
      <c r="H200" t="inlineStr">
        <is>
          <t>0.69</t>
        </is>
      </c>
      <c r="J200" t="inlineStr">
        <is>
          <t>KAREN ROMERO_ASOCIACION DE SERVIDORES PUBLICOS DE LA DIRECCION REGIONAL</t>
        </is>
      </c>
      <c r="K200" t="inlineStr">
        <is>
          <t>0992559616001</t>
        </is>
      </c>
      <c r="M200" t="inlineStr">
        <is>
          <t>BTB</t>
        </is>
      </c>
      <c r="N200" t="inlineStr">
        <is>
          <t>CANAL DIRECTO</t>
        </is>
      </c>
    </row>
    <row r="201">
      <c r="A201" t="inlineStr">
        <is>
          <t>06/10/2026</t>
        </is>
      </c>
      <c r="B201" t="inlineStr">
        <is>
          <t>16502404</t>
        </is>
      </c>
      <c r="C201" t="inlineStr">
        <is>
          <t>163140</t>
        </is>
      </c>
      <c r="D201" t="inlineStr">
        <is>
          <t>163140</t>
        </is>
      </c>
      <c r="E201" t="inlineStr">
        <is>
          <t>HALFSIM TIGO</t>
        </is>
      </c>
      <c r="F201" t="n">
        <v>1</v>
      </c>
      <c r="G201" t="n">
        <v>0.69</v>
      </c>
      <c r="H201" t="inlineStr">
        <is>
          <t>0.69</t>
        </is>
      </c>
      <c r="J201" t="inlineStr">
        <is>
          <t>MARIA MERCEDES RIOFRIO_ESTIBAS MANEJO DE CARGA Y ABASTECIMIENTO ECA OPER</t>
        </is>
      </c>
      <c r="K201" t="inlineStr">
        <is>
          <t>0992899360001</t>
        </is>
      </c>
      <c r="M201" t="inlineStr">
        <is>
          <t>BTB</t>
        </is>
      </c>
      <c r="N201" t="inlineStr">
        <is>
          <t>CANAL DIRECTO</t>
        </is>
      </c>
    </row>
    <row r="202">
      <c r="A202" t="inlineStr">
        <is>
          <t>06/10/2026</t>
        </is>
      </c>
      <c r="B202" t="inlineStr">
        <is>
          <t>16502406</t>
        </is>
      </c>
      <c r="C202" t="inlineStr">
        <is>
          <t>162141</t>
        </is>
      </c>
      <c r="D202" t="inlineStr">
        <is>
          <t>162141</t>
        </is>
      </c>
      <c r="E202" t="inlineStr">
        <is>
          <t>HALFSIM MOVISTAR</t>
        </is>
      </c>
      <c r="F202" t="n">
        <v>0</v>
      </c>
      <c r="G202" t="n">
        <v>0</v>
      </c>
      <c r="H202" t="inlineStr">
        <is>
          <t>0.69</t>
        </is>
      </c>
      <c r="J202" t="inlineStr">
        <is>
          <t>PATRICIO ESPINOSA_EXPORTADORA DE FLORES EXPOFLOR CIA LTDA</t>
        </is>
      </c>
      <c r="K202" t="inlineStr">
        <is>
          <t>1790986640001</t>
        </is>
      </c>
      <c r="M202" t="inlineStr">
        <is>
          <t>BTB</t>
        </is>
      </c>
      <c r="N202" t="inlineStr">
        <is>
          <t>CANAL DIRECTO</t>
        </is>
      </c>
    </row>
    <row r="203">
      <c r="A203" t="inlineStr">
        <is>
          <t>06/10/2026</t>
        </is>
      </c>
      <c r="B203" t="inlineStr">
        <is>
          <t>16502412</t>
        </is>
      </c>
      <c r="C203" t="inlineStr">
        <is>
          <t>163140</t>
        </is>
      </c>
      <c r="D203" t="inlineStr">
        <is>
          <t>163140</t>
        </is>
      </c>
      <c r="E203" t="inlineStr">
        <is>
          <t>HALFSIM TIGO</t>
        </is>
      </c>
      <c r="F203" t="n">
        <v>1</v>
      </c>
      <c r="G203" t="n">
        <v>0.69</v>
      </c>
      <c r="H203" t="inlineStr">
        <is>
          <t>0.69</t>
        </is>
      </c>
      <c r="J203" t="inlineStr">
        <is>
          <t>GABRIELA ALEJANDRA SANDOVAL MENDOZA_GABRIELA ALEJANDRA SANDOVAL MENDOZA</t>
        </is>
      </c>
      <c r="K203" t="inlineStr">
        <is>
          <t>0993368983001</t>
        </is>
      </c>
      <c r="M203" t="inlineStr">
        <is>
          <t>BTB</t>
        </is>
      </c>
      <c r="N203" t="inlineStr">
        <is>
          <t>CANAL DIRECTO</t>
        </is>
      </c>
    </row>
    <row r="204">
      <c r="A204" t="inlineStr">
        <is>
          <t>06/10/2026</t>
        </is>
      </c>
      <c r="B204" t="inlineStr">
        <is>
          <t>16502413</t>
        </is>
      </c>
      <c r="C204" t="inlineStr">
        <is>
          <t>163140</t>
        </is>
      </c>
      <c r="D204" t="inlineStr">
        <is>
          <t>163140</t>
        </is>
      </c>
      <c r="E204" t="inlineStr">
        <is>
          <t>HALFSIM TIGO</t>
        </is>
      </c>
      <c r="F204" t="n">
        <v>1</v>
      </c>
      <c r="G204" t="n">
        <v>0.69</v>
      </c>
      <c r="H204" t="inlineStr">
        <is>
          <t>0.69</t>
        </is>
      </c>
      <c r="J204" t="inlineStr">
        <is>
          <t>EDISSON TUTILLO_ PAYLESS SHOESOURCE ECUADOR CIA LTDA</t>
        </is>
      </c>
      <c r="K204" t="inlineStr">
        <is>
          <t>1791807529001</t>
        </is>
      </c>
      <c r="M204" t="inlineStr">
        <is>
          <t>BTB</t>
        </is>
      </c>
      <c r="N204" t="inlineStr">
        <is>
          <t>CANAL DIRECTO</t>
        </is>
      </c>
    </row>
    <row r="205">
      <c r="A205" t="inlineStr">
        <is>
          <t>06/10/2026</t>
        </is>
      </c>
      <c r="B205" t="inlineStr">
        <is>
          <t>16502418</t>
        </is>
      </c>
      <c r="C205" t="inlineStr">
        <is>
          <t>163140</t>
        </is>
      </c>
      <c r="D205" t="inlineStr">
        <is>
          <t>163140</t>
        </is>
      </c>
      <c r="E205" t="inlineStr">
        <is>
          <t>HALFSIM TIGO</t>
        </is>
      </c>
      <c r="F205" t="n">
        <v>4</v>
      </c>
      <c r="G205" t="n">
        <v>2.76</v>
      </c>
      <c r="H205" t="inlineStr">
        <is>
          <t>0.69</t>
        </is>
      </c>
      <c r="J205" t="inlineStr">
        <is>
          <t>JESSICA TERAN_COMITE DE EMPRESA DE TRABAJADORES DE LA EMPRESA ELECTRICA REGIONAL NORTE SA EMELNORTE</t>
        </is>
      </c>
      <c r="K205" t="inlineStr">
        <is>
          <t>1091721070001</t>
        </is>
      </c>
      <c r="M205" t="inlineStr">
        <is>
          <t>BTB</t>
        </is>
      </c>
      <c r="N205" t="inlineStr">
        <is>
          <t>CANAL DIRECTO</t>
        </is>
      </c>
    </row>
    <row r="206">
      <c r="A206" t="inlineStr">
        <is>
          <t>06/10/2026</t>
        </is>
      </c>
      <c r="B206" t="inlineStr">
        <is>
          <t>16502422</t>
        </is>
      </c>
      <c r="C206" t="inlineStr">
        <is>
          <t>163140</t>
        </is>
      </c>
      <c r="D206" t="inlineStr">
        <is>
          <t>163140</t>
        </is>
      </c>
      <c r="E206" t="inlineStr">
        <is>
          <t>HALFSIM TIGO</t>
        </is>
      </c>
      <c r="F206" t="n">
        <v>1</v>
      </c>
      <c r="G206" t="n">
        <v>0.69</v>
      </c>
      <c r="H206" t="inlineStr">
        <is>
          <t>0.69</t>
        </is>
      </c>
      <c r="J206" t="inlineStr">
        <is>
          <t>PRISCILA RUGEL JOHNNY BARBECH_HOTEL COLON GUAYAQUIL S A</t>
        </is>
      </c>
      <c r="K206" t="inlineStr">
        <is>
          <t>0991189432001</t>
        </is>
      </c>
      <c r="M206" t="inlineStr">
        <is>
          <t>BTB</t>
        </is>
      </c>
      <c r="N206" t="inlineStr">
        <is>
          <t>CANAL DIRECTO</t>
        </is>
      </c>
    </row>
    <row r="207">
      <c r="A207" t="inlineStr">
        <is>
          <t>06/10/2026</t>
        </is>
      </c>
      <c r="B207" t="inlineStr">
        <is>
          <t>16502423</t>
        </is>
      </c>
      <c r="C207" t="inlineStr">
        <is>
          <t>163140</t>
        </is>
      </c>
      <c r="D207" t="inlineStr">
        <is>
          <t>163140</t>
        </is>
      </c>
      <c r="E207" t="inlineStr">
        <is>
          <t>HALFSIM TIGO</t>
        </is>
      </c>
      <c r="F207" t="n">
        <v>1</v>
      </c>
      <c r="G207" t="n">
        <v>0.69</v>
      </c>
      <c r="H207" t="inlineStr">
        <is>
          <t>0.69</t>
        </is>
      </c>
      <c r="J207" t="inlineStr">
        <is>
          <t>LEONARDO RODRIGUEZ_REFACTOR STUDIOS S A S</t>
        </is>
      </c>
      <c r="K207" t="inlineStr">
        <is>
          <t>1793213411001</t>
        </is>
      </c>
      <c r="M207" t="inlineStr">
        <is>
          <t>BTB</t>
        </is>
      </c>
      <c r="N207" t="inlineStr">
        <is>
          <t>CANAL DIRECTO</t>
        </is>
      </c>
    </row>
    <row r="208">
      <c r="A208" t="inlineStr">
        <is>
          <t>06/10/2026</t>
        </is>
      </c>
      <c r="B208" t="inlineStr">
        <is>
          <t>16502424</t>
        </is>
      </c>
      <c r="C208" t="inlineStr">
        <is>
          <t>163140</t>
        </is>
      </c>
      <c r="D208" t="inlineStr">
        <is>
          <t>163140</t>
        </is>
      </c>
      <c r="E208" t="inlineStr">
        <is>
          <t>HALFSIM TIGO</t>
        </is>
      </c>
      <c r="F208" t="n">
        <v>6</v>
      </c>
      <c r="G208" t="n">
        <v>4.1399999999999997</v>
      </c>
      <c r="H208" t="inlineStr">
        <is>
          <t>0.69</t>
        </is>
      </c>
      <c r="J208" t="inlineStr">
        <is>
          <t>CRISTINA BUCHELI_PUENTES Y CALZADAS INFRAESTRUCTURAS S L</t>
        </is>
      </c>
      <c r="K208" t="inlineStr">
        <is>
          <t>1792469619001</t>
        </is>
      </c>
      <c r="M208" t="inlineStr">
        <is>
          <t>BTB</t>
        </is>
      </c>
      <c r="N208" t="inlineStr">
        <is>
          <t>CANAL DIRECTO</t>
        </is>
      </c>
    </row>
    <row r="209">
      <c r="A209" t="inlineStr">
        <is>
          <t>06/10/2026</t>
        </is>
      </c>
      <c r="B209" t="inlineStr">
        <is>
          <t>16502435</t>
        </is>
      </c>
      <c r="C209" t="inlineStr">
        <is>
          <t>163140</t>
        </is>
      </c>
      <c r="D209" t="inlineStr">
        <is>
          <t>163140</t>
        </is>
      </c>
      <c r="E209" t="inlineStr">
        <is>
          <t>HALFSIM TIGO</t>
        </is>
      </c>
      <c r="F209" t="n">
        <v>2</v>
      </c>
      <c r="G209" t="n">
        <v>1.38</v>
      </c>
      <c r="H209" t="inlineStr">
        <is>
          <t>0.69</t>
        </is>
      </c>
      <c r="J209" t="inlineStr">
        <is>
          <t>CACAO NARANJO JOFFRE WILLIAMS_HELEN KELLER S A S</t>
        </is>
      </c>
      <c r="K209" t="inlineStr">
        <is>
          <t>0992576359001</t>
        </is>
      </c>
      <c r="M209" t="inlineStr">
        <is>
          <t>BTB</t>
        </is>
      </c>
      <c r="N209" t="inlineStr">
        <is>
          <t>CANAL DIRECTO</t>
        </is>
      </c>
    </row>
    <row r="210">
      <c r="A210" t="inlineStr">
        <is>
          <t>06/10/2026</t>
        </is>
      </c>
      <c r="B210" t="inlineStr">
        <is>
          <t>16502440</t>
        </is>
      </c>
      <c r="C210" t="inlineStr">
        <is>
          <t>163140</t>
        </is>
      </c>
      <c r="D210" t="inlineStr">
        <is>
          <t>163140</t>
        </is>
      </c>
      <c r="E210" t="inlineStr">
        <is>
          <t>HALFSIM TIGO</t>
        </is>
      </c>
      <c r="F210" t="n">
        <v>1</v>
      </c>
      <c r="G210" t="n">
        <v>0.69</v>
      </c>
      <c r="H210" t="inlineStr">
        <is>
          <t>0.69</t>
        </is>
      </c>
      <c r="J210" t="inlineStr">
        <is>
          <t>BETTY ROSERA_FERTILIZANTES Y AGROQUIMICOS EUROPEOS EUROFERT S A</t>
        </is>
      </c>
      <c r="K210" t="inlineStr">
        <is>
          <t>1792043034001</t>
        </is>
      </c>
      <c r="M210" t="inlineStr">
        <is>
          <t>BTB</t>
        </is>
      </c>
      <c r="N210" t="inlineStr">
        <is>
          <t>CANAL DIRECTO</t>
        </is>
      </c>
    </row>
    <row r="211">
      <c r="A211" t="inlineStr">
        <is>
          <t>06/10/2026</t>
        </is>
      </c>
      <c r="B211" t="inlineStr">
        <is>
          <t>16502441</t>
        </is>
      </c>
      <c r="C211" t="inlineStr">
        <is>
          <t>163140</t>
        </is>
      </c>
      <c r="D211" t="inlineStr">
        <is>
          <t>163140</t>
        </is>
      </c>
      <c r="E211" t="inlineStr">
        <is>
          <t>HALFSIM TIGO</t>
        </is>
      </c>
      <c r="F211" t="n">
        <v>1</v>
      </c>
      <c r="G211" t="n">
        <v>0.69</v>
      </c>
      <c r="H211" t="inlineStr">
        <is>
          <t>0.69</t>
        </is>
      </c>
      <c r="J211" t="inlineStr">
        <is>
          <t>BETTY ROSERA_FERTILIZANTES Y AGROQUIMICOS EUROPEOS EUROFERT S A</t>
        </is>
      </c>
      <c r="K211" t="inlineStr">
        <is>
          <t>1792043034001</t>
        </is>
      </c>
      <c r="M211" t="inlineStr">
        <is>
          <t>BTB</t>
        </is>
      </c>
      <c r="N211" t="inlineStr">
        <is>
          <t>CANAL DIRECTO</t>
        </is>
      </c>
    </row>
    <row r="212">
      <c r="A212" t="inlineStr">
        <is>
          <t>06/10/2026</t>
        </is>
      </c>
      <c r="B212" t="inlineStr">
        <is>
          <t>16502442</t>
        </is>
      </c>
      <c r="C212" t="inlineStr">
        <is>
          <t>163140</t>
        </is>
      </c>
      <c r="D212" t="inlineStr">
        <is>
          <t>163140</t>
        </is>
      </c>
      <c r="E212" t="inlineStr">
        <is>
          <t>HALFSIM TIGO</t>
        </is>
      </c>
      <c r="F212" t="n">
        <v>1</v>
      </c>
      <c r="G212" t="n">
        <v>0.69</v>
      </c>
      <c r="H212" t="inlineStr">
        <is>
          <t>0.69</t>
        </is>
      </c>
      <c r="J212" t="inlineStr">
        <is>
          <t>EDISON SIGUENZA_VIAUSTRO CIA LTDA VIAS DEL AUSTRO CIA LTDA</t>
        </is>
      </c>
      <c r="K212" t="inlineStr">
        <is>
          <t>0190022196001</t>
        </is>
      </c>
      <c r="M212" t="inlineStr">
        <is>
          <t>BTB</t>
        </is>
      </c>
      <c r="N212" t="inlineStr">
        <is>
          <t>CANAL DIRECTO</t>
        </is>
      </c>
    </row>
    <row r="213">
      <c r="A213" t="inlineStr">
        <is>
          <t>06/10/2026</t>
        </is>
      </c>
      <c r="B213" t="inlineStr">
        <is>
          <t>16502443</t>
        </is>
      </c>
      <c r="C213" t="inlineStr">
        <is>
          <t>163140</t>
        </is>
      </c>
      <c r="D213" t="inlineStr">
        <is>
          <t>163140</t>
        </is>
      </c>
      <c r="E213" t="inlineStr">
        <is>
          <t>HALFSIM TIGO</t>
        </is>
      </c>
      <c r="F213" t="n">
        <v>2</v>
      </c>
      <c r="G213" t="n">
        <v>1.38</v>
      </c>
      <c r="H213" t="inlineStr">
        <is>
          <t>0.69</t>
        </is>
      </c>
      <c r="J213" t="inlineStr">
        <is>
          <t>EVELYN NUNEZ_CARGILL AQUANUTRITION ECUADOR CIA LTDA</t>
        </is>
      </c>
      <c r="K213" t="inlineStr">
        <is>
          <t>0993376610001</t>
        </is>
      </c>
      <c r="M213" t="inlineStr">
        <is>
          <t>BTB</t>
        </is>
      </c>
      <c r="N213" t="inlineStr">
        <is>
          <t>CANAL DIRECTO</t>
        </is>
      </c>
    </row>
    <row r="214">
      <c r="A214" t="inlineStr">
        <is>
          <t>06/10/2026</t>
        </is>
      </c>
      <c r="B214" t="inlineStr">
        <is>
          <t>16502445</t>
        </is>
      </c>
      <c r="C214" t="inlineStr">
        <is>
          <t>163140</t>
        </is>
      </c>
      <c r="D214" t="inlineStr">
        <is>
          <t>163140</t>
        </is>
      </c>
      <c r="E214" t="inlineStr">
        <is>
          <t>HALFSIM TIGO</t>
        </is>
      </c>
      <c r="F214" t="n">
        <v>1</v>
      </c>
      <c r="G214" t="n">
        <v>0.69</v>
      </c>
      <c r="H214" t="inlineStr">
        <is>
          <t>0.69</t>
        </is>
      </c>
      <c r="J214" t="inlineStr">
        <is>
          <t>EDISON SIGUENZA_TRANSNEXOS S A</t>
        </is>
      </c>
      <c r="K214" t="inlineStr">
        <is>
          <t>0190376982001</t>
        </is>
      </c>
      <c r="M214" t="inlineStr">
        <is>
          <t>BTB</t>
        </is>
      </c>
      <c r="N214" t="inlineStr">
        <is>
          <t>CANAL DIRECTO</t>
        </is>
      </c>
    </row>
    <row r="215">
      <c r="A215" t="inlineStr">
        <is>
          <t>06/10/2026</t>
        </is>
      </c>
      <c r="B215" t="inlineStr">
        <is>
          <t>16502446</t>
        </is>
      </c>
      <c r="C215" t="inlineStr">
        <is>
          <t>163140</t>
        </is>
      </c>
      <c r="D215" t="inlineStr">
        <is>
          <t>163140</t>
        </is>
      </c>
      <c r="E215" t="inlineStr">
        <is>
          <t>HALFSIM TIGO</t>
        </is>
      </c>
      <c r="F215" t="n">
        <v>1</v>
      </c>
      <c r="G215" t="n">
        <v>0.69</v>
      </c>
      <c r="H215" t="inlineStr">
        <is>
          <t>0.69</t>
        </is>
      </c>
      <c r="J215" t="inlineStr">
        <is>
          <t>MERCEDES VARGAS_INTCOMEX DEL ECUADOR S A</t>
        </is>
      </c>
      <c r="K215" t="inlineStr">
        <is>
          <t>1791743148001</t>
        </is>
      </c>
      <c r="M215" t="inlineStr">
        <is>
          <t>BTB</t>
        </is>
      </c>
      <c r="N215" t="inlineStr">
        <is>
          <t>CANAL DIRECTO</t>
        </is>
      </c>
    </row>
    <row r="216">
      <c r="A216" t="inlineStr">
        <is>
          <t>06/10/2026</t>
        </is>
      </c>
      <c r="B216" t="inlineStr">
        <is>
          <t>16502462</t>
        </is>
      </c>
      <c r="C216" t="inlineStr">
        <is>
          <t>163140</t>
        </is>
      </c>
      <c r="D216" t="inlineStr">
        <is>
          <t>163140</t>
        </is>
      </c>
      <c r="E216" t="inlineStr">
        <is>
          <t>HALFSIM TIGO</t>
        </is>
      </c>
      <c r="F216" t="n">
        <v>1</v>
      </c>
      <c r="G216" t="n">
        <v>0.69</v>
      </c>
      <c r="H216" t="inlineStr">
        <is>
          <t>0.69</t>
        </is>
      </c>
      <c r="J216" t="inlineStr">
        <is>
          <t>TANIA NIEVES_ASOCIACION DE DOCENTES EMPLEADOS Y TRAB</t>
        </is>
      </c>
      <c r="K216" t="inlineStr">
        <is>
          <t>0190436578001</t>
        </is>
      </c>
      <c r="M216" t="inlineStr">
        <is>
          <t>BTB</t>
        </is>
      </c>
      <c r="N216" t="inlineStr">
        <is>
          <t>CANAL DIRECTO</t>
        </is>
      </c>
    </row>
    <row r="217">
      <c r="A217" t="inlineStr">
        <is>
          <t>06/10/2026</t>
        </is>
      </c>
      <c r="B217" t="inlineStr">
        <is>
          <t>16502466</t>
        </is>
      </c>
      <c r="C217" t="inlineStr">
        <is>
          <t>162115</t>
        </is>
      </c>
      <c r="D217" t="inlineStr">
        <is>
          <t>162115</t>
        </is>
      </c>
      <c r="E217" t="inlineStr">
        <is>
          <t>SIMCARD M2M 2FF LTE</t>
        </is>
      </c>
      <c r="F217" t="n">
        <v>400</v>
      </c>
      <c r="G217" t="n">
        <v>548</v>
      </c>
      <c r="H217" t="inlineStr">
        <is>
          <t>1.37</t>
        </is>
      </c>
      <c r="J217" t="inlineStr">
        <is>
          <t>PAOLA PAUCAR_ROAD TRACK ECUADOR S A</t>
        </is>
      </c>
      <c r="K217" t="inlineStr">
        <is>
          <t>1791887565001</t>
        </is>
      </c>
      <c r="M217" t="inlineStr">
        <is>
          <t>BTB</t>
        </is>
      </c>
      <c r="N217" t="inlineStr">
        <is>
          <t>CANAL DIRECTO</t>
        </is>
      </c>
    </row>
    <row r="218">
      <c r="A218" t="inlineStr">
        <is>
          <t>06/10/2026</t>
        </is>
      </c>
      <c r="B218" t="inlineStr">
        <is>
          <t>16502879</t>
        </is>
      </c>
      <c r="C218" t="inlineStr">
        <is>
          <t>163140</t>
        </is>
      </c>
      <c r="D218" t="inlineStr">
        <is>
          <t>163140</t>
        </is>
      </c>
      <c r="E218" t="inlineStr">
        <is>
          <t>HALFSIM TIGO</t>
        </is>
      </c>
      <c r="F218" t="n">
        <v>1</v>
      </c>
      <c r="G218" t="n">
        <v>0.69</v>
      </c>
      <c r="H218" t="inlineStr">
        <is>
          <t>0.69</t>
        </is>
      </c>
      <c r="J218" t="inlineStr">
        <is>
          <t>GARCIA PERALTA LINCOLN ISRAEL_ECUAPAYPHONE C A</t>
        </is>
      </c>
      <c r="K218" t="inlineStr">
        <is>
          <t>0190402452001</t>
        </is>
      </c>
      <c r="M218" t="inlineStr">
        <is>
          <t>BTB</t>
        </is>
      </c>
      <c r="N218" t="inlineStr">
        <is>
          <t>CANAL DIRECTO</t>
        </is>
      </c>
    </row>
    <row r="219">
      <c r="A219" t="inlineStr">
        <is>
          <t>06/10/2026</t>
        </is>
      </c>
      <c r="B219" t="inlineStr">
        <is>
          <t>16502880</t>
        </is>
      </c>
      <c r="C219" t="inlineStr">
        <is>
          <t>163140</t>
        </is>
      </c>
      <c r="D219" t="inlineStr">
        <is>
          <t>163140</t>
        </is>
      </c>
      <c r="E219" t="inlineStr">
        <is>
          <t>HALFSIM TIGO</t>
        </is>
      </c>
      <c r="F219" t="n">
        <v>1</v>
      </c>
      <c r="G219" t="n">
        <v>0.69</v>
      </c>
      <c r="H219" t="inlineStr">
        <is>
          <t>0.69</t>
        </is>
      </c>
      <c r="J219" t="inlineStr">
        <is>
          <t>JIMENEZ TORRES CARLOS GREGORIO_JIMENEZ TORRES CARLOS GREGORIO</t>
        </is>
      </c>
      <c r="K219" t="inlineStr">
        <is>
          <t>0917721235001</t>
        </is>
      </c>
      <c r="M219" t="inlineStr">
        <is>
          <t>BTB</t>
        </is>
      </c>
      <c r="N219" t="inlineStr">
        <is>
          <t>CANAL DIRECTO</t>
        </is>
      </c>
    </row>
    <row r="220">
      <c r="A220" t="inlineStr">
        <is>
          <t>06/10/2026</t>
        </is>
      </c>
      <c r="B220" t="inlineStr">
        <is>
          <t>16502883</t>
        </is>
      </c>
      <c r="C220" t="inlineStr">
        <is>
          <t>163140</t>
        </is>
      </c>
      <c r="D220" t="inlineStr">
        <is>
          <t>163140</t>
        </is>
      </c>
      <c r="E220" t="inlineStr">
        <is>
          <t>HALFSIM TIGO</t>
        </is>
      </c>
      <c r="F220" t="n">
        <v>1</v>
      </c>
      <c r="G220" t="n">
        <v>0.69</v>
      </c>
      <c r="H220" t="inlineStr">
        <is>
          <t>0.69</t>
        </is>
      </c>
      <c r="J220" t="inlineStr">
        <is>
          <t>ALEJANDRO GUANIN GUERRERO_CORPORACION CFC S A</t>
        </is>
      </c>
      <c r="K220" t="inlineStr">
        <is>
          <t>0992239212001</t>
        </is>
      </c>
      <c r="M220" t="inlineStr">
        <is>
          <t>BTB</t>
        </is>
      </c>
      <c r="N220" t="inlineStr">
        <is>
          <t>CANAL DIRECTO</t>
        </is>
      </c>
    </row>
    <row r="221">
      <c r="A221" t="inlineStr">
        <is>
          <t>06/10/2026</t>
        </is>
      </c>
      <c r="B221" t="inlineStr">
        <is>
          <t>16502886</t>
        </is>
      </c>
      <c r="C221" t="inlineStr">
        <is>
          <t>163140</t>
        </is>
      </c>
      <c r="D221" t="inlineStr">
        <is>
          <t>163140</t>
        </is>
      </c>
      <c r="E221" t="inlineStr">
        <is>
          <t>HALFSIM TIGO</t>
        </is>
      </c>
      <c r="F221" t="n">
        <v>2</v>
      </c>
      <c r="G221" t="n">
        <v>1.38</v>
      </c>
      <c r="H221" t="inlineStr">
        <is>
          <t>0.69</t>
        </is>
      </c>
      <c r="J221" t="inlineStr">
        <is>
          <t>EDISSON TUTILLO_ PAYLESS SHOESOURCE ECUADOR CIA LTDA</t>
        </is>
      </c>
      <c r="K221" t="inlineStr">
        <is>
          <t>1791807529001</t>
        </is>
      </c>
      <c r="M221" t="inlineStr">
        <is>
          <t>BTB</t>
        </is>
      </c>
      <c r="N221" t="inlineStr">
        <is>
          <t>CANAL DIRECTO</t>
        </is>
      </c>
    </row>
    <row r="222">
      <c r="A222" t="inlineStr">
        <is>
          <t>06/10/2026</t>
        </is>
      </c>
      <c r="B222" t="inlineStr">
        <is>
          <t>16502889</t>
        </is>
      </c>
      <c r="C222" t="inlineStr">
        <is>
          <t>163140</t>
        </is>
      </c>
      <c r="D222" t="inlineStr">
        <is>
          <t>163140</t>
        </is>
      </c>
      <c r="E222" t="inlineStr">
        <is>
          <t>HALFSIM TIGO</t>
        </is>
      </c>
      <c r="F222" t="n">
        <v>1</v>
      </c>
      <c r="G222" t="n">
        <v>0.69</v>
      </c>
      <c r="H222" t="inlineStr">
        <is>
          <t>0.69</t>
        </is>
      </c>
      <c r="J222" t="inlineStr">
        <is>
          <t>CARPIO PALOMEQUE MARIA LORENA_CARPIO PALOMEQUE MARIA LORENA</t>
        </is>
      </c>
      <c r="K222" t="inlineStr">
        <is>
          <t>0301199410001</t>
        </is>
      </c>
      <c r="M222" t="inlineStr">
        <is>
          <t>BTB</t>
        </is>
      </c>
      <c r="N222" t="inlineStr">
        <is>
          <t>CANAL DIRECTO</t>
        </is>
      </c>
    </row>
    <row r="223">
      <c r="A223" t="inlineStr">
        <is>
          <t>06/10/2026</t>
        </is>
      </c>
      <c r="B223" t="inlineStr">
        <is>
          <t>16502890</t>
        </is>
      </c>
      <c r="C223" t="inlineStr">
        <is>
          <t>163140</t>
        </is>
      </c>
      <c r="D223" t="inlineStr">
        <is>
          <t>163140</t>
        </is>
      </c>
      <c r="E223" t="inlineStr">
        <is>
          <t>HALFSIM TIGO</t>
        </is>
      </c>
      <c r="F223" t="n">
        <v>1</v>
      </c>
      <c r="G223" t="n">
        <v>0.69</v>
      </c>
      <c r="H223" t="inlineStr">
        <is>
          <t>0.69</t>
        </is>
      </c>
      <c r="J223" t="inlineStr">
        <is>
          <t>TENA TINAJERO PAUL ANDRES_TENA TINAJERO PAUL ANDRES</t>
        </is>
      </c>
      <c r="K223" t="inlineStr">
        <is>
          <t>0923126437001</t>
        </is>
      </c>
      <c r="M223" t="inlineStr">
        <is>
          <t>BTB</t>
        </is>
      </c>
      <c r="N223" t="inlineStr">
        <is>
          <t>CANAL DIRECTO</t>
        </is>
      </c>
    </row>
    <row r="224">
      <c r="A224" t="inlineStr">
        <is>
          <t>06/10/2026</t>
        </is>
      </c>
      <c r="B224" t="inlineStr">
        <is>
          <t>16502892</t>
        </is>
      </c>
      <c r="C224" t="inlineStr">
        <is>
          <t>163140</t>
        </is>
      </c>
      <c r="D224" t="inlineStr">
        <is>
          <t>163140</t>
        </is>
      </c>
      <c r="E224" t="inlineStr">
        <is>
          <t>HALFSIM TIGO</t>
        </is>
      </c>
      <c r="F224" t="n">
        <v>6</v>
      </c>
      <c r="G224" t="n">
        <v>4.1399999999999997</v>
      </c>
      <c r="H224" t="inlineStr">
        <is>
          <t>0.69</t>
        </is>
      </c>
      <c r="J224" t="inlineStr">
        <is>
          <t>DANIEL ZAVALA_ASESORIA SEGURIDAD Y VIGILANCIA ASEVIG LIDERMAN C</t>
        </is>
      </c>
      <c r="K224" t="inlineStr">
        <is>
          <t>0992275367001</t>
        </is>
      </c>
      <c r="M224" t="inlineStr">
        <is>
          <t>BTB</t>
        </is>
      </c>
      <c r="N224" t="inlineStr">
        <is>
          <t>CANAL DIRECTO</t>
        </is>
      </c>
    </row>
    <row r="225">
      <c r="A225" t="inlineStr">
        <is>
          <t>06/10/2026</t>
        </is>
      </c>
      <c r="B225" t="inlineStr">
        <is>
          <t>16502898</t>
        </is>
      </c>
      <c r="C225" t="inlineStr">
        <is>
          <t>163140</t>
        </is>
      </c>
      <c r="D225" t="inlineStr">
        <is>
          <t>163140</t>
        </is>
      </c>
      <c r="E225" t="inlineStr">
        <is>
          <t>HALFSIM TIGO</t>
        </is>
      </c>
      <c r="F225" t="n">
        <v>1</v>
      </c>
      <c r="G225" t="n">
        <v>0.69</v>
      </c>
      <c r="H225" t="inlineStr">
        <is>
          <t>0.69</t>
        </is>
      </c>
      <c r="J225" t="inlineStr">
        <is>
          <t>CIRINO PALMA JAVIER ROLANDO_CIRINO PALMA JAVIER ROLANDO</t>
        </is>
      </c>
      <c r="K225" t="inlineStr">
        <is>
          <t>0925023343001</t>
        </is>
      </c>
      <c r="M225" t="inlineStr">
        <is>
          <t>BTB</t>
        </is>
      </c>
      <c r="N225" t="inlineStr">
        <is>
          <t>CANAL DIRECTO</t>
        </is>
      </c>
    </row>
    <row r="226">
      <c r="A226" t="inlineStr">
        <is>
          <t>06/10/2026</t>
        </is>
      </c>
      <c r="B226" t="inlineStr">
        <is>
          <t>16502899</t>
        </is>
      </c>
      <c r="C226" t="inlineStr">
        <is>
          <t>163140</t>
        </is>
      </c>
      <c r="D226" t="inlineStr">
        <is>
          <t>163140</t>
        </is>
      </c>
      <c r="E226" t="inlineStr">
        <is>
          <t>HALFSIM TIGO</t>
        </is>
      </c>
      <c r="F226" t="n">
        <v>1</v>
      </c>
      <c r="G226" t="n">
        <v>0.69</v>
      </c>
      <c r="H226" t="inlineStr">
        <is>
          <t>0.69</t>
        </is>
      </c>
      <c r="J226" t="inlineStr">
        <is>
          <t>YULEIDI JULISSA ZAMBRANO BURGOS_MOBILHOSPITAL S A</t>
        </is>
      </c>
      <c r="K226" t="inlineStr">
        <is>
          <t>0992994762001</t>
        </is>
      </c>
      <c r="M226" t="inlineStr">
        <is>
          <t>BTB</t>
        </is>
      </c>
      <c r="N226" t="inlineStr">
        <is>
          <t>CANAL DIRECTO</t>
        </is>
      </c>
    </row>
    <row r="227">
      <c r="A227" t="inlineStr">
        <is>
          <t>06/10/2026</t>
        </is>
      </c>
      <c r="B227" t="inlineStr">
        <is>
          <t>16502903</t>
        </is>
      </c>
      <c r="C227" t="inlineStr">
        <is>
          <t>163140</t>
        </is>
      </c>
      <c r="D227" t="inlineStr">
        <is>
          <t>163140</t>
        </is>
      </c>
      <c r="E227" t="inlineStr">
        <is>
          <t>HALFSIM TIGO</t>
        </is>
      </c>
      <c r="F227" t="n">
        <v>1</v>
      </c>
      <c r="G227" t="n">
        <v>0.69</v>
      </c>
      <c r="H227" t="inlineStr">
        <is>
          <t>0.69</t>
        </is>
      </c>
      <c r="J227" t="inlineStr">
        <is>
          <t>VILLEGAS CONSTANTE ANDY JOSUE_ECUAPAYPHONE C A</t>
        </is>
      </c>
      <c r="K227" t="inlineStr">
        <is>
          <t>0190402452001</t>
        </is>
      </c>
      <c r="M227" t="inlineStr">
        <is>
          <t>BTB</t>
        </is>
      </c>
      <c r="N227" t="inlineStr">
        <is>
          <t>CANAL DIRECTO</t>
        </is>
      </c>
    </row>
    <row r="228">
      <c r="A228" t="inlineStr">
        <is>
          <t>06/10/2026</t>
        </is>
      </c>
      <c r="B228" t="inlineStr">
        <is>
          <t>16502904</t>
        </is>
      </c>
      <c r="C228" t="inlineStr">
        <is>
          <t>163140</t>
        </is>
      </c>
      <c r="D228" t="inlineStr">
        <is>
          <t>163140</t>
        </is>
      </c>
      <c r="E228" t="inlineStr">
        <is>
          <t>HALFSIM TIGO</t>
        </is>
      </c>
      <c r="F228" t="n">
        <v>1</v>
      </c>
      <c r="G228" t="n">
        <v>0.69</v>
      </c>
      <c r="H228" t="inlineStr">
        <is>
          <t>0.69</t>
        </is>
      </c>
      <c r="J228" t="inlineStr">
        <is>
          <t>LUIGI BENAVIDES_REFACTOR STUDIOS S A S</t>
        </is>
      </c>
      <c r="K228" t="inlineStr">
        <is>
          <t>1793213411001</t>
        </is>
      </c>
      <c r="M228" t="inlineStr">
        <is>
          <t>BTB</t>
        </is>
      </c>
      <c r="N228" t="inlineStr">
        <is>
          <t>CANAL DIRECTO</t>
        </is>
      </c>
    </row>
    <row r="229">
      <c r="A229" t="inlineStr">
        <is>
          <t>06/10/2026</t>
        </is>
      </c>
      <c r="B229" t="inlineStr">
        <is>
          <t>16502905</t>
        </is>
      </c>
      <c r="C229" t="inlineStr">
        <is>
          <t>163140</t>
        </is>
      </c>
      <c r="D229" t="inlineStr">
        <is>
          <t>163140</t>
        </is>
      </c>
      <c r="E229" t="inlineStr">
        <is>
          <t>HALFSIM TIGO</t>
        </is>
      </c>
      <c r="F229" t="n">
        <v>2</v>
      </c>
      <c r="G229" t="n">
        <v>1.38</v>
      </c>
      <c r="H229" t="inlineStr">
        <is>
          <t>0.69</t>
        </is>
      </c>
      <c r="J229" t="inlineStr">
        <is>
          <t>DANIEL ZAVALA_ASESORIA SEGURIDAD Y VIGILANCIA ASEVIG LIDERMAN C</t>
        </is>
      </c>
      <c r="K229" t="inlineStr">
        <is>
          <t>0992275367001</t>
        </is>
      </c>
      <c r="M229" t="inlineStr">
        <is>
          <t>BTB</t>
        </is>
      </c>
      <c r="N229" t="inlineStr">
        <is>
          <t>CANAL DIRECTO</t>
        </is>
      </c>
    </row>
    <row r="230">
      <c r="A230" t="inlineStr">
        <is>
          <t>06/10/2026</t>
        </is>
      </c>
      <c r="B230" t="inlineStr">
        <is>
          <t>16502908</t>
        </is>
      </c>
      <c r="C230" t="inlineStr">
        <is>
          <t>163140</t>
        </is>
      </c>
      <c r="D230" t="inlineStr">
        <is>
          <t>163140</t>
        </is>
      </c>
      <c r="E230" t="inlineStr">
        <is>
          <t>HALFSIM TIGO</t>
        </is>
      </c>
      <c r="F230" t="n">
        <v>1</v>
      </c>
      <c r="G230" t="n">
        <v>0.69</v>
      </c>
      <c r="H230" t="inlineStr">
        <is>
          <t>0.69</t>
        </is>
      </c>
      <c r="J230" t="inlineStr">
        <is>
          <t>GUERRON ARMAS ELBA MARGOTH_GUERRON ARMAS ELBA MARGOTH</t>
        </is>
      </c>
      <c r="K230" t="inlineStr">
        <is>
          <t>1707563852001</t>
        </is>
      </c>
      <c r="M230" t="inlineStr">
        <is>
          <t>BTB</t>
        </is>
      </c>
      <c r="N230" t="inlineStr">
        <is>
          <t>CANAL DIRECTO</t>
        </is>
      </c>
    </row>
    <row r="231">
      <c r="A231" t="inlineStr">
        <is>
          <t>06/10/2026</t>
        </is>
      </c>
      <c r="B231" t="inlineStr">
        <is>
          <t>16502909</t>
        </is>
      </c>
      <c r="C231" t="inlineStr">
        <is>
          <t>163140</t>
        </is>
      </c>
      <c r="D231" t="inlineStr">
        <is>
          <t>163140</t>
        </is>
      </c>
      <c r="E231" t="inlineStr">
        <is>
          <t>HALFSIM TIGO</t>
        </is>
      </c>
      <c r="F231" t="n">
        <v>1</v>
      </c>
      <c r="G231" t="n">
        <v>0.69</v>
      </c>
      <c r="H231" t="inlineStr">
        <is>
          <t>0.69</t>
        </is>
      </c>
      <c r="J231" t="inlineStr">
        <is>
          <t>MISHQUE TADAY ANGEL FERNANDO_MISHQUE TADAY ANGEL FERNANDO</t>
        </is>
      </c>
      <c r="K231" t="inlineStr">
        <is>
          <t>0604581496001</t>
        </is>
      </c>
      <c r="M231" t="inlineStr">
        <is>
          <t>BTB</t>
        </is>
      </c>
      <c r="N231" t="inlineStr">
        <is>
          <t>CANAL DIRECTO</t>
        </is>
      </c>
    </row>
    <row r="232">
      <c r="A232" t="inlineStr">
        <is>
          <t>06/10/2026</t>
        </is>
      </c>
      <c r="B232" t="inlineStr">
        <is>
          <t>2026-08111</t>
        </is>
      </c>
      <c r="C232" t="inlineStr">
        <is>
          <t>163141</t>
        </is>
      </c>
      <c r="D232" t="inlineStr">
        <is>
          <t>163141</t>
        </is>
      </c>
      <c r="E232" t="inlineStr">
        <is>
          <t>ESIM TIGO DIGITAL</t>
        </is>
      </c>
      <c r="F232" t="n">
        <v>300</v>
      </c>
      <c r="G232" t="n">
        <v>63</v>
      </c>
      <c r="H232" t="inlineStr">
        <is>
          <t>0.21</t>
        </is>
      </c>
      <c r="J232" t="inlineStr">
        <is>
          <t>CAVS QUICENTRO_MENDOZA GUEVARA STALIN FERNANDO / JEFFERSON CEDEÑO</t>
        </is>
      </c>
      <c r="K232" t="inlineStr">
        <is>
          <t>1720258282</t>
        </is>
      </c>
      <c r="M232" t="inlineStr">
        <is>
          <t>INDIRECTO</t>
        </is>
      </c>
      <c r="N232" t="inlineStr">
        <is>
          <t>CANAL INDIRECTO</t>
        </is>
      </c>
    </row>
    <row r="233">
      <c r="A233" t="inlineStr">
        <is>
          <t>06/10/2026</t>
        </is>
      </c>
      <c r="B233" t="inlineStr">
        <is>
          <t>2026-08113</t>
        </is>
      </c>
      <c r="C233" t="inlineStr">
        <is>
          <t>163140</t>
        </is>
      </c>
      <c r="D233" t="inlineStr">
        <is>
          <t>163140</t>
        </is>
      </c>
      <c r="E233" t="inlineStr">
        <is>
          <t>HALFSIM TIGO</t>
        </is>
      </c>
      <c r="F233" t="n">
        <v>200</v>
      </c>
      <c r="G233" t="n">
        <v>138</v>
      </c>
      <c r="H233" t="inlineStr">
        <is>
          <t>0.69</t>
        </is>
      </c>
      <c r="J233" t="inlineStr">
        <is>
          <t>CAVS SAN MARINO_TUAREZ TRIVIÑO MARIA LISBETH / LLANGARI CAICEDO ORBIN FERNANDO</t>
        </is>
      </c>
      <c r="K233" t="inlineStr">
        <is>
          <t>0</t>
        </is>
      </c>
      <c r="M233" t="inlineStr">
        <is>
          <t>INDIRECTO</t>
        </is>
      </c>
      <c r="N233" t="inlineStr">
        <is>
          <t>CANAL INDIRECTO</t>
        </is>
      </c>
    </row>
    <row r="234">
      <c r="A234" t="inlineStr">
        <is>
          <t>06/10/2026</t>
        </is>
      </c>
      <c r="B234" t="inlineStr">
        <is>
          <t>2026-08113</t>
        </is>
      </c>
      <c r="C234" t="inlineStr">
        <is>
          <t>163141</t>
        </is>
      </c>
      <c r="D234" t="inlineStr">
        <is>
          <t>163141</t>
        </is>
      </c>
      <c r="E234" t="inlineStr">
        <is>
          <t>ESIM TIGO DIGITAL</t>
        </is>
      </c>
      <c r="F234" t="n">
        <v>200</v>
      </c>
      <c r="G234" t="n">
        <v>42</v>
      </c>
      <c r="H234" t="inlineStr">
        <is>
          <t>0.21</t>
        </is>
      </c>
      <c r="J234" t="inlineStr">
        <is>
          <t>CAVS SAN MARINO_TUAREZ TRIVIÑO MARIA LISBETH / LLANGARI CAICEDO ORBIN FERNANDO</t>
        </is>
      </c>
      <c r="K234" t="inlineStr">
        <is>
          <t>0</t>
        </is>
      </c>
      <c r="M234" t="inlineStr">
        <is>
          <t>INDIRECTO</t>
        </is>
      </c>
      <c r="N234" t="inlineStr">
        <is>
          <t>CANAL INDIRECTO</t>
        </is>
      </c>
    </row>
    <row r="235">
      <c r="A235" t="inlineStr">
        <is>
          <t>06/10/2026</t>
        </is>
      </c>
      <c r="B235" t="inlineStr">
        <is>
          <t>2026-08114</t>
        </is>
      </c>
      <c r="C235" t="inlineStr">
        <is>
          <t>163140</t>
        </is>
      </c>
      <c r="D235" t="inlineStr">
        <is>
          <t>163140</t>
        </is>
      </c>
      <c r="E235" t="inlineStr">
        <is>
          <t>HALFSIM TIGO</t>
        </is>
      </c>
      <c r="F235" t="n">
        <v>200</v>
      </c>
      <c r="G235" t="n">
        <v>138</v>
      </c>
      <c r="H235" t="inlineStr">
        <is>
          <t>0.69</t>
        </is>
      </c>
      <c r="J235" t="inlineStr">
        <is>
          <t>CAV MALL DEL SOL_FREDDY ALFREDO PLUAS MIRANDA / EDITA DANIELA MORAN ORRALA</t>
        </is>
      </c>
      <c r="K235" t="inlineStr">
        <is>
          <t>0941448565 / 0921268066</t>
        </is>
      </c>
      <c r="M235" t="inlineStr">
        <is>
          <t>INDIRECTO</t>
        </is>
      </c>
      <c r="N235" t="inlineStr">
        <is>
          <t>CANAL INDIRECTO</t>
        </is>
      </c>
    </row>
    <row r="236">
      <c r="A236" t="inlineStr">
        <is>
          <t>06/10/2026</t>
        </is>
      </c>
      <c r="B236" t="inlineStr">
        <is>
          <t>2026-08115</t>
        </is>
      </c>
      <c r="C236" t="inlineStr">
        <is>
          <t>163140_02</t>
        </is>
      </c>
      <c r="D236" t="inlineStr">
        <is>
          <t>163140</t>
        </is>
      </c>
      <c r="E236" t="inlineStr">
        <is>
          <t>HALFSIM TIGO CHIP PREPAGO $3 WP NUMERADO</t>
        </is>
      </c>
      <c r="F236" t="n">
        <v>100</v>
      </c>
      <c r="G236" t="n">
        <v>69</v>
      </c>
      <c r="H236" t="inlineStr">
        <is>
          <t>0.69</t>
        </is>
      </c>
      <c r="J236" t="inlineStr">
        <is>
          <t>AE CORPORATIVO ROMERO RYRTECH MALL EL FORTIN_ELIZABETH SALAGATA</t>
        </is>
      </c>
      <c r="K236" t="inlineStr">
        <is>
          <t>0915962609</t>
        </is>
      </c>
      <c r="M236" t="inlineStr">
        <is>
          <t>INDIRECTO</t>
        </is>
      </c>
      <c r="N236" t="inlineStr">
        <is>
          <t>CANAL INDIRECTO</t>
        </is>
      </c>
    </row>
    <row r="237">
      <c r="A237" t="inlineStr">
        <is>
          <t>06/10/2026</t>
        </is>
      </c>
      <c r="B237" t="inlineStr">
        <is>
          <t>2026-08115</t>
        </is>
      </c>
      <c r="C237" t="inlineStr">
        <is>
          <t>163141</t>
        </is>
      </c>
      <c r="D237" t="inlineStr">
        <is>
          <t>163141</t>
        </is>
      </c>
      <c r="E237" t="inlineStr">
        <is>
          <t>ESIM TIGO DIGITAL</t>
        </is>
      </c>
      <c r="F237" t="n">
        <v>70</v>
      </c>
      <c r="G237" t="n">
        <v>14.7</v>
      </c>
      <c r="H237" t="inlineStr">
        <is>
          <t>0.21</t>
        </is>
      </c>
      <c r="J237" t="inlineStr">
        <is>
          <t>AE CORPORATIVO ROMERO RYRTECH MALL EL FORTIN_ELIZABETH SALAGATA</t>
        </is>
      </c>
      <c r="K237" t="inlineStr">
        <is>
          <t>0915962609</t>
        </is>
      </c>
      <c r="M237" t="inlineStr">
        <is>
          <t>INDIRECTO</t>
        </is>
      </c>
      <c r="N237" t="inlineStr">
        <is>
          <t>CANAL INDIRECTO</t>
        </is>
      </c>
    </row>
    <row r="238">
      <c r="A238" t="inlineStr">
        <is>
          <t>06/10/2026</t>
        </is>
      </c>
      <c r="B238" t="inlineStr">
        <is>
          <t>2026-08116</t>
        </is>
      </c>
      <c r="C238" t="inlineStr">
        <is>
          <t>163140_02</t>
        </is>
      </c>
      <c r="D238" t="inlineStr">
        <is>
          <t>163140</t>
        </is>
      </c>
      <c r="E238" t="inlineStr">
        <is>
          <t>HALFSIM TIGO CHIP PREPAGO $3 WP NUMERADO</t>
        </is>
      </c>
      <c r="F238" t="n">
        <v>500</v>
      </c>
      <c r="G238" t="n">
        <v>345</v>
      </c>
      <c r="H238" t="inlineStr">
        <is>
          <t>0.69</t>
        </is>
      </c>
      <c r="J238" t="inlineStr">
        <is>
          <t>FDV&amp;H PRODUCTOS Y SERVICIOS S.A.S. ZONIFICADOS MANTA_VICTOR FLORES DE VALGAZ ANDRADE</t>
        </is>
      </c>
      <c r="K238" t="inlineStr">
        <is>
          <t>1716384035</t>
        </is>
      </c>
      <c r="M238" t="inlineStr">
        <is>
          <t>INDIRECTO</t>
        </is>
      </c>
      <c r="N238" t="inlineStr">
        <is>
          <t>CANAL INDIRECTO</t>
        </is>
      </c>
    </row>
    <row r="239">
      <c r="A239" t="inlineStr">
        <is>
          <t>06/10/2026</t>
        </is>
      </c>
      <c r="B239" t="inlineStr">
        <is>
          <t>2026-08117</t>
        </is>
      </c>
      <c r="C239" t="inlineStr">
        <is>
          <t>163140</t>
        </is>
      </c>
      <c r="D239" t="inlineStr">
        <is>
          <t>163140</t>
        </is>
      </c>
      <c r="E239" t="inlineStr">
        <is>
          <t>HALFSIM TIGO</t>
        </is>
      </c>
      <c r="F239" t="n">
        <v>200</v>
      </c>
      <c r="G239" t="n">
        <v>138</v>
      </c>
      <c r="H239" t="inlineStr">
        <is>
          <t>0.69</t>
        </is>
      </c>
      <c r="J239" t="inlineStr">
        <is>
          <t>CAVS MALL DE LOS ANDES_HERRERA BAYAS PAMELA ALEJANDRA / PALOMO GADVAY DORIAN DANILO</t>
        </is>
      </c>
      <c r="K239" t="inlineStr">
        <is>
          <t>1850061399 / 1804889739</t>
        </is>
      </c>
      <c r="M239" t="inlineStr">
        <is>
          <t>INDIRECTO</t>
        </is>
      </c>
      <c r="N239" t="inlineStr">
        <is>
          <t>CANAL INDIRECTO</t>
        </is>
      </c>
    </row>
    <row r="240">
      <c r="A240" t="inlineStr">
        <is>
          <t>06/10/2026</t>
        </is>
      </c>
      <c r="B240" t="inlineStr">
        <is>
          <t>2026-08117</t>
        </is>
      </c>
      <c r="C240" t="inlineStr">
        <is>
          <t>163141</t>
        </is>
      </c>
      <c r="D240" t="inlineStr">
        <is>
          <t>163141</t>
        </is>
      </c>
      <c r="E240" t="inlineStr">
        <is>
          <t>ESIM TIGO DIGITAL</t>
        </is>
      </c>
      <c r="F240" t="n">
        <v>200</v>
      </c>
      <c r="G240" t="n">
        <v>42</v>
      </c>
      <c r="H240" t="inlineStr">
        <is>
          <t>0.21</t>
        </is>
      </c>
      <c r="J240" t="inlineStr">
        <is>
          <t>CAVS MALL DE LOS ANDES_HERRERA BAYAS PAMELA ALEJANDRA / PALOMO GADVAY DORIAN DANILO</t>
        </is>
      </c>
      <c r="K240" t="inlineStr">
        <is>
          <t>1850061399 / 1804889739</t>
        </is>
      </c>
      <c r="M240" t="inlineStr">
        <is>
          <t>INDIRECTO</t>
        </is>
      </c>
      <c r="N240" t="inlineStr">
        <is>
          <t>CANAL INDIRECTO</t>
        </is>
      </c>
    </row>
    <row r="241">
      <c r="A241" t="inlineStr">
        <is>
          <t>06/10/2026</t>
        </is>
      </c>
      <c r="B241" t="inlineStr">
        <is>
          <t>2026-08119</t>
        </is>
      </c>
      <c r="C241" t="inlineStr">
        <is>
          <t>163140</t>
        </is>
      </c>
      <c r="D241" t="inlineStr">
        <is>
          <t>163140</t>
        </is>
      </c>
      <c r="E241" t="inlineStr">
        <is>
          <t>HALFSIM TIGO</t>
        </is>
      </c>
      <c r="F241" t="n">
        <v>200</v>
      </c>
      <c r="G241" t="n">
        <v>138</v>
      </c>
      <c r="H241" t="inlineStr">
        <is>
          <t>0.69</t>
        </is>
      </c>
      <c r="J241" t="inlineStr">
        <is>
          <t>CAVS MALL DEL PACIFICO_HEIDY DENISSE PLÚA RIVERA / MAYRA CAROLINA GOMEZ GOMEZ</t>
        </is>
      </c>
      <c r="K241" t="inlineStr">
        <is>
          <t>0944025337 / 0953538329</t>
        </is>
      </c>
      <c r="M241" t="inlineStr">
        <is>
          <t>INDIRECTO</t>
        </is>
      </c>
      <c r="N241" t="inlineStr">
        <is>
          <t>CANAL INDIRECTO</t>
        </is>
      </c>
    </row>
    <row r="242">
      <c r="A242" t="inlineStr">
        <is>
          <t>06/10/2026</t>
        </is>
      </c>
      <c r="B242" t="inlineStr">
        <is>
          <t>2026-08122</t>
        </is>
      </c>
      <c r="C242" t="inlineStr">
        <is>
          <t>163140_01</t>
        </is>
      </c>
      <c r="D242" t="inlineStr">
        <is>
          <t>163140</t>
        </is>
      </c>
      <c r="E242" t="inlineStr">
        <is>
          <t>HALFSIM TIGO REPOSICIÓN</t>
        </is>
      </c>
      <c r="F242" t="n">
        <v>100</v>
      </c>
      <c r="G242" t="n">
        <v>69</v>
      </c>
      <c r="H242" t="inlineStr">
        <is>
          <t>0.69</t>
        </is>
      </c>
      <c r="J242" t="inlineStr">
        <is>
          <t>AE CORPORATIVO ROMERO RYRTECH (MALL DEL SUR)_ELIZABETH SALAGATA</t>
        </is>
      </c>
      <c r="K242" t="inlineStr">
        <is>
          <t>0915962609</t>
        </is>
      </c>
      <c r="M242" t="inlineStr">
        <is>
          <t>INDIRECTO</t>
        </is>
      </c>
      <c r="N242" t="inlineStr">
        <is>
          <t>CANAL INDIRECTO</t>
        </is>
      </c>
    </row>
    <row r="243">
      <c r="A243" t="inlineStr">
        <is>
          <t>06/10/2026</t>
        </is>
      </c>
      <c r="B243" t="inlineStr">
        <is>
          <t>2026-08122</t>
        </is>
      </c>
      <c r="C243" t="inlineStr">
        <is>
          <t>163140_02</t>
        </is>
      </c>
      <c r="D243" t="inlineStr">
        <is>
          <t>163140</t>
        </is>
      </c>
      <c r="E243" t="inlineStr">
        <is>
          <t>HALFSIM TIGO CHIP PREPAGO $3 WP NUMERADO</t>
        </is>
      </c>
      <c r="F243" t="n">
        <v>100</v>
      </c>
      <c r="G243" t="n">
        <v>69</v>
      </c>
      <c r="H243" t="inlineStr">
        <is>
          <t>0.69</t>
        </is>
      </c>
      <c r="J243" t="inlineStr">
        <is>
          <t>AE CORPORATIVO ROMERO RYRTECH (MALL DEL SUR)_ELIZABETH SALAGATA</t>
        </is>
      </c>
      <c r="K243" t="inlineStr">
        <is>
          <t>0915962609</t>
        </is>
      </c>
      <c r="M243" t="inlineStr">
        <is>
          <t>INDIRECTO</t>
        </is>
      </c>
      <c r="N243" t="inlineStr">
        <is>
          <t>CANAL INDIRECTO</t>
        </is>
      </c>
    </row>
    <row r="244">
      <c r="A244" t="inlineStr">
        <is>
          <t>06/10/2026</t>
        </is>
      </c>
      <c r="B244" t="inlineStr">
        <is>
          <t>2026-08122</t>
        </is>
      </c>
      <c r="C244" t="inlineStr">
        <is>
          <t>163141</t>
        </is>
      </c>
      <c r="D244" t="inlineStr">
        <is>
          <t>163141</t>
        </is>
      </c>
      <c r="E244" t="inlineStr">
        <is>
          <t>ESIM TIGO DIGITAL</t>
        </is>
      </c>
      <c r="F244" t="n">
        <v>100</v>
      </c>
      <c r="G244" t="n">
        <v>21</v>
      </c>
      <c r="H244" t="inlineStr">
        <is>
          <t>0.21</t>
        </is>
      </c>
      <c r="J244" t="inlineStr">
        <is>
          <t>AE CORPORATIVO ROMERO RYRTECH (MALL DEL SUR)_ELIZABETH SALAGATA</t>
        </is>
      </c>
      <c r="K244" t="inlineStr">
        <is>
          <t>0915962609</t>
        </is>
      </c>
      <c r="M244" t="inlineStr">
        <is>
          <t>INDIRECTO</t>
        </is>
      </c>
      <c r="N244" t="inlineStr">
        <is>
          <t>CANAL INDIRECTO</t>
        </is>
      </c>
    </row>
    <row r="245">
      <c r="A245" t="inlineStr">
        <is>
          <t>06/10/2026</t>
        </is>
      </c>
      <c r="B245" t="inlineStr">
        <is>
          <t>2026-08123</t>
        </is>
      </c>
      <c r="C245" t="inlineStr">
        <is>
          <t>163141</t>
        </is>
      </c>
      <c r="D245" t="inlineStr">
        <is>
          <t>163141</t>
        </is>
      </c>
      <c r="E245" t="inlineStr">
        <is>
          <t>ESIM TIGO DIGITAL</t>
        </is>
      </c>
      <c r="F245" t="n">
        <v>40</v>
      </c>
      <c r="G245" t="n">
        <v>8.4</v>
      </c>
      <c r="H245" t="inlineStr">
        <is>
          <t>0.21</t>
        </is>
      </c>
      <c r="J245" t="inlineStr">
        <is>
          <t>CELL EXPRESS LATACUNGA_GALO PINTADO</t>
        </is>
      </c>
      <c r="K245" t="inlineStr">
        <is>
          <t>0502401268001</t>
        </is>
      </c>
      <c r="M245" t="inlineStr">
        <is>
          <t>INDIRECTO</t>
        </is>
      </c>
      <c r="N245" t="inlineStr">
        <is>
          <t>CANAL INDIRECTO</t>
        </is>
      </c>
    </row>
    <row r="246">
      <c r="A246" t="inlineStr">
        <is>
          <t>06/10/2026</t>
        </is>
      </c>
      <c r="B246" t="inlineStr">
        <is>
          <t>2026-08124</t>
        </is>
      </c>
      <c r="C246" t="inlineStr">
        <is>
          <t>163140_06</t>
        </is>
      </c>
      <c r="D246" t="inlineStr">
        <is>
          <t>163140</t>
        </is>
      </c>
      <c r="E246" t="inlineStr">
        <is>
          <t>HALFSIM TIGO PORTABILIDAD</t>
        </is>
      </c>
      <c r="F246" t="n">
        <v>100</v>
      </c>
      <c r="G246" t="n">
        <v>69</v>
      </c>
      <c r="H246" t="inlineStr">
        <is>
          <t>0.69</t>
        </is>
      </c>
      <c r="J246" t="inlineStr">
        <is>
          <t>SIMEXIA S.A.S. GUAYAQUIL_PABLO ENRIQUE ORTEGA MORAN</t>
        </is>
      </c>
      <c r="K246" t="inlineStr">
        <is>
          <t>0925313504</t>
        </is>
      </c>
      <c r="M246" t="inlineStr">
        <is>
          <t>INDIRECTO</t>
        </is>
      </c>
      <c r="N246" t="inlineStr">
        <is>
          <t>CANAL INDIRECTO</t>
        </is>
      </c>
    </row>
    <row r="247">
      <c r="A247" t="inlineStr">
        <is>
          <t>06/10/2026</t>
        </is>
      </c>
      <c r="B247" t="inlineStr">
        <is>
          <t>2026-08125</t>
        </is>
      </c>
      <c r="C247" t="inlineStr">
        <is>
          <t>163140_02</t>
        </is>
      </c>
      <c r="D247" t="inlineStr">
        <is>
          <t>163140</t>
        </is>
      </c>
      <c r="E247" t="inlineStr">
        <is>
          <t>HALFSIM TIGO CHIP PREPAGO $3 WP NUMERADO</t>
        </is>
      </c>
      <c r="F247" t="n">
        <v>500</v>
      </c>
      <c r="G247" t="n">
        <v>345</v>
      </c>
      <c r="H247" t="inlineStr">
        <is>
          <t>0.69</t>
        </is>
      </c>
      <c r="J247" t="inlineStr">
        <is>
          <t>FDV&amp;H PRODUCTOS Y SERVICIOS S.A.S. ZONIFICADOS SANTO DOMINGO_VICTOR FLORES DE VALGAZ ANDRADE</t>
        </is>
      </c>
      <c r="K247" t="inlineStr">
        <is>
          <t>1716384035</t>
        </is>
      </c>
      <c r="M247" t="inlineStr">
        <is>
          <t>INDIRECTO</t>
        </is>
      </c>
      <c r="N247" t="inlineStr">
        <is>
          <t>CANAL INDIRECTO</t>
        </is>
      </c>
    </row>
    <row r="248">
      <c r="A248" t="inlineStr">
        <is>
          <t>06/10/2026</t>
        </is>
      </c>
      <c r="B248" t="inlineStr">
        <is>
          <t>2026-08126</t>
        </is>
      </c>
      <c r="C248" t="inlineStr">
        <is>
          <t>163140</t>
        </is>
      </c>
      <c r="D248" t="inlineStr">
        <is>
          <t>163140</t>
        </is>
      </c>
      <c r="E248" t="inlineStr">
        <is>
          <t>HALFSIM TIGO</t>
        </is>
      </c>
      <c r="F248" t="n">
        <v>200</v>
      </c>
      <c r="G248" t="n">
        <v>138</v>
      </c>
      <c r="H248" t="inlineStr">
        <is>
          <t>0.69</t>
        </is>
      </c>
      <c r="J248" t="inlineStr">
        <is>
          <t>PDV CELL EXPRESS PUYO_VICENTE XAVIER BENITEZ ENRIQUEZ</t>
        </is>
      </c>
      <c r="K248" t="inlineStr">
        <is>
          <t>0502401268</t>
        </is>
      </c>
      <c r="M248" t="inlineStr">
        <is>
          <t>INDIRECTO</t>
        </is>
      </c>
      <c r="N248" t="inlineStr">
        <is>
          <t>CANAL INDIRECTO</t>
        </is>
      </c>
    </row>
    <row r="249">
      <c r="A249" t="inlineStr">
        <is>
          <t>06/10/2026</t>
        </is>
      </c>
      <c r="B249" t="inlineStr">
        <is>
          <t>2026-08129</t>
        </is>
      </c>
      <c r="C249" t="inlineStr">
        <is>
          <t>163141</t>
        </is>
      </c>
      <c r="D249" t="inlineStr">
        <is>
          <t>163141</t>
        </is>
      </c>
      <c r="E249" t="inlineStr">
        <is>
          <t>ESIM TIGO DIGITAL</t>
        </is>
      </c>
      <c r="F249" t="n">
        <v>300</v>
      </c>
      <c r="G249" t="n">
        <v>63</v>
      </c>
      <c r="H249" t="inlineStr">
        <is>
          <t>0.21</t>
        </is>
      </c>
      <c r="J249" t="inlineStr">
        <is>
          <t>CAVS MALL DEL RIO_MARCO SEBASTIAN FAJARDO / ANDREA ESTEFANIA TIGRE / ALBERTO QUINTERO CORREA</t>
        </is>
      </c>
      <c r="K249" t="inlineStr">
        <is>
          <t>0106434541 / 0104840426 / 1521</t>
        </is>
      </c>
      <c r="M249" t="inlineStr">
        <is>
          <t>INDIRECTO</t>
        </is>
      </c>
      <c r="N249" t="inlineStr">
        <is>
          <t>CANAL INDIRECTO</t>
        </is>
      </c>
    </row>
    <row r="250">
      <c r="A250" t="inlineStr">
        <is>
          <t>06/10/2026</t>
        </is>
      </c>
      <c r="B250" t="inlineStr">
        <is>
          <t>2026-08134</t>
        </is>
      </c>
      <c r="C250" t="inlineStr">
        <is>
          <t>163140_02</t>
        </is>
      </c>
      <c r="D250" t="inlineStr">
        <is>
          <t>163140</t>
        </is>
      </c>
      <c r="E250" t="inlineStr">
        <is>
          <t>HALFSIM TIGO CHIP PREPAGO $3 WP NUMERADO</t>
        </is>
      </c>
      <c r="F250" t="n">
        <v>500</v>
      </c>
      <c r="G250" t="n">
        <v>345</v>
      </c>
      <c r="H250" t="inlineStr">
        <is>
          <t>0.69</t>
        </is>
      </c>
      <c r="J250" t="inlineStr">
        <is>
          <t>FDV&amp;H PRODUCTOS Y SERVICIOS S.A.S. ZONIFICADOS ESMERALDAS_VICTOR FLORES DE VALGAZ ANDRADE</t>
        </is>
      </c>
      <c r="K250" t="inlineStr">
        <is>
          <t>1716384035</t>
        </is>
      </c>
      <c r="M250" t="inlineStr">
        <is>
          <t>INDIRECTO</t>
        </is>
      </c>
      <c r="N250" t="inlineStr">
        <is>
          <t>CANAL INDIRECTO</t>
        </is>
      </c>
    </row>
    <row r="251">
      <c r="A251" t="inlineStr">
        <is>
          <t>06/10/2026</t>
        </is>
      </c>
      <c r="B251" t="inlineStr">
        <is>
          <t>2026-08135</t>
        </is>
      </c>
      <c r="C251" t="inlineStr">
        <is>
          <t>163140_02</t>
        </is>
      </c>
      <c r="D251" t="inlineStr">
        <is>
          <t>163140</t>
        </is>
      </c>
      <c r="E251" t="inlineStr">
        <is>
          <t>HALFSIM TIGO CHIP PREPAGO $3 WP NUMERADO</t>
        </is>
      </c>
      <c r="F251" t="n">
        <v>500</v>
      </c>
      <c r="G251" t="n">
        <v>345</v>
      </c>
      <c r="H251" t="inlineStr">
        <is>
          <t>0.69</t>
        </is>
      </c>
      <c r="J251" t="inlineStr">
        <is>
          <t>FDV&amp;H MANABI PDA_VICTOR FLORES DE VALGAZ ANDRADE</t>
        </is>
      </c>
      <c r="K251" t="inlineStr">
        <is>
          <t>1716384035</t>
        </is>
      </c>
      <c r="M251" t="inlineStr">
        <is>
          <t>INDIRECTO</t>
        </is>
      </c>
      <c r="N251" t="inlineStr">
        <is>
          <t>CANAL INDIRECTO</t>
        </is>
      </c>
    </row>
    <row r="252">
      <c r="A252" t="inlineStr">
        <is>
          <t>06/10/2026</t>
        </is>
      </c>
      <c r="B252" t="inlineStr">
        <is>
          <t>2026-08136</t>
        </is>
      </c>
      <c r="C252" t="inlineStr">
        <is>
          <t>163154</t>
        </is>
      </c>
      <c r="D252" t="inlineStr">
        <is>
          <t>163154</t>
        </is>
      </c>
      <c r="E252" t="inlineStr">
        <is>
          <t>HALFSIM TIGO M2M 2FF</t>
        </is>
      </c>
      <c r="F252" t="n">
        <v>1</v>
      </c>
      <c r="G252" t="n">
        <v>1.02</v>
      </c>
      <c r="H252" t="inlineStr">
        <is>
          <t>1.02</t>
        </is>
      </c>
      <c r="J252" t="inlineStr">
        <is>
          <t>PRUEBAS OTECEL_PATRICIO ESPINEL</t>
        </is>
      </c>
      <c r="K252" t="inlineStr">
        <is>
          <t>1791890663001</t>
        </is>
      </c>
      <c r="M252" t="inlineStr">
        <is>
          <t>INDIRECTO</t>
        </is>
      </c>
      <c r="N252" t="inlineStr">
        <is>
          <t>CANAL INDIRECTO</t>
        </is>
      </c>
    </row>
    <row r="253">
      <c r="A253" t="inlineStr">
        <is>
          <t>06/10/2026</t>
        </is>
      </c>
      <c r="B253" t="inlineStr">
        <is>
          <t>2026-08136</t>
        </is>
      </c>
      <c r="C253" t="inlineStr">
        <is>
          <t>163155</t>
        </is>
      </c>
      <c r="D253" t="inlineStr">
        <is>
          <t>163155</t>
        </is>
      </c>
      <c r="E253" t="inlineStr">
        <is>
          <t>HALFSIM TIGO M2M 3FF</t>
        </is>
      </c>
      <c r="F253" t="n">
        <v>1</v>
      </c>
      <c r="G253" t="n">
        <v>1.02</v>
      </c>
      <c r="H253" t="inlineStr">
        <is>
          <t>1.02</t>
        </is>
      </c>
      <c r="J253" t="inlineStr">
        <is>
          <t>PRUEBAS OTECEL_PATRICIO ESPINEL</t>
        </is>
      </c>
      <c r="K253" t="inlineStr">
        <is>
          <t>1791890663001</t>
        </is>
      </c>
      <c r="M253" t="inlineStr">
        <is>
          <t>INDIRECTO</t>
        </is>
      </c>
      <c r="N253" t="inlineStr">
        <is>
          <t>CANAL INDIRECTO</t>
        </is>
      </c>
    </row>
    <row r="254">
      <c r="A254" t="inlineStr">
        <is>
          <t>06/10/2026</t>
        </is>
      </c>
      <c r="B254" t="inlineStr">
        <is>
          <t>2026-08136</t>
        </is>
      </c>
      <c r="C254" t="inlineStr">
        <is>
          <t>163156</t>
        </is>
      </c>
      <c r="D254" t="inlineStr">
        <is>
          <t>163156</t>
        </is>
      </c>
      <c r="E254" t="inlineStr">
        <is>
          <t>HALFSIM TIGO M2M 4FF</t>
        </is>
      </c>
      <c r="F254" t="n">
        <v>1</v>
      </c>
      <c r="G254" t="n">
        <v>1.02</v>
      </c>
      <c r="H254" t="inlineStr">
        <is>
          <t>1.02</t>
        </is>
      </c>
      <c r="J254" t="inlineStr">
        <is>
          <t>PRUEBAS OTECEL_PATRICIO ESPINEL</t>
        </is>
      </c>
      <c r="K254" t="inlineStr">
        <is>
          <t>1791890663001</t>
        </is>
      </c>
      <c r="M254" t="inlineStr">
        <is>
          <t>INDIRECTO</t>
        </is>
      </c>
      <c r="N254" t="inlineStr">
        <is>
          <t>CANAL INDIRECTO</t>
        </is>
      </c>
    </row>
    <row r="255">
      <c r="A255" t="inlineStr">
        <is>
          <t>06/10/2026</t>
        </is>
      </c>
      <c r="B255" t="inlineStr">
        <is>
          <t>16502917</t>
        </is>
      </c>
      <c r="C255" t="inlineStr">
        <is>
          <t>163140</t>
        </is>
      </c>
      <c r="D255" t="inlineStr">
        <is>
          <t>163140</t>
        </is>
      </c>
      <c r="E255" t="inlineStr">
        <is>
          <t>HALFSIM TIGO</t>
        </is>
      </c>
      <c r="F255" t="n">
        <v>2</v>
      </c>
      <c r="G255" t="n">
        <v>1.38</v>
      </c>
      <c r="H255" t="inlineStr">
        <is>
          <t>0.69</t>
        </is>
      </c>
      <c r="J255" t="inlineStr">
        <is>
          <t>JOSELYN RODRIGUEZ_EFFICOMMERCE S A S</t>
        </is>
      </c>
      <c r="K255" t="inlineStr">
        <is>
          <t>1793198428001</t>
        </is>
      </c>
      <c r="M255" t="inlineStr">
        <is>
          <t>BTB</t>
        </is>
      </c>
      <c r="N255" t="inlineStr">
        <is>
          <t>CANAL DIRECTO</t>
        </is>
      </c>
    </row>
    <row r="256">
      <c r="A256" t="inlineStr">
        <is>
          <t>06/10/2026</t>
        </is>
      </c>
      <c r="B256" t="inlineStr">
        <is>
          <t>16502946</t>
        </is>
      </c>
      <c r="C256" t="inlineStr">
        <is>
          <t>163140</t>
        </is>
      </c>
      <c r="D256" t="inlineStr">
        <is>
          <t>163140</t>
        </is>
      </c>
      <c r="E256" t="inlineStr">
        <is>
          <t>HALFSIM TIGO</t>
        </is>
      </c>
      <c r="F256" t="n">
        <v>1</v>
      </c>
      <c r="G256" t="n">
        <v>0.69</v>
      </c>
      <c r="H256" t="inlineStr">
        <is>
          <t>0.69</t>
        </is>
      </c>
      <c r="J256" t="inlineStr">
        <is>
          <t>RONALD RAMIREZ_UNIVERSIDAD CATOLICA DE SANTIAGO DE GUAYAQUIL</t>
        </is>
      </c>
      <c r="K256" t="inlineStr">
        <is>
          <t>0990149054001</t>
        </is>
      </c>
      <c r="M256" t="inlineStr">
        <is>
          <t>BTB</t>
        </is>
      </c>
      <c r="N256" t="inlineStr">
        <is>
          <t>CANAL DIRECTO</t>
        </is>
      </c>
    </row>
    <row r="257">
      <c r="A257" t="inlineStr">
        <is>
          <t>06/10/2026</t>
        </is>
      </c>
      <c r="B257" t="inlineStr">
        <is>
          <t>16502952</t>
        </is>
      </c>
      <c r="C257" t="inlineStr">
        <is>
          <t>163140</t>
        </is>
      </c>
      <c r="D257" t="inlineStr">
        <is>
          <t>163140</t>
        </is>
      </c>
      <c r="E257" t="inlineStr">
        <is>
          <t>HALFSIM TIGO</t>
        </is>
      </c>
      <c r="F257" t="n">
        <v>1</v>
      </c>
      <c r="G257" t="n">
        <v>0.69</v>
      </c>
      <c r="H257" t="inlineStr">
        <is>
          <t>0.69</t>
        </is>
      </c>
      <c r="J257" t="inlineStr">
        <is>
          <t>SARA BRAVO_ALMACENES DE PRATI S A</t>
        </is>
      </c>
      <c r="K257" t="inlineStr">
        <is>
          <t>0990011214001</t>
        </is>
      </c>
      <c r="M257" t="inlineStr">
        <is>
          <t>BTB</t>
        </is>
      </c>
      <c r="N257" t="inlineStr">
        <is>
          <t>CANAL DIRECTO</t>
        </is>
      </c>
    </row>
    <row r="258">
      <c r="A258" t="inlineStr">
        <is>
          <t>06/10/2026</t>
        </is>
      </c>
      <c r="B258" t="inlineStr">
        <is>
          <t>16502983</t>
        </is>
      </c>
      <c r="C258" t="inlineStr">
        <is>
          <t>163140</t>
        </is>
      </c>
      <c r="D258" t="inlineStr">
        <is>
          <t>163140</t>
        </is>
      </c>
      <c r="E258" t="inlineStr">
        <is>
          <t>HALFSIM TIGO</t>
        </is>
      </c>
      <c r="F258" t="n">
        <v>10</v>
      </c>
      <c r="G258" t="n">
        <v>6.8999999999999995</v>
      </c>
      <c r="H258" t="inlineStr">
        <is>
          <t>0.69</t>
        </is>
      </c>
      <c r="J258" t="inlineStr">
        <is>
          <t>MARIA JOSE RAMIREZ_PANCALI S A</t>
        </is>
      </c>
      <c r="K258" t="inlineStr">
        <is>
          <t>0991383786001</t>
        </is>
      </c>
      <c r="M258" t="inlineStr">
        <is>
          <t>BTB</t>
        </is>
      </c>
      <c r="N258" t="inlineStr">
        <is>
          <t>CANAL DIRECTO</t>
        </is>
      </c>
    </row>
    <row r="259">
      <c r="A259" t="inlineStr">
        <is>
          <t>06/10/2026</t>
        </is>
      </c>
      <c r="B259" t="inlineStr">
        <is>
          <t>16502997</t>
        </is>
      </c>
      <c r="C259" t="inlineStr">
        <is>
          <t>163140</t>
        </is>
      </c>
      <c r="D259" t="inlineStr">
        <is>
          <t>163140</t>
        </is>
      </c>
      <c r="E259" t="inlineStr">
        <is>
          <t>HALFSIM TIGO</t>
        </is>
      </c>
      <c r="F259" t="n">
        <v>10</v>
      </c>
      <c r="G259" t="n">
        <v>6.8999999999999995</v>
      </c>
      <c r="H259" t="inlineStr">
        <is>
          <t>0.69</t>
        </is>
      </c>
      <c r="J259" t="inlineStr">
        <is>
          <t>NARUYAT PINA _BOMBASTIC S A</t>
        </is>
      </c>
      <c r="K259" t="inlineStr">
        <is>
          <t>0992536403001</t>
        </is>
      </c>
      <c r="M259" t="inlineStr">
        <is>
          <t>BTB</t>
        </is>
      </c>
      <c r="N259" t="inlineStr">
        <is>
          <t>CANAL DIRECTO</t>
        </is>
      </c>
    </row>
    <row r="260">
      <c r="A260" t="inlineStr">
        <is>
          <t>06/10/2026</t>
        </is>
      </c>
      <c r="B260" t="inlineStr">
        <is>
          <t>16503011</t>
        </is>
      </c>
      <c r="C260" t="inlineStr">
        <is>
          <t>163140</t>
        </is>
      </c>
      <c r="D260" t="inlineStr">
        <is>
          <t>163140</t>
        </is>
      </c>
      <c r="E260" t="inlineStr">
        <is>
          <t>HALFSIM TIGO</t>
        </is>
      </c>
      <c r="F260" t="n">
        <v>3</v>
      </c>
      <c r="G260" t="n">
        <v>2.0699999999999998</v>
      </c>
      <c r="H260" t="inlineStr">
        <is>
          <t>0.69</t>
        </is>
      </c>
      <c r="J260" t="inlineStr">
        <is>
          <t>ADRIANA MOLINA_AMBIENSA S A</t>
        </is>
      </c>
      <c r="K260" t="inlineStr">
        <is>
          <t>0992427892001</t>
        </is>
      </c>
      <c r="M260" t="inlineStr">
        <is>
          <t>BTB</t>
        </is>
      </c>
      <c r="N260" t="inlineStr">
        <is>
          <t>CANAL DIRECTO</t>
        </is>
      </c>
    </row>
    <row r="261">
      <c r="A261" t="inlineStr">
        <is>
          <t>06/10/2026</t>
        </is>
      </c>
      <c r="B261" t="inlineStr">
        <is>
          <t>16503015</t>
        </is>
      </c>
      <c r="C261" t="inlineStr">
        <is>
          <t>163140</t>
        </is>
      </c>
      <c r="D261" t="inlineStr">
        <is>
          <t>163140</t>
        </is>
      </c>
      <c r="E261" t="inlineStr">
        <is>
          <t>HALFSIM TIGO</t>
        </is>
      </c>
      <c r="F261" t="n">
        <v>1</v>
      </c>
      <c r="G261" t="n">
        <v>0.69</v>
      </c>
      <c r="H261" t="inlineStr">
        <is>
          <t>0.69</t>
        </is>
      </c>
      <c r="J261" t="inlineStr">
        <is>
          <t>LAURA GONZALEZ_LUBTECHNOLOGY CIA LTDA</t>
        </is>
      </c>
      <c r="K261" t="inlineStr">
        <is>
          <t>0991477624001</t>
        </is>
      </c>
      <c r="M261" t="inlineStr">
        <is>
          <t>BTB</t>
        </is>
      </c>
      <c r="N261" t="inlineStr">
        <is>
          <t>CANAL DIRECTO</t>
        </is>
      </c>
    </row>
    <row r="262">
      <c r="A262" t="inlineStr">
        <is>
          <t>06/10/2026</t>
        </is>
      </c>
      <c r="B262" t="inlineStr">
        <is>
          <t>16503087</t>
        </is>
      </c>
      <c r="C262" t="inlineStr">
        <is>
          <t>163140</t>
        </is>
      </c>
      <c r="D262" t="inlineStr">
        <is>
          <t>163140</t>
        </is>
      </c>
      <c r="E262" t="inlineStr">
        <is>
          <t>HALFSIM TIGO</t>
        </is>
      </c>
      <c r="F262" t="n">
        <v>1</v>
      </c>
      <c r="G262" t="n">
        <v>0.69</v>
      </c>
      <c r="H262" t="inlineStr">
        <is>
          <t>0.69</t>
        </is>
      </c>
      <c r="J262" t="inlineStr">
        <is>
          <t>JORGE LUIS REYES_SODICE CIA LTDA</t>
        </is>
      </c>
      <c r="K262" t="inlineStr">
        <is>
          <t>0993379504001</t>
        </is>
      </c>
      <c r="M262" t="inlineStr">
        <is>
          <t>BTB</t>
        </is>
      </c>
      <c r="N262" t="inlineStr">
        <is>
          <t>CANAL DIRECTO</t>
        </is>
      </c>
    </row>
    <row r="263">
      <c r="A263" t="inlineStr">
        <is>
          <t>06/10/2026</t>
        </is>
      </c>
      <c r="B263" t="inlineStr">
        <is>
          <t>610263</t>
        </is>
      </c>
      <c r="C263" t="inlineStr">
        <is>
          <t>163140</t>
        </is>
      </c>
      <c r="D263" t="inlineStr">
        <is>
          <t>163140</t>
        </is>
      </c>
      <c r="E263" t="inlineStr">
        <is>
          <t>HALFSIM TIGO</t>
        </is>
      </c>
      <c r="F263" t="n">
        <v>300</v>
      </c>
      <c r="G263" t="n">
        <v>206.99999999999997</v>
      </c>
      <c r="H263" t="inlineStr">
        <is>
          <t>0.69</t>
        </is>
      </c>
      <c r="J263" t="inlineStr">
        <is>
          <t>DANILO GONZALEZ_DANILO GONZALEZ</t>
        </is>
      </c>
      <c r="K263" t="inlineStr">
        <is>
          <t>912473600</t>
        </is>
      </c>
      <c r="M263" t="inlineStr">
        <is>
          <t>BTB</t>
        </is>
      </c>
      <c r="N263" t="inlineStr">
        <is>
          <t>CANAL DIRECTO</t>
        </is>
      </c>
    </row>
    <row r="264">
      <c r="A264" t="inlineStr">
        <is>
          <t>06/10/2026</t>
        </is>
      </c>
      <c r="B264" t="inlineStr">
        <is>
          <t>2026-08155</t>
        </is>
      </c>
      <c r="C264" t="inlineStr">
        <is>
          <t>163140_06</t>
        </is>
      </c>
      <c r="D264" t="inlineStr">
        <is>
          <t>163140</t>
        </is>
      </c>
      <c r="E264" t="inlineStr">
        <is>
          <t>HALFSIM TIGO PORTABILIDAD</t>
        </is>
      </c>
      <c r="F264" t="n">
        <v>500</v>
      </c>
      <c r="G264" t="n">
        <v>345</v>
      </c>
      <c r="H264" t="inlineStr">
        <is>
          <t>0.69</t>
        </is>
      </c>
      <c r="J264" t="inlineStr">
        <is>
          <t>TARSISINVEST TUENTI KENNEDY_MARCO BASTIDAS TOALA</t>
        </is>
      </c>
      <c r="K264" t="inlineStr">
        <is>
          <t>0992862459001</t>
        </is>
      </c>
      <c r="M264" t="inlineStr">
        <is>
          <t>INDIRECTO</t>
        </is>
      </c>
      <c r="N264" t="inlineStr">
        <is>
          <t>CANAL INDIRECTO</t>
        </is>
      </c>
    </row>
    <row r="265">
      <c r="A265" t="inlineStr">
        <is>
          <t>07/10/2026</t>
        </is>
      </c>
      <c r="B265" t="inlineStr">
        <is>
          <t>16500565</t>
        </is>
      </c>
      <c r="C265" t="inlineStr">
        <is>
          <t>163140</t>
        </is>
      </c>
      <c r="D265" t="inlineStr">
        <is>
          <t>163140</t>
        </is>
      </c>
      <c r="E265" t="inlineStr">
        <is>
          <t>HALFSIM TIGO</t>
        </is>
      </c>
      <c r="F265" t="n">
        <v>1</v>
      </c>
      <c r="G265" t="n">
        <v>0.69</v>
      </c>
      <c r="H265" t="inlineStr">
        <is>
          <t>0.69</t>
        </is>
      </c>
      <c r="J265" t="inlineStr">
        <is>
          <t>CARLOS LOPEZ DELGADO_MANACRIPEX CIA LTDA MANABITA DE CRIA PESCA Y E</t>
        </is>
      </c>
      <c r="K265" t="inlineStr">
        <is>
          <t>1391700830001</t>
        </is>
      </c>
      <c r="M265" t="inlineStr">
        <is>
          <t>BTB</t>
        </is>
      </c>
      <c r="N265" t="inlineStr">
        <is>
          <t>CANAL DIRECTO</t>
        </is>
      </c>
    </row>
    <row r="266">
      <c r="A266" t="inlineStr">
        <is>
          <t>07/10/2026</t>
        </is>
      </c>
      <c r="B266" t="inlineStr">
        <is>
          <t>97723174</t>
        </is>
      </c>
      <c r="C266" t="inlineStr">
        <is>
          <t>163140</t>
        </is>
      </c>
      <c r="D266" t="inlineStr">
        <is>
          <t>163140</t>
        </is>
      </c>
      <c r="E266" t="inlineStr">
        <is>
          <t>HALFSIM TIGO</t>
        </is>
      </c>
      <c r="F266" t="n">
        <v>1</v>
      </c>
      <c r="G266" t="n">
        <v>0.69</v>
      </c>
      <c r="H266" t="inlineStr">
        <is>
          <t>0.69</t>
        </is>
      </c>
      <c r="J266" t="inlineStr">
        <is>
          <t>Bri Macay</t>
        </is>
      </c>
      <c r="K266" t="inlineStr">
        <is>
          <t>0944108455</t>
        </is>
      </c>
      <c r="L266" t="inlineStr">
        <is>
          <t>Guayaquil</t>
        </is>
      </c>
      <c r="M266" t="inlineStr">
        <is>
          <t>Cliente Final</t>
        </is>
      </c>
      <c r="N266" t="inlineStr">
        <is>
          <t>CANAL INDIRECTO</t>
        </is>
      </c>
    </row>
    <row r="267">
      <c r="A267" t="inlineStr">
        <is>
          <t>07/10/2026</t>
        </is>
      </c>
      <c r="B267" t="inlineStr">
        <is>
          <t>16501169</t>
        </is>
      </c>
      <c r="C267" t="inlineStr">
        <is>
          <t>163140</t>
        </is>
      </c>
      <c r="D267" t="inlineStr">
        <is>
          <t>163140</t>
        </is>
      </c>
      <c r="E267" t="inlineStr">
        <is>
          <t>HALFSIM TIGO</t>
        </is>
      </c>
      <c r="F267" t="n">
        <v>1</v>
      </c>
      <c r="G267" t="n">
        <v>0.69</v>
      </c>
      <c r="H267" t="inlineStr">
        <is>
          <t>0.69</t>
        </is>
      </c>
      <c r="J267" t="inlineStr">
        <is>
          <t>SANDRA CUSTODE_ESTUDIO TESS S A S</t>
        </is>
      </c>
      <c r="K267" t="inlineStr">
        <is>
          <t>1793136567001</t>
        </is>
      </c>
      <c r="M267" t="inlineStr">
        <is>
          <t>BTB</t>
        </is>
      </c>
      <c r="N267" t="inlineStr">
        <is>
          <t>CANAL DIRECTO</t>
        </is>
      </c>
    </row>
    <row r="268">
      <c r="A268" t="inlineStr">
        <is>
          <t>07/10/2026</t>
        </is>
      </c>
      <c r="B268" t="inlineStr">
        <is>
          <t>16502171</t>
        </is>
      </c>
      <c r="C268" t="inlineStr">
        <is>
          <t>163140</t>
        </is>
      </c>
      <c r="D268" t="inlineStr">
        <is>
          <t>163140</t>
        </is>
      </c>
      <c r="E268" t="inlineStr">
        <is>
          <t>HALFSIM TIGO</t>
        </is>
      </c>
      <c r="F268" t="n">
        <v>10</v>
      </c>
      <c r="G268" t="n">
        <v>6.8999999999999995</v>
      </c>
      <c r="H268" t="inlineStr">
        <is>
          <t>0.69</t>
        </is>
      </c>
      <c r="J268" t="inlineStr">
        <is>
          <t>ESTEFANIA CRUZ_PAYLESS SHOESOURCE ECUADOR CIA LTDA</t>
        </is>
      </c>
      <c r="K268" t="inlineStr">
        <is>
          <t>1791807529001</t>
        </is>
      </c>
      <c r="M268" t="inlineStr">
        <is>
          <t>BTB</t>
        </is>
      </c>
      <c r="N268" t="inlineStr">
        <is>
          <t>CANAL DIRECTO</t>
        </is>
      </c>
    </row>
    <row r="269">
      <c r="A269" t="inlineStr">
        <is>
          <t>07/10/2026</t>
        </is>
      </c>
      <c r="B269" t="inlineStr">
        <is>
          <t>97729925</t>
        </is>
      </c>
      <c r="C269" t="inlineStr">
        <is>
          <t>163140</t>
        </is>
      </c>
      <c r="D269" t="inlineStr">
        <is>
          <t>163140</t>
        </is>
      </c>
      <c r="E269" t="inlineStr">
        <is>
          <t>HALFSIM TIGO</t>
        </is>
      </c>
      <c r="F269" t="n">
        <v>1</v>
      </c>
      <c r="G269" t="n">
        <v>0.69</v>
      </c>
      <c r="H269" t="inlineStr">
        <is>
          <t>0.69</t>
        </is>
      </c>
      <c r="J269" t="inlineStr">
        <is>
          <t>Kevin feijoo</t>
        </is>
      </c>
      <c r="K269" t="inlineStr">
        <is>
          <t>0705809465</t>
        </is>
      </c>
      <c r="L269" t="inlineStr">
        <is>
          <t>-3.2591626,-79.95686119999999</t>
        </is>
      </c>
      <c r="M269" t="inlineStr">
        <is>
          <t>Cliente Final</t>
        </is>
      </c>
      <c r="N269" t="inlineStr">
        <is>
          <t>CANAL INDIRECTO</t>
        </is>
      </c>
    </row>
    <row r="270">
      <c r="A270" t="inlineStr">
        <is>
          <t>07/10/2026</t>
        </is>
      </c>
      <c r="B270" t="inlineStr">
        <is>
          <t>16502400</t>
        </is>
      </c>
      <c r="C270" t="inlineStr">
        <is>
          <t>163140</t>
        </is>
      </c>
      <c r="D270" t="inlineStr">
        <is>
          <t>163140</t>
        </is>
      </c>
      <c r="E270" t="inlineStr">
        <is>
          <t>HALFSIM TIGO</t>
        </is>
      </c>
      <c r="F270" t="n">
        <v>1</v>
      </c>
      <c r="G270" t="n">
        <v>0.69</v>
      </c>
      <c r="H270" t="inlineStr">
        <is>
          <t>0.69</t>
        </is>
      </c>
      <c r="J270" t="inlineStr">
        <is>
          <t>SHIGLA CEPEDA ANTHONY JOSE_SHIGLA CEPEDA ANTHONY JOSE</t>
        </is>
      </c>
      <c r="K270" t="inlineStr">
        <is>
          <t>2450773714001</t>
        </is>
      </c>
      <c r="M270" t="inlineStr">
        <is>
          <t>BTB</t>
        </is>
      </c>
      <c r="N270" t="inlineStr">
        <is>
          <t>CANAL DIRECTO</t>
        </is>
      </c>
    </row>
    <row r="271">
      <c r="A271" t="inlineStr">
        <is>
          <t>07/10/2026</t>
        </is>
      </c>
      <c r="B271" t="inlineStr">
        <is>
          <t>16502439</t>
        </is>
      </c>
      <c r="C271" t="inlineStr">
        <is>
          <t>163140</t>
        </is>
      </c>
      <c r="D271" t="inlineStr">
        <is>
          <t>163140</t>
        </is>
      </c>
      <c r="E271" t="inlineStr">
        <is>
          <t>HALFSIM TIGO</t>
        </is>
      </c>
      <c r="F271" t="n">
        <v>1</v>
      </c>
      <c r="G271" t="n">
        <v>0.69</v>
      </c>
      <c r="H271" t="inlineStr">
        <is>
          <t>0.69</t>
        </is>
      </c>
      <c r="J271" t="inlineStr">
        <is>
          <t>CUMBAL CUMBAL DIEGO ALFREDO_CUMBAL CUMBAL DIEGO ALFREDO</t>
        </is>
      </c>
      <c r="K271" t="inlineStr">
        <is>
          <t>1721361168001</t>
        </is>
      </c>
      <c r="M271" t="inlineStr">
        <is>
          <t>BTB</t>
        </is>
      </c>
      <c r="N271" t="inlineStr">
        <is>
          <t>CANAL DIRECTO</t>
        </is>
      </c>
    </row>
    <row r="272">
      <c r="A272" t="inlineStr">
        <is>
          <t>07/10/2026</t>
        </is>
      </c>
      <c r="B272" t="inlineStr">
        <is>
          <t>16502413</t>
        </is>
      </c>
      <c r="C272" t="inlineStr">
        <is>
          <t>163140</t>
        </is>
      </c>
      <c r="D272" t="inlineStr">
        <is>
          <t>163140</t>
        </is>
      </c>
      <c r="E272" t="inlineStr">
        <is>
          <t>HALFSIM TIGO</t>
        </is>
      </c>
      <c r="F272" t="n">
        <v>1</v>
      </c>
      <c r="G272" t="n">
        <v>0.69</v>
      </c>
      <c r="H272" t="inlineStr">
        <is>
          <t>0.69</t>
        </is>
      </c>
      <c r="J272" t="inlineStr">
        <is>
          <t>EDISSON TUTILLO_ PAYLESS SHOESOURCE ECUADOR CIA LTDA</t>
        </is>
      </c>
      <c r="K272" t="inlineStr">
        <is>
          <t>1791807529001</t>
        </is>
      </c>
      <c r="M272" t="inlineStr">
        <is>
          <t>BTB</t>
        </is>
      </c>
      <c r="N272" t="inlineStr">
        <is>
          <t>CANAL DIRECTO</t>
        </is>
      </c>
    </row>
    <row r="273">
      <c r="A273" t="inlineStr">
        <is>
          <t>07/10/2026</t>
        </is>
      </c>
      <c r="B273" t="inlineStr">
        <is>
          <t>16502443</t>
        </is>
      </c>
      <c r="C273" t="inlineStr">
        <is>
          <t>163140</t>
        </is>
      </c>
      <c r="D273" t="inlineStr">
        <is>
          <t>163140</t>
        </is>
      </c>
      <c r="E273" t="inlineStr">
        <is>
          <t>HALFSIM TIGO</t>
        </is>
      </c>
      <c r="F273" t="n">
        <v>2</v>
      </c>
      <c r="G273" t="n">
        <v>1.38</v>
      </c>
      <c r="H273" t="inlineStr">
        <is>
          <t>0.69</t>
        </is>
      </c>
      <c r="J273" t="inlineStr">
        <is>
          <t>EVELYN NUNEZ_CARGILL AQUANUTRITION ECUADOR CIA LTDA</t>
        </is>
      </c>
      <c r="K273" t="inlineStr">
        <is>
          <t>0993376610001</t>
        </is>
      </c>
      <c r="M273" t="inlineStr">
        <is>
          <t>BTB</t>
        </is>
      </c>
      <c r="N273" t="inlineStr">
        <is>
          <t>CANAL DIRECTO</t>
        </is>
      </c>
    </row>
    <row r="274">
      <c r="A274" t="inlineStr">
        <is>
          <t>07/10/2026</t>
        </is>
      </c>
      <c r="B274" t="inlineStr">
        <is>
          <t>16502466</t>
        </is>
      </c>
      <c r="C274" t="inlineStr">
        <is>
          <t>162115</t>
        </is>
      </c>
      <c r="D274" t="inlineStr">
        <is>
          <t>162115</t>
        </is>
      </c>
      <c r="E274" t="inlineStr">
        <is>
          <t>SIMCARD M2M 2FF LTE</t>
        </is>
      </c>
      <c r="F274" t="n">
        <v>400</v>
      </c>
      <c r="G274" t="n">
        <v>548</v>
      </c>
      <c r="H274" t="inlineStr">
        <is>
          <t>1.37</t>
        </is>
      </c>
      <c r="J274" t="inlineStr">
        <is>
          <t>PAOLA PAUCAR_ROAD TRACK ECUADOR S A</t>
        </is>
      </c>
      <c r="K274" t="inlineStr">
        <is>
          <t>1791887565001</t>
        </is>
      </c>
      <c r="M274" t="inlineStr">
        <is>
          <t>BTB</t>
        </is>
      </c>
      <c r="N274" t="inlineStr">
        <is>
          <t>CANAL DIRECTO</t>
        </is>
      </c>
    </row>
    <row r="275">
      <c r="A275" t="inlineStr">
        <is>
          <t>07/10/2026</t>
        </is>
      </c>
      <c r="B275" t="inlineStr">
        <is>
          <t>16502867</t>
        </is>
      </c>
      <c r="C275" t="inlineStr">
        <is>
          <t>163140</t>
        </is>
      </c>
      <c r="D275" t="inlineStr">
        <is>
          <t>163140</t>
        </is>
      </c>
      <c r="E275" t="inlineStr">
        <is>
          <t>HALFSIM TIGO</t>
        </is>
      </c>
      <c r="F275" t="n">
        <v>1</v>
      </c>
      <c r="G275" t="n">
        <v>0.69</v>
      </c>
      <c r="H275" t="inlineStr">
        <is>
          <t>0.69</t>
        </is>
      </c>
      <c r="J275" t="inlineStr">
        <is>
          <t>HENRRY VINICIO BRAVO ESTEVEZ_HENRRY VINICIO BRAVO ESTEVEZ</t>
        </is>
      </c>
      <c r="K275" t="inlineStr">
        <is>
          <t>1715058507001</t>
        </is>
      </c>
      <c r="M275" t="inlineStr">
        <is>
          <t>BTB</t>
        </is>
      </c>
      <c r="N275" t="inlineStr">
        <is>
          <t>CANAL DIRECTO</t>
        </is>
      </c>
    </row>
    <row r="276">
      <c r="A276" t="inlineStr">
        <is>
          <t>07/10/2026</t>
        </is>
      </c>
      <c r="B276" t="inlineStr">
        <is>
          <t>16502880</t>
        </is>
      </c>
      <c r="C276" t="inlineStr">
        <is>
          <t>163140</t>
        </is>
      </c>
      <c r="D276" t="inlineStr">
        <is>
          <t>163140</t>
        </is>
      </c>
      <c r="E276" t="inlineStr">
        <is>
          <t>HALFSIM TIGO</t>
        </is>
      </c>
      <c r="F276" t="n">
        <v>1</v>
      </c>
      <c r="G276" t="n">
        <v>0.69</v>
      </c>
      <c r="H276" t="inlineStr">
        <is>
          <t>0.69</t>
        </is>
      </c>
      <c r="J276" t="inlineStr">
        <is>
          <t>JIMENEZ TORRES CARLOS GREGORIO_JIMENEZ TORRES CARLOS GREGORIO</t>
        </is>
      </c>
      <c r="K276" t="inlineStr">
        <is>
          <t>0917721235001</t>
        </is>
      </c>
      <c r="M276" t="inlineStr">
        <is>
          <t>BTB</t>
        </is>
      </c>
      <c r="N276" t="inlineStr">
        <is>
          <t>CANAL DIRECTO</t>
        </is>
      </c>
    </row>
    <row r="277">
      <c r="A277" t="inlineStr">
        <is>
          <t>07/10/2026</t>
        </is>
      </c>
      <c r="B277" t="inlineStr">
        <is>
          <t>16502886</t>
        </is>
      </c>
      <c r="C277" t="inlineStr">
        <is>
          <t>163140</t>
        </is>
      </c>
      <c r="D277" t="inlineStr">
        <is>
          <t>163140</t>
        </is>
      </c>
      <c r="E277" t="inlineStr">
        <is>
          <t>HALFSIM TIGO</t>
        </is>
      </c>
      <c r="F277" t="n">
        <v>2</v>
      </c>
      <c r="G277" t="n">
        <v>1.38</v>
      </c>
      <c r="H277" t="inlineStr">
        <is>
          <t>0.69</t>
        </is>
      </c>
      <c r="J277" t="inlineStr">
        <is>
          <t>EDISSON TUTILLO_ PAYLESS SHOESOURCE ECUADOR CIA LTDA</t>
        </is>
      </c>
      <c r="K277" t="inlineStr">
        <is>
          <t>1791807529001</t>
        </is>
      </c>
      <c r="M277" t="inlineStr">
        <is>
          <t>BTB</t>
        </is>
      </c>
      <c r="N277" t="inlineStr">
        <is>
          <t>CANAL DIRECTO</t>
        </is>
      </c>
    </row>
    <row r="278">
      <c r="A278" t="inlineStr">
        <is>
          <t>07/10/2026</t>
        </is>
      </c>
      <c r="B278" t="inlineStr">
        <is>
          <t>2026-08116</t>
        </is>
      </c>
      <c r="C278" t="inlineStr">
        <is>
          <t>163140_02</t>
        </is>
      </c>
      <c r="D278" t="inlineStr">
        <is>
          <t>163140</t>
        </is>
      </c>
      <c r="E278" t="inlineStr">
        <is>
          <t>HALFSIM TIGO CHIP PREPAGO $3 WP NUMERADO</t>
        </is>
      </c>
      <c r="F278" t="n">
        <v>500</v>
      </c>
      <c r="G278" t="n">
        <v>345</v>
      </c>
      <c r="H278" t="inlineStr">
        <is>
          <t>0.69</t>
        </is>
      </c>
      <c r="J278" t="inlineStr">
        <is>
          <t>FDV&amp;H PRODUCTOS Y SERVICIOS S.A.S. ZONIFICADOS MANTA_VICTOR FLORES DE VALGAZ ANDRADE</t>
        </is>
      </c>
      <c r="K278" t="inlineStr">
        <is>
          <t>1716384035</t>
        </is>
      </c>
      <c r="M278" t="inlineStr">
        <is>
          <t>INDIRECTO</t>
        </is>
      </c>
      <c r="N278" t="inlineStr">
        <is>
          <t>CANAL INDIRECTO</t>
        </is>
      </c>
    </row>
    <row r="279">
      <c r="A279" t="inlineStr">
        <is>
          <t>07/10/2026</t>
        </is>
      </c>
      <c r="B279" t="inlineStr">
        <is>
          <t>2026-08135</t>
        </is>
      </c>
      <c r="C279" t="inlineStr">
        <is>
          <t>163140_02</t>
        </is>
      </c>
      <c r="D279" t="inlineStr">
        <is>
          <t>163140</t>
        </is>
      </c>
      <c r="E279" t="inlineStr">
        <is>
          <t>HALFSIM TIGO CHIP PREPAGO $3 WP NUMERADO</t>
        </is>
      </c>
      <c r="F279" t="n">
        <v>500</v>
      </c>
      <c r="G279" t="n">
        <v>345</v>
      </c>
      <c r="H279" t="inlineStr">
        <is>
          <t>0.69</t>
        </is>
      </c>
      <c r="J279" t="inlineStr">
        <is>
          <t>FDV&amp;H MANABI PDA_VICTOR FLORES DE VALGAZ ANDRADE</t>
        </is>
      </c>
      <c r="K279" t="inlineStr">
        <is>
          <t>1716384035</t>
        </is>
      </c>
      <c r="M279" t="inlineStr">
        <is>
          <t>INDIRECTO</t>
        </is>
      </c>
      <c r="N279" t="inlineStr">
        <is>
          <t>CANAL INDIRECTO</t>
        </is>
      </c>
    </row>
    <row r="280">
      <c r="A280" t="inlineStr">
        <is>
          <t>07/10/2026</t>
        </is>
      </c>
      <c r="B280" t="inlineStr">
        <is>
          <t>16502915</t>
        </is>
      </c>
      <c r="C280" t="inlineStr">
        <is>
          <t>163140</t>
        </is>
      </c>
      <c r="D280" t="inlineStr">
        <is>
          <t>163140</t>
        </is>
      </c>
      <c r="E280" t="inlineStr">
        <is>
          <t>HALFSIM TIGO</t>
        </is>
      </c>
      <c r="F280" t="n">
        <v>1</v>
      </c>
      <c r="G280" t="n">
        <v>0.69</v>
      </c>
      <c r="H280" t="inlineStr">
        <is>
          <t>0.69</t>
        </is>
      </c>
      <c r="J280" t="inlineStr">
        <is>
          <t>EVELIN NARCIZA TIPAN ECHEVERRIA_EVELIN NARCIZA TIPAN ECHEVERRIA</t>
        </is>
      </c>
      <c r="K280" t="inlineStr">
        <is>
          <t>1717440281001</t>
        </is>
      </c>
      <c r="M280" t="inlineStr">
        <is>
          <t>BTB</t>
        </is>
      </c>
      <c r="N280" t="inlineStr">
        <is>
          <t>CANAL DIRECTO</t>
        </is>
      </c>
    </row>
    <row r="281">
      <c r="A281" t="inlineStr">
        <is>
          <t>07/10/2026</t>
        </is>
      </c>
      <c r="B281" t="inlineStr">
        <is>
          <t>16502951</t>
        </is>
      </c>
      <c r="C281" t="inlineStr">
        <is>
          <t>163140</t>
        </is>
      </c>
      <c r="D281" t="inlineStr">
        <is>
          <t>163140</t>
        </is>
      </c>
      <c r="E281" t="inlineStr">
        <is>
          <t>HALFSIM TIGO</t>
        </is>
      </c>
      <c r="F281" t="n">
        <v>1</v>
      </c>
      <c r="G281" t="n">
        <v>0.69</v>
      </c>
      <c r="H281" t="inlineStr">
        <is>
          <t>0.69</t>
        </is>
      </c>
      <c r="J281" t="inlineStr">
        <is>
          <t>LIZANDRO OJEDA_LIZANDRO HERNAN OJEDA FRUTOS</t>
        </is>
      </c>
      <c r="K281" t="inlineStr">
        <is>
          <t>1803218526001</t>
        </is>
      </c>
      <c r="M281" t="inlineStr">
        <is>
          <t>BTB</t>
        </is>
      </c>
      <c r="N281" t="inlineStr">
        <is>
          <t>CANAL DIRECTO</t>
        </is>
      </c>
    </row>
    <row r="282">
      <c r="A282" t="inlineStr">
        <is>
          <t>07/10/2026</t>
        </is>
      </c>
      <c r="B282" t="inlineStr">
        <is>
          <t>16502914</t>
        </is>
      </c>
      <c r="C282" t="inlineStr">
        <is>
          <t>163140</t>
        </is>
      </c>
      <c r="D282" t="inlineStr">
        <is>
          <t>163140</t>
        </is>
      </c>
      <c r="E282" t="inlineStr">
        <is>
          <t>HALFSIM TIGO</t>
        </is>
      </c>
      <c r="F282" t="n">
        <v>1</v>
      </c>
      <c r="G282" t="n">
        <v>0.69</v>
      </c>
      <c r="H282" t="inlineStr">
        <is>
          <t>0.69</t>
        </is>
      </c>
      <c r="J282" t="inlineStr">
        <is>
          <t>SARA RIASCOS_TU RASTREO GLOBAL TRASGLO S A</t>
        </is>
      </c>
      <c r="K282" t="inlineStr">
        <is>
          <t>1793108903001</t>
        </is>
      </c>
      <c r="M282" t="inlineStr">
        <is>
          <t>BTB</t>
        </is>
      </c>
      <c r="N282" t="inlineStr">
        <is>
          <t>CANAL DIRECTO</t>
        </is>
      </c>
    </row>
    <row r="283">
      <c r="A283" t="inlineStr">
        <is>
          <t>07/10/2026</t>
        </is>
      </c>
      <c r="B283" t="inlineStr">
        <is>
          <t>16502916</t>
        </is>
      </c>
      <c r="C283" t="inlineStr">
        <is>
          <t>163140</t>
        </is>
      </c>
      <c r="D283" t="inlineStr">
        <is>
          <t>163140</t>
        </is>
      </c>
      <c r="E283" t="inlineStr">
        <is>
          <t>HALFSIM TIGO</t>
        </is>
      </c>
      <c r="F283" t="n">
        <v>1</v>
      </c>
      <c r="G283" t="n">
        <v>0.69</v>
      </c>
      <c r="H283" t="inlineStr">
        <is>
          <t>0.69</t>
        </is>
      </c>
      <c r="J283" t="inlineStr">
        <is>
          <t>LUIGI DENNIS BENAVIDES OBANDO_ EMMANUEL JESUS ALEJANDRO RODRIGUEZ CAMPOS</t>
        </is>
      </c>
      <c r="K283" t="inlineStr">
        <is>
          <t>1757865124001</t>
        </is>
      </c>
      <c r="M283" t="inlineStr">
        <is>
          <t>BTB</t>
        </is>
      </c>
      <c r="N283" t="inlineStr">
        <is>
          <t>CANAL DIRECTO</t>
        </is>
      </c>
    </row>
    <row r="284">
      <c r="A284" t="inlineStr">
        <is>
          <t>07/10/2026</t>
        </is>
      </c>
      <c r="B284" t="inlineStr">
        <is>
          <t>16502920</t>
        </is>
      </c>
      <c r="C284" t="inlineStr">
        <is>
          <t>163140</t>
        </is>
      </c>
      <c r="D284" t="inlineStr">
        <is>
          <t>163140</t>
        </is>
      </c>
      <c r="E284" t="inlineStr">
        <is>
          <t>HALFSIM TIGO</t>
        </is>
      </c>
      <c r="F284" t="n">
        <v>1</v>
      </c>
      <c r="G284" t="n">
        <v>0.69</v>
      </c>
      <c r="H284" t="inlineStr">
        <is>
          <t>0.69</t>
        </is>
      </c>
      <c r="J284" t="inlineStr">
        <is>
          <t>LORENA CEVALLOS_CEVCONCIV CONSTRUCTORES CIVILES CIA LTDA</t>
        </is>
      </c>
      <c r="K284" t="inlineStr">
        <is>
          <t>1792258510001</t>
        </is>
      </c>
      <c r="M284" t="inlineStr">
        <is>
          <t>BTB</t>
        </is>
      </c>
      <c r="N284" t="inlineStr">
        <is>
          <t>CANAL DIRECTO</t>
        </is>
      </c>
    </row>
    <row r="285">
      <c r="A285" t="inlineStr">
        <is>
          <t>07/10/2026</t>
        </is>
      </c>
      <c r="B285" t="inlineStr">
        <is>
          <t>16502922</t>
        </is>
      </c>
      <c r="C285" t="inlineStr">
        <is>
          <t>163140</t>
        </is>
      </c>
      <c r="D285" t="inlineStr">
        <is>
          <t>163140</t>
        </is>
      </c>
      <c r="E285" t="inlineStr">
        <is>
          <t>HALFSIM TIGO</t>
        </is>
      </c>
      <c r="F285" t="n">
        <v>10</v>
      </c>
      <c r="G285" t="n">
        <v>6.8999999999999995</v>
      </c>
      <c r="H285" t="inlineStr">
        <is>
          <t>0.69</t>
        </is>
      </c>
      <c r="J285" t="inlineStr">
        <is>
          <t>CESAR SORIANO_SINDICATO PROVINCIALDE TRABAJADORES DE LA EMPRESA</t>
        </is>
      </c>
      <c r="K285" t="inlineStr">
        <is>
          <t>0992633999001</t>
        </is>
      </c>
      <c r="M285" t="inlineStr">
        <is>
          <t>BTB</t>
        </is>
      </c>
      <c r="N285" t="inlineStr">
        <is>
          <t>CANAL DIRECTO</t>
        </is>
      </c>
    </row>
    <row r="286">
      <c r="A286" t="inlineStr">
        <is>
          <t>07/10/2026</t>
        </is>
      </c>
      <c r="B286" t="inlineStr">
        <is>
          <t>16502943</t>
        </is>
      </c>
      <c r="C286" t="inlineStr">
        <is>
          <t>163140</t>
        </is>
      </c>
      <c r="D286" t="inlineStr">
        <is>
          <t>163140</t>
        </is>
      </c>
      <c r="E286" t="inlineStr">
        <is>
          <t>HALFSIM TIGO</t>
        </is>
      </c>
      <c r="F286" t="n">
        <v>1</v>
      </c>
      <c r="G286" t="n">
        <v>0.69</v>
      </c>
      <c r="H286" t="inlineStr">
        <is>
          <t>0.69</t>
        </is>
      </c>
      <c r="J286" t="inlineStr">
        <is>
          <t>IVETH MEJIA_OBEN ECUADOR S A</t>
        </is>
      </c>
      <c r="K286" t="inlineStr">
        <is>
          <t>1790663671001</t>
        </is>
      </c>
      <c r="M286" t="inlineStr">
        <is>
          <t>BTB</t>
        </is>
      </c>
      <c r="N286" t="inlineStr">
        <is>
          <t>CANAL DIRECTO</t>
        </is>
      </c>
    </row>
    <row r="287">
      <c r="A287" t="inlineStr">
        <is>
          <t>07/10/2026</t>
        </is>
      </c>
      <c r="B287" t="inlineStr">
        <is>
          <t>16502950</t>
        </is>
      </c>
      <c r="C287" t="inlineStr">
        <is>
          <t>163140</t>
        </is>
      </c>
      <c r="D287" t="inlineStr">
        <is>
          <t>163140</t>
        </is>
      </c>
      <c r="E287" t="inlineStr">
        <is>
          <t>HALFSIM TIGO</t>
        </is>
      </c>
      <c r="F287" t="n">
        <v>1</v>
      </c>
      <c r="G287" t="n">
        <v>0.69</v>
      </c>
      <c r="H287" t="inlineStr">
        <is>
          <t>0.69</t>
        </is>
      </c>
      <c r="J287" t="inlineStr">
        <is>
          <t>JULIO CESAR ANDRADE ZAPATA_JULIO CESAR ANDRADE ZAPATA</t>
        </is>
      </c>
      <c r="K287" t="inlineStr">
        <is>
          <t>0401591086001</t>
        </is>
      </c>
      <c r="M287" t="inlineStr">
        <is>
          <t>BTB</t>
        </is>
      </c>
      <c r="N287" t="inlineStr">
        <is>
          <t>CANAL DIRECTO</t>
        </is>
      </c>
    </row>
    <row r="288">
      <c r="A288" t="inlineStr">
        <is>
          <t>07/10/2026</t>
        </is>
      </c>
      <c r="B288" t="inlineStr">
        <is>
          <t>2026-08137</t>
        </is>
      </c>
      <c r="C288" t="inlineStr">
        <is>
          <t>163140</t>
        </is>
      </c>
      <c r="D288" t="inlineStr">
        <is>
          <t>163140</t>
        </is>
      </c>
      <c r="E288" t="inlineStr">
        <is>
          <t>HALFSIM TIGO</t>
        </is>
      </c>
      <c r="F288" t="n">
        <v>100</v>
      </c>
      <c r="G288" t="n">
        <v>69</v>
      </c>
      <c r="H288" t="inlineStr">
        <is>
          <t>0.69</t>
        </is>
      </c>
      <c r="J288" t="inlineStr">
        <is>
          <t>CAVS PORTAL SHOPPING_ANDRES REA / ESTEBAL JIMENEZ</t>
        </is>
      </c>
      <c r="K288" t="inlineStr">
        <is>
          <t>1791890663001</t>
        </is>
      </c>
      <c r="M288" t="inlineStr">
        <is>
          <t>INDIRECTO</t>
        </is>
      </c>
      <c r="N288" t="inlineStr">
        <is>
          <t>CANAL INDIRECTO</t>
        </is>
      </c>
    </row>
    <row r="289">
      <c r="A289" t="inlineStr">
        <is>
          <t>07/10/2026</t>
        </is>
      </c>
      <c r="B289" t="inlineStr">
        <is>
          <t>16502963</t>
        </is>
      </c>
      <c r="C289" t="inlineStr">
        <is>
          <t>163140</t>
        </is>
      </c>
      <c r="D289" t="inlineStr">
        <is>
          <t>163140</t>
        </is>
      </c>
      <c r="E289" t="inlineStr">
        <is>
          <t>HALFSIM TIGO</t>
        </is>
      </c>
      <c r="F289" t="n">
        <v>1</v>
      </c>
      <c r="G289" t="n">
        <v>0.69</v>
      </c>
      <c r="H289" t="inlineStr">
        <is>
          <t>0.69</t>
        </is>
      </c>
      <c r="J289" t="inlineStr">
        <is>
          <t>DANIEL HERIBERTO CEDENO RODRIGUEZ_DANIEL HERIBERTO CEDENO RODRIGUEZ</t>
        </is>
      </c>
      <c r="K289" t="inlineStr">
        <is>
          <t>1312647652001</t>
        </is>
      </c>
      <c r="L289" t="inlineStr">
        <is>
          <t>MANTA</t>
        </is>
      </c>
      <c r="M289" t="inlineStr">
        <is>
          <t>BTB</t>
        </is>
      </c>
      <c r="N289" t="inlineStr">
        <is>
          <t>CANAL DIRECTO</t>
        </is>
      </c>
    </row>
    <row r="290">
      <c r="A290" t="inlineStr">
        <is>
          <t>07/10/2026</t>
        </is>
      </c>
      <c r="B290" t="inlineStr">
        <is>
          <t>16502993</t>
        </is>
      </c>
      <c r="C290" t="inlineStr">
        <is>
          <t>163140</t>
        </is>
      </c>
      <c r="D290" t="inlineStr">
        <is>
          <t>163140</t>
        </is>
      </c>
      <c r="E290" t="inlineStr">
        <is>
          <t>HALFSIM TIGO</t>
        </is>
      </c>
      <c r="F290" t="n">
        <v>2</v>
      </c>
      <c r="G290" t="n">
        <v>1.38</v>
      </c>
      <c r="H290" t="inlineStr">
        <is>
          <t>0.69</t>
        </is>
      </c>
      <c r="J290" t="inlineStr">
        <is>
          <t>SILVA GUERRERO LUIS FERNANDO_SILVA GUERRERO LUIS FERNANDO</t>
        </is>
      </c>
      <c r="K290" t="inlineStr">
        <is>
          <t>0908960792001</t>
        </is>
      </c>
      <c r="M290" t="inlineStr">
        <is>
          <t>BTB</t>
        </is>
      </c>
      <c r="N290" t="inlineStr">
        <is>
          <t>CANAL DIRECTO</t>
        </is>
      </c>
    </row>
    <row r="291">
      <c r="A291" t="inlineStr">
        <is>
          <t>07/10/2026</t>
        </is>
      </c>
      <c r="B291" t="inlineStr">
        <is>
          <t>16502995</t>
        </is>
      </c>
      <c r="C291" t="inlineStr">
        <is>
          <t>163140</t>
        </is>
      </c>
      <c r="D291" t="inlineStr">
        <is>
          <t>163140</t>
        </is>
      </c>
      <c r="E291" t="inlineStr">
        <is>
          <t>HALFSIM TIGO</t>
        </is>
      </c>
      <c r="F291" t="n">
        <v>1</v>
      </c>
      <c r="G291" t="n">
        <v>0.69</v>
      </c>
      <c r="H291" t="inlineStr">
        <is>
          <t>0.69</t>
        </is>
      </c>
      <c r="J291" t="inlineStr">
        <is>
          <t>XAVIER TERAN_IMBAUTO SA</t>
        </is>
      </c>
      <c r="K291" t="inlineStr">
        <is>
          <t>1090077135001</t>
        </is>
      </c>
      <c r="M291" t="inlineStr">
        <is>
          <t>BTB</t>
        </is>
      </c>
      <c r="N291" t="inlineStr">
        <is>
          <t>CANAL DIRECTO</t>
        </is>
      </c>
    </row>
    <row r="292">
      <c r="A292" t="inlineStr">
        <is>
          <t>07/10/2026</t>
        </is>
      </c>
      <c r="B292" t="inlineStr">
        <is>
          <t>16503007</t>
        </is>
      </c>
      <c r="C292" t="inlineStr">
        <is>
          <t>163140</t>
        </is>
      </c>
      <c r="D292" t="inlineStr">
        <is>
          <t>163140</t>
        </is>
      </c>
      <c r="E292" t="inlineStr">
        <is>
          <t>HALFSIM TIGO</t>
        </is>
      </c>
      <c r="F292" t="n">
        <v>1</v>
      </c>
      <c r="G292" t="n">
        <v>0.69</v>
      </c>
      <c r="H292" t="inlineStr">
        <is>
          <t>0.69</t>
        </is>
      </c>
      <c r="J292" t="inlineStr">
        <is>
          <t>CRISTINA MINO_PRODUCTOS INNOVADORES PROALMEX CIA LTDA</t>
        </is>
      </c>
      <c r="K292" t="inlineStr">
        <is>
          <t>0190393712001</t>
        </is>
      </c>
      <c r="M292" t="inlineStr">
        <is>
          <t>BTB</t>
        </is>
      </c>
      <c r="N292" t="inlineStr">
        <is>
          <t>CANAL DIRECTO</t>
        </is>
      </c>
    </row>
    <row r="293">
      <c r="A293" t="inlineStr">
        <is>
          <t>07/10/2026</t>
        </is>
      </c>
      <c r="B293" t="inlineStr">
        <is>
          <t>16503008</t>
        </is>
      </c>
      <c r="C293" t="inlineStr">
        <is>
          <t>163140</t>
        </is>
      </c>
      <c r="D293" t="inlineStr">
        <is>
          <t>163140</t>
        </is>
      </c>
      <c r="E293" t="inlineStr">
        <is>
          <t>HALFSIM TIGO</t>
        </is>
      </c>
      <c r="F293" t="n">
        <v>1</v>
      </c>
      <c r="G293" t="n">
        <v>0.69</v>
      </c>
      <c r="H293" t="inlineStr">
        <is>
          <t>0.69</t>
        </is>
      </c>
      <c r="J293" t="inlineStr">
        <is>
          <t>SERVIO BERMEO Y CARLOS CEVALLOS_TERMINAL PORTUARIO DE MANTA TPM S A</t>
        </is>
      </c>
      <c r="K293" t="inlineStr">
        <is>
          <t>0993005258001</t>
        </is>
      </c>
      <c r="M293" t="inlineStr">
        <is>
          <t>BTB</t>
        </is>
      </c>
      <c r="N293" t="inlineStr">
        <is>
          <t>CANAL DIRECTO</t>
        </is>
      </c>
    </row>
    <row r="294">
      <c r="A294" t="inlineStr">
        <is>
          <t>07/10/2026</t>
        </is>
      </c>
      <c r="B294" t="inlineStr">
        <is>
          <t>16503017</t>
        </is>
      </c>
      <c r="C294" t="inlineStr">
        <is>
          <t>163140</t>
        </is>
      </c>
      <c r="D294" t="inlineStr">
        <is>
          <t>163140</t>
        </is>
      </c>
      <c r="E294" t="inlineStr">
        <is>
          <t>HALFSIM TIGO</t>
        </is>
      </c>
      <c r="F294" t="n">
        <v>1</v>
      </c>
      <c r="G294" t="n">
        <v>0.69</v>
      </c>
      <c r="H294" t="inlineStr">
        <is>
          <t>0.69</t>
        </is>
      </c>
      <c r="J294" t="inlineStr">
        <is>
          <t>SERVIO BERMEO Y CARLOS CEVALLOS_PORTRANS S A</t>
        </is>
      </c>
      <c r="K294" t="inlineStr">
        <is>
          <t>0991306625001</t>
        </is>
      </c>
      <c r="M294" t="inlineStr">
        <is>
          <t>BTB</t>
        </is>
      </c>
      <c r="N294" t="inlineStr">
        <is>
          <t>CANAL DIRECTO</t>
        </is>
      </c>
    </row>
    <row r="295">
      <c r="A295" t="inlineStr">
        <is>
          <t>07/10/2026</t>
        </is>
      </c>
      <c r="B295" t="inlineStr">
        <is>
          <t>16503024</t>
        </is>
      </c>
      <c r="C295" t="inlineStr">
        <is>
          <t>163140</t>
        </is>
      </c>
      <c r="D295" t="inlineStr">
        <is>
          <t>163140</t>
        </is>
      </c>
      <c r="E295" t="inlineStr">
        <is>
          <t>HALFSIM TIGO</t>
        </is>
      </c>
      <c r="F295" t="n">
        <v>2</v>
      </c>
      <c r="G295" t="n">
        <v>1.38</v>
      </c>
      <c r="H295" t="inlineStr">
        <is>
          <t>0.69</t>
        </is>
      </c>
      <c r="J295" t="inlineStr">
        <is>
          <t>LEONARDO TOBAR_CO PRI CUV CIA LTDA COMPANIA PRIVADA Y CUSTODIA</t>
        </is>
      </c>
      <c r="K295" t="inlineStr">
        <is>
          <t>1791370953001</t>
        </is>
      </c>
      <c r="M295" t="inlineStr">
        <is>
          <t>BTB</t>
        </is>
      </c>
      <c r="N295" t="inlineStr">
        <is>
          <t>CANAL DIRECTO</t>
        </is>
      </c>
    </row>
    <row r="296">
      <c r="A296" t="inlineStr">
        <is>
          <t>07/10/2026</t>
        </is>
      </c>
      <c r="B296" t="inlineStr">
        <is>
          <t>16503028</t>
        </is>
      </c>
      <c r="C296" t="inlineStr">
        <is>
          <t>163140</t>
        </is>
      </c>
      <c r="D296" t="inlineStr">
        <is>
          <t>163140</t>
        </is>
      </c>
      <c r="E296" t="inlineStr">
        <is>
          <t>HALFSIM TIGO</t>
        </is>
      </c>
      <c r="F296" t="n">
        <v>1</v>
      </c>
      <c r="G296" t="n">
        <v>0.69</v>
      </c>
      <c r="H296" t="inlineStr">
        <is>
          <t>0.69</t>
        </is>
      </c>
      <c r="J296" t="inlineStr">
        <is>
          <t>EDGAR ALVAREZ_GATEGOURMET DEL ECUADOR CIA LTDA</t>
        </is>
      </c>
      <c r="K296" t="inlineStr">
        <is>
          <t>1791411986001</t>
        </is>
      </c>
      <c r="M296" t="inlineStr">
        <is>
          <t>BTB</t>
        </is>
      </c>
      <c r="N296" t="inlineStr">
        <is>
          <t>CANAL DIRECTO</t>
        </is>
      </c>
    </row>
    <row r="297">
      <c r="A297" t="inlineStr">
        <is>
          <t>07/10/2026</t>
        </is>
      </c>
      <c r="B297" t="inlineStr">
        <is>
          <t>2026-08142</t>
        </is>
      </c>
      <c r="C297" t="inlineStr">
        <is>
          <t>163140</t>
        </is>
      </c>
      <c r="D297" t="inlineStr">
        <is>
          <t>163140</t>
        </is>
      </c>
      <c r="E297" t="inlineStr">
        <is>
          <t>HALFSIM TIGO</t>
        </is>
      </c>
      <c r="F297" t="n">
        <v>300</v>
      </c>
      <c r="G297" t="n">
        <v>206.99999999999997</v>
      </c>
      <c r="H297" t="inlineStr">
        <is>
          <t>0.69</t>
        </is>
      </c>
      <c r="J297" t="inlineStr">
        <is>
          <t>CAVS AE SALESLAND SCALA_JULY FREIRE</t>
        </is>
      </c>
      <c r="K297" t="inlineStr">
        <is>
          <t>1713085593</t>
        </is>
      </c>
      <c r="M297" t="inlineStr">
        <is>
          <t>INDIRECTO</t>
        </is>
      </c>
      <c r="N297" t="inlineStr">
        <is>
          <t>CANAL INDIRECTO</t>
        </is>
      </c>
    </row>
    <row r="298">
      <c r="A298" t="inlineStr">
        <is>
          <t>07/10/2026</t>
        </is>
      </c>
      <c r="B298" t="inlineStr">
        <is>
          <t>2026-08142</t>
        </is>
      </c>
      <c r="C298" t="inlineStr">
        <is>
          <t>163141</t>
        </is>
      </c>
      <c r="D298" t="inlineStr">
        <is>
          <t>163141</t>
        </is>
      </c>
      <c r="E298" t="inlineStr">
        <is>
          <t>ESIM TIGO DIGITAL</t>
        </is>
      </c>
      <c r="F298" t="n">
        <v>200</v>
      </c>
      <c r="G298" t="n">
        <v>42</v>
      </c>
      <c r="H298" t="inlineStr">
        <is>
          <t>0.21</t>
        </is>
      </c>
      <c r="J298" t="inlineStr">
        <is>
          <t>CAVS AE SALESLAND SCALA_JULY FREIRE</t>
        </is>
      </c>
      <c r="K298" t="inlineStr">
        <is>
          <t>1713085593</t>
        </is>
      </c>
      <c r="M298" t="inlineStr">
        <is>
          <t>INDIRECTO</t>
        </is>
      </c>
      <c r="N298" t="inlineStr">
        <is>
          <t>CANAL INDIRECTO</t>
        </is>
      </c>
    </row>
    <row r="299">
      <c r="A299" t="inlineStr">
        <is>
          <t>07/10/2026</t>
        </is>
      </c>
      <c r="B299" t="inlineStr">
        <is>
          <t>2026-08144</t>
        </is>
      </c>
      <c r="C299" t="inlineStr">
        <is>
          <t>163140_01</t>
        </is>
      </c>
      <c r="D299" t="inlineStr">
        <is>
          <t>163140</t>
        </is>
      </c>
      <c r="E299" t="inlineStr">
        <is>
          <t>HALFSIM TIGO REPOSICIÓN</t>
        </is>
      </c>
      <c r="F299" t="n">
        <v>100</v>
      </c>
      <c r="G299" t="n">
        <v>69</v>
      </c>
      <c r="H299" t="inlineStr">
        <is>
          <t>0.69</t>
        </is>
      </c>
      <c r="J299" t="inlineStr">
        <is>
          <t>DKOMUNICACIONES MOVISTAR CALLE COTOPAXI_ALMEIDA GUZMAN KATHERINE ELIZABETH</t>
        </is>
      </c>
      <c r="K299" t="inlineStr">
        <is>
          <t>1714944186</t>
        </is>
      </c>
      <c r="M299" t="inlineStr">
        <is>
          <t>INDIRECTO</t>
        </is>
      </c>
      <c r="N299" t="inlineStr">
        <is>
          <t>CANAL INDIRECTO</t>
        </is>
      </c>
    </row>
    <row r="300">
      <c r="A300" t="inlineStr">
        <is>
          <t>07/10/2026</t>
        </is>
      </c>
      <c r="B300" t="inlineStr">
        <is>
          <t>2026-08146</t>
        </is>
      </c>
      <c r="C300" t="inlineStr">
        <is>
          <t>163140</t>
        </is>
      </c>
      <c r="D300" t="inlineStr">
        <is>
          <t>163140</t>
        </is>
      </c>
      <c r="E300" t="inlineStr">
        <is>
          <t>HALFSIM TIGO</t>
        </is>
      </c>
      <c r="F300" t="n">
        <v>200</v>
      </c>
      <c r="G300" t="n">
        <v>138</v>
      </c>
      <c r="H300" t="inlineStr">
        <is>
          <t>0.69</t>
        </is>
      </c>
      <c r="J300" t="inlineStr">
        <is>
          <t>CAVS AE SALESLAND CONDADO_JULY FREIRE</t>
        </is>
      </c>
      <c r="K300" t="inlineStr">
        <is>
          <t>0</t>
        </is>
      </c>
      <c r="M300" t="inlineStr">
        <is>
          <t>INDIRECTO</t>
        </is>
      </c>
      <c r="N300" t="inlineStr">
        <is>
          <t>CANAL INDIRECTO</t>
        </is>
      </c>
    </row>
    <row r="301">
      <c r="A301" t="inlineStr">
        <is>
          <t>07/10/2026</t>
        </is>
      </c>
      <c r="B301" t="inlineStr">
        <is>
          <t>2026-08146</t>
        </is>
      </c>
      <c r="C301" t="inlineStr">
        <is>
          <t>163141</t>
        </is>
      </c>
      <c r="D301" t="inlineStr">
        <is>
          <t>163141</t>
        </is>
      </c>
      <c r="E301" t="inlineStr">
        <is>
          <t>ESIM TIGO DIGITAL</t>
        </is>
      </c>
      <c r="F301" t="n">
        <v>100</v>
      </c>
      <c r="G301" t="n">
        <v>21</v>
      </c>
      <c r="H301" t="inlineStr">
        <is>
          <t>0.21</t>
        </is>
      </c>
      <c r="J301" t="inlineStr">
        <is>
          <t>CAVS AE SALESLAND CONDADO_JULY FREIRE</t>
        </is>
      </c>
      <c r="K301" t="inlineStr">
        <is>
          <t>0</t>
        </is>
      </c>
      <c r="M301" t="inlineStr">
        <is>
          <t>INDIRECTO</t>
        </is>
      </c>
      <c r="N301" t="inlineStr">
        <is>
          <t>CANAL INDIRECTO</t>
        </is>
      </c>
    </row>
    <row r="302">
      <c r="A302" t="inlineStr">
        <is>
          <t>07/10/2026</t>
        </is>
      </c>
      <c r="B302" t="inlineStr">
        <is>
          <t>2026-08147</t>
        </is>
      </c>
      <c r="C302" t="inlineStr">
        <is>
          <t>163140</t>
        </is>
      </c>
      <c r="D302" t="inlineStr">
        <is>
          <t>163140</t>
        </is>
      </c>
      <c r="E302" t="inlineStr">
        <is>
          <t>HALFSIM TIGO</t>
        </is>
      </c>
      <c r="F302" t="n">
        <v>200</v>
      </c>
      <c r="G302" t="n">
        <v>138</v>
      </c>
      <c r="H302" t="inlineStr">
        <is>
          <t>0.69</t>
        </is>
      </c>
      <c r="J302" t="inlineStr">
        <is>
          <t>CAVS AE SALESLAND CUENCA CENTRO_JULY FREIRE</t>
        </is>
      </c>
      <c r="K302" t="inlineStr">
        <is>
          <t>0</t>
        </is>
      </c>
      <c r="M302" t="inlineStr">
        <is>
          <t>INDIRECTO</t>
        </is>
      </c>
      <c r="N302" t="inlineStr">
        <is>
          <t>CANAL INDIRECTO</t>
        </is>
      </c>
    </row>
    <row r="303">
      <c r="A303" t="inlineStr">
        <is>
          <t>07/10/2026</t>
        </is>
      </c>
      <c r="B303" t="inlineStr">
        <is>
          <t>2026-08150</t>
        </is>
      </c>
      <c r="C303" t="inlineStr">
        <is>
          <t>163140_01</t>
        </is>
      </c>
      <c r="D303" t="inlineStr">
        <is>
          <t>163140</t>
        </is>
      </c>
      <c r="E303" t="inlineStr">
        <is>
          <t>HALFSIM TIGO REPOSICIÓN</t>
        </is>
      </c>
      <c r="F303" t="n">
        <v>100</v>
      </c>
      <c r="G303" t="n">
        <v>69</v>
      </c>
      <c r="H303" t="inlineStr">
        <is>
          <t>0.69</t>
        </is>
      </c>
      <c r="J303" t="inlineStr">
        <is>
          <t>DKOMUNICACIONES MOVISTAR CALLE  TUNGURAHUA_ALMEIDA GUZMAN KATHERINE ELIZABETH</t>
        </is>
      </c>
      <c r="K303" t="inlineStr">
        <is>
          <t>1714944186</t>
        </is>
      </c>
      <c r="M303" t="inlineStr">
        <is>
          <t>INDIRECTO</t>
        </is>
      </c>
      <c r="N303" t="inlineStr">
        <is>
          <t>CANAL INDIRECTO</t>
        </is>
      </c>
    </row>
    <row r="304">
      <c r="A304" t="inlineStr">
        <is>
          <t>07/10/2026</t>
        </is>
      </c>
      <c r="B304" t="inlineStr">
        <is>
          <t>2026-08151</t>
        </is>
      </c>
      <c r="C304" t="inlineStr">
        <is>
          <t>163140_06</t>
        </is>
      </c>
      <c r="D304" t="inlineStr">
        <is>
          <t>163140</t>
        </is>
      </c>
      <c r="E304" t="inlineStr">
        <is>
          <t>HALFSIM TIGO PORTABILIDAD</t>
        </is>
      </c>
      <c r="F304" t="n">
        <v>100</v>
      </c>
      <c r="G304" t="n">
        <v>69</v>
      </c>
      <c r="H304" t="inlineStr">
        <is>
          <t>0.69</t>
        </is>
      </c>
      <c r="J304" t="inlineStr">
        <is>
          <t>DKOMUNICACIONES  MOVISTAR CHIMBORAZO_KATHERINE ELIZABETH ALMEIDA GUZMAN</t>
        </is>
      </c>
      <c r="K304" t="inlineStr">
        <is>
          <t>1714944186</t>
        </is>
      </c>
      <c r="M304" t="inlineStr">
        <is>
          <t>INDIRECTO</t>
        </is>
      </c>
      <c r="N304" t="inlineStr">
        <is>
          <t>CANAL INDIRECTO</t>
        </is>
      </c>
    </row>
    <row r="305">
      <c r="A305" t="inlineStr">
        <is>
          <t>07/10/2026</t>
        </is>
      </c>
      <c r="B305" t="inlineStr">
        <is>
          <t>16503029</t>
        </is>
      </c>
      <c r="C305" t="inlineStr">
        <is>
          <t>163140</t>
        </is>
      </c>
      <c r="D305" t="inlineStr">
        <is>
          <t>163140</t>
        </is>
      </c>
      <c r="E305" t="inlineStr">
        <is>
          <t>HALFSIM TIGO</t>
        </is>
      </c>
      <c r="F305" t="n">
        <v>38</v>
      </c>
      <c r="G305" t="n">
        <v>26.22</v>
      </c>
      <c r="H305" t="inlineStr">
        <is>
          <t>0.69</t>
        </is>
      </c>
      <c r="J305" t="inlineStr">
        <is>
          <t>PABLO MOSQUERA_ANGEL GUSTAVO MOSQUERA SIMBANA</t>
        </is>
      </c>
      <c r="K305" t="inlineStr">
        <is>
          <t>1704171360001</t>
        </is>
      </c>
      <c r="M305" t="inlineStr">
        <is>
          <t>BTB</t>
        </is>
      </c>
      <c r="N305" t="inlineStr">
        <is>
          <t>CANAL DIRECTO</t>
        </is>
      </c>
    </row>
    <row r="306">
      <c r="A306" t="inlineStr">
        <is>
          <t>07/10/2026</t>
        </is>
      </c>
      <c r="B306" t="inlineStr">
        <is>
          <t>16503067</t>
        </is>
      </c>
      <c r="C306" t="inlineStr">
        <is>
          <t>163140</t>
        </is>
      </c>
      <c r="D306" t="inlineStr">
        <is>
          <t>163140</t>
        </is>
      </c>
      <c r="E306" t="inlineStr">
        <is>
          <t>HALFSIM TIGO</t>
        </is>
      </c>
      <c r="F306" t="n">
        <v>1</v>
      </c>
      <c r="G306" t="n">
        <v>0.69</v>
      </c>
      <c r="H306" t="inlineStr">
        <is>
          <t>0.69</t>
        </is>
      </c>
      <c r="J306" t="inlineStr">
        <is>
          <t>SERVIO BERMEO Y CARLOS CEVALLOS_COMPANIA DE ESTIBAS Y SERVICIOS S A CO</t>
        </is>
      </c>
      <c r="K306" t="inlineStr">
        <is>
          <t>0992508884001</t>
        </is>
      </c>
      <c r="M306" t="inlineStr">
        <is>
          <t>BTB</t>
        </is>
      </c>
      <c r="N306" t="inlineStr">
        <is>
          <t>CANAL DIRECTO</t>
        </is>
      </c>
    </row>
    <row r="307">
      <c r="A307" t="inlineStr">
        <is>
          <t>07/10/2026</t>
        </is>
      </c>
      <c r="B307" t="inlineStr">
        <is>
          <t>16503069</t>
        </is>
      </c>
      <c r="C307" t="inlineStr">
        <is>
          <t>163140</t>
        </is>
      </c>
      <c r="D307" t="inlineStr">
        <is>
          <t>163140</t>
        </is>
      </c>
      <c r="E307" t="inlineStr">
        <is>
          <t>HALFSIM TIGO</t>
        </is>
      </c>
      <c r="F307" t="n">
        <v>1</v>
      </c>
      <c r="G307" t="n">
        <v>0.69</v>
      </c>
      <c r="H307" t="inlineStr">
        <is>
          <t>0.69</t>
        </is>
      </c>
      <c r="J307" t="inlineStr">
        <is>
          <t>KARINA LIMA PUGLLA _AVICOLA NUTRIFRANK CIA LTDA</t>
        </is>
      </c>
      <c r="K307" t="inlineStr">
        <is>
          <t>1191742121001</t>
        </is>
      </c>
      <c r="M307" t="inlineStr">
        <is>
          <t>BTB</t>
        </is>
      </c>
      <c r="N307" t="inlineStr">
        <is>
          <t>CANAL DIRECTO</t>
        </is>
      </c>
    </row>
    <row r="308">
      <c r="A308" t="inlineStr">
        <is>
          <t>07/10/2026</t>
        </is>
      </c>
      <c r="B308" t="inlineStr">
        <is>
          <t>16503074</t>
        </is>
      </c>
      <c r="C308" t="inlineStr">
        <is>
          <t>163140</t>
        </is>
      </c>
      <c r="D308" t="inlineStr">
        <is>
          <t>163140</t>
        </is>
      </c>
      <c r="E308" t="inlineStr">
        <is>
          <t>HALFSIM TIGO</t>
        </is>
      </c>
      <c r="F308" t="n">
        <v>1</v>
      </c>
      <c r="G308" t="n">
        <v>0.69</v>
      </c>
      <c r="H308" t="inlineStr">
        <is>
          <t>0.69</t>
        </is>
      </c>
      <c r="J308" t="inlineStr">
        <is>
          <t>PATRICIA ARGUELLO_ CENDIAVIA CENTRO MEDICO DE ESPECIALIDADES Y DE DIAGNOSTICO VIDA CIA LTDA</t>
        </is>
      </c>
      <c r="K308" t="inlineStr">
        <is>
          <t>1792423279001</t>
        </is>
      </c>
      <c r="M308" t="inlineStr">
        <is>
          <t>BTB</t>
        </is>
      </c>
      <c r="N308" t="inlineStr">
        <is>
          <t>CANAL DIRECTO</t>
        </is>
      </c>
    </row>
    <row r="309">
      <c r="A309" t="inlineStr">
        <is>
          <t>07/10/2026</t>
        </is>
      </c>
      <c r="B309" t="inlineStr">
        <is>
          <t>16503075</t>
        </is>
      </c>
      <c r="C309" t="inlineStr">
        <is>
          <t>163140</t>
        </is>
      </c>
      <c r="D309" t="inlineStr">
        <is>
          <t>163140</t>
        </is>
      </c>
      <c r="E309" t="inlineStr">
        <is>
          <t>HALFSIM TIGO</t>
        </is>
      </c>
      <c r="F309" t="n">
        <v>1</v>
      </c>
      <c r="G309" t="n">
        <v>0.69</v>
      </c>
      <c r="H309" t="inlineStr">
        <is>
          <t>0.69</t>
        </is>
      </c>
      <c r="J309" t="inlineStr">
        <is>
          <t>ARIEL GARCIA_SODICE CIA LTDA</t>
        </is>
      </c>
      <c r="K309" t="inlineStr">
        <is>
          <t>0993379504001</t>
        </is>
      </c>
      <c r="M309" t="inlineStr">
        <is>
          <t>BTB</t>
        </is>
      </c>
      <c r="N309" t="inlineStr">
        <is>
          <t>CANAL DIRECTO</t>
        </is>
      </c>
    </row>
    <row r="310">
      <c r="A310" t="inlineStr">
        <is>
          <t>07/10/2026</t>
        </is>
      </c>
      <c r="B310" t="inlineStr">
        <is>
          <t>16503076</t>
        </is>
      </c>
      <c r="C310" t="inlineStr">
        <is>
          <t>163140</t>
        </is>
      </c>
      <c r="D310" t="inlineStr">
        <is>
          <t>163140</t>
        </is>
      </c>
      <c r="E310" t="inlineStr">
        <is>
          <t>HALFSIM TIGO</t>
        </is>
      </c>
      <c r="F310" t="n">
        <v>1</v>
      </c>
      <c r="G310" t="n">
        <v>0.69</v>
      </c>
      <c r="H310" t="inlineStr">
        <is>
          <t>0.69</t>
        </is>
      </c>
      <c r="J310" t="inlineStr">
        <is>
          <t>HILDA STEFANY HERRERA TISALEMA_CONTROL UNION PERU S A C</t>
        </is>
      </c>
      <c r="K310" t="inlineStr">
        <is>
          <t>0992618027001</t>
        </is>
      </c>
      <c r="M310" t="inlineStr">
        <is>
          <t>BTB</t>
        </is>
      </c>
      <c r="N310" t="inlineStr">
        <is>
          <t>CANAL DIRECTO</t>
        </is>
      </c>
    </row>
    <row r="311">
      <c r="A311" t="inlineStr">
        <is>
          <t>07/10/2026</t>
        </is>
      </c>
      <c r="B311" t="inlineStr">
        <is>
          <t>16503077</t>
        </is>
      </c>
      <c r="C311" t="inlineStr">
        <is>
          <t>163140</t>
        </is>
      </c>
      <c r="D311" t="inlineStr">
        <is>
          <t>163140</t>
        </is>
      </c>
      <c r="E311" t="inlineStr">
        <is>
          <t>HALFSIM TIGO</t>
        </is>
      </c>
      <c r="F311" t="n">
        <v>10</v>
      </c>
      <c r="G311" t="n">
        <v>6.8999999999999995</v>
      </c>
      <c r="H311" t="inlineStr">
        <is>
          <t>0.69</t>
        </is>
      </c>
      <c r="J311" t="inlineStr">
        <is>
          <t>VERONICA PAULINA ALVARO ZURITA_ASOCIACION DEL PERSONAL ACADEMICO</t>
        </is>
      </c>
      <c r="K311" t="inlineStr">
        <is>
          <t>0691786078001</t>
        </is>
      </c>
      <c r="M311" t="inlineStr">
        <is>
          <t>BTB</t>
        </is>
      </c>
      <c r="N311" t="inlineStr">
        <is>
          <t>CANAL DIRECTO</t>
        </is>
      </c>
    </row>
    <row r="312">
      <c r="A312" t="inlineStr">
        <is>
          <t>07/10/2026</t>
        </is>
      </c>
      <c r="B312" t="inlineStr">
        <is>
          <t>16503088</t>
        </is>
      </c>
      <c r="C312" t="inlineStr">
        <is>
          <t>163140</t>
        </is>
      </c>
      <c r="D312" t="inlineStr">
        <is>
          <t>163140</t>
        </is>
      </c>
      <c r="E312" t="inlineStr">
        <is>
          <t>HALFSIM TIGO</t>
        </is>
      </c>
      <c r="F312" t="n">
        <v>1</v>
      </c>
      <c r="G312" t="n">
        <v>0.69</v>
      </c>
      <c r="H312" t="inlineStr">
        <is>
          <t>0.69</t>
        </is>
      </c>
      <c r="J312" t="inlineStr">
        <is>
          <t>TANIA ROCERO_DARWIN ALEXIS SALGUERO BAYETERO</t>
        </is>
      </c>
      <c r="K312" t="inlineStr">
        <is>
          <t>1003981907001</t>
        </is>
      </c>
      <c r="M312" t="inlineStr">
        <is>
          <t>BTB</t>
        </is>
      </c>
      <c r="N312" t="inlineStr">
        <is>
          <t>CANAL DIRECTO</t>
        </is>
      </c>
    </row>
    <row r="313">
      <c r="A313" t="inlineStr">
        <is>
          <t>07/10/2026</t>
        </is>
      </c>
      <c r="B313" t="inlineStr">
        <is>
          <t>16503090</t>
        </is>
      </c>
      <c r="C313" t="inlineStr">
        <is>
          <t>163140</t>
        </is>
      </c>
      <c r="D313" t="inlineStr">
        <is>
          <t>163140</t>
        </is>
      </c>
      <c r="E313" t="inlineStr">
        <is>
          <t>HALFSIM TIGO</t>
        </is>
      </c>
      <c r="F313" t="n">
        <v>1</v>
      </c>
      <c r="G313" t="n">
        <v>0.69</v>
      </c>
      <c r="H313" t="inlineStr">
        <is>
          <t>0.69</t>
        </is>
      </c>
      <c r="J313" t="inlineStr">
        <is>
          <t>SILVANA VENEGAS_ACCIONA AGUA S A</t>
        </is>
      </c>
      <c r="K313" t="inlineStr">
        <is>
          <t>1792511526001</t>
        </is>
      </c>
      <c r="M313" t="inlineStr">
        <is>
          <t>BTB</t>
        </is>
      </c>
      <c r="N313" t="inlineStr">
        <is>
          <t>CANAL DIRECTO</t>
        </is>
      </c>
    </row>
    <row r="314">
      <c r="A314" t="inlineStr">
        <is>
          <t>07/10/2026</t>
        </is>
      </c>
      <c r="B314" t="inlineStr">
        <is>
          <t>16503096</t>
        </is>
      </c>
      <c r="C314" t="inlineStr">
        <is>
          <t>163140</t>
        </is>
      </c>
      <c r="D314" t="inlineStr">
        <is>
          <t>163140</t>
        </is>
      </c>
      <c r="E314" t="inlineStr">
        <is>
          <t>HALFSIM TIGO</t>
        </is>
      </c>
      <c r="F314" t="n">
        <v>1</v>
      </c>
      <c r="G314" t="n">
        <v>0.69</v>
      </c>
      <c r="H314" t="inlineStr">
        <is>
          <t>0.69</t>
        </is>
      </c>
      <c r="J314" t="inlineStr">
        <is>
          <t>VELASQUEZ SANTOS BOLIVAR GUILLERMO_VELASQUEZ SANTOS BOLIVAR GUILLERMO</t>
        </is>
      </c>
      <c r="K314" t="inlineStr">
        <is>
          <t>1722234570001</t>
        </is>
      </c>
      <c r="M314" t="inlineStr">
        <is>
          <t>BTB</t>
        </is>
      </c>
      <c r="N314" t="inlineStr">
        <is>
          <t>CANAL DIRECTO</t>
        </is>
      </c>
    </row>
    <row r="315">
      <c r="A315" t="inlineStr">
        <is>
          <t>07/10/2026</t>
        </is>
      </c>
      <c r="B315" t="inlineStr">
        <is>
          <t>16503098</t>
        </is>
      </c>
      <c r="C315" t="inlineStr">
        <is>
          <t>163140</t>
        </is>
      </c>
      <c r="D315" t="inlineStr">
        <is>
          <t>163140</t>
        </is>
      </c>
      <c r="E315" t="inlineStr">
        <is>
          <t>HALFSIM TIGO</t>
        </is>
      </c>
      <c r="F315" t="n">
        <v>1</v>
      </c>
      <c r="G315" t="n">
        <v>0.69</v>
      </c>
      <c r="H315" t="inlineStr">
        <is>
          <t>0.69</t>
        </is>
      </c>
      <c r="J315" t="inlineStr">
        <is>
          <t>CRISTINA MINO_PRODUCTOS INNOVADORES PROALMEX CIA LTDA</t>
        </is>
      </c>
      <c r="K315" t="inlineStr">
        <is>
          <t>0190393712001</t>
        </is>
      </c>
      <c r="M315" t="inlineStr">
        <is>
          <t>BTB</t>
        </is>
      </c>
      <c r="N315" t="inlineStr">
        <is>
          <t>CANAL DIRECTO</t>
        </is>
      </c>
    </row>
    <row r="316">
      <c r="A316" t="inlineStr">
        <is>
          <t>07/10/2026</t>
        </is>
      </c>
      <c r="B316" t="inlineStr">
        <is>
          <t>16503099</t>
        </is>
      </c>
      <c r="C316" t="inlineStr">
        <is>
          <t>163140</t>
        </is>
      </c>
      <c r="D316" t="inlineStr">
        <is>
          <t>163140</t>
        </is>
      </c>
      <c r="E316" t="inlineStr">
        <is>
          <t>HALFSIM TIGO</t>
        </is>
      </c>
      <c r="F316" t="n">
        <v>1</v>
      </c>
      <c r="G316" t="n">
        <v>0.69</v>
      </c>
      <c r="H316" t="inlineStr">
        <is>
          <t>0.69</t>
        </is>
      </c>
      <c r="J316" t="inlineStr">
        <is>
          <t>JORDAN BRIONES_PRODUCTOS INNOVADORES PROALMEX CIA LTDA</t>
        </is>
      </c>
      <c r="K316" t="inlineStr">
        <is>
          <t>0190393712001</t>
        </is>
      </c>
      <c r="M316" t="inlineStr">
        <is>
          <t>BTB</t>
        </is>
      </c>
      <c r="N316" t="inlineStr">
        <is>
          <t>CANAL DIRECTO</t>
        </is>
      </c>
    </row>
    <row r="317">
      <c r="A317" t="inlineStr">
        <is>
          <t>07/10/2026</t>
        </is>
      </c>
      <c r="B317" t="inlineStr">
        <is>
          <t>610261</t>
        </is>
      </c>
      <c r="C317" t="inlineStr">
        <is>
          <t>163140</t>
        </is>
      </c>
      <c r="D317" t="inlineStr">
        <is>
          <t>163140</t>
        </is>
      </c>
      <c r="E317" t="inlineStr">
        <is>
          <t>HALFSIM TIGO</t>
        </is>
      </c>
      <c r="F317" t="n">
        <v>250</v>
      </c>
      <c r="G317" t="n">
        <v>172.5</v>
      </c>
      <c r="H317" t="inlineStr">
        <is>
          <t>0.69</t>
        </is>
      </c>
      <c r="J317" t="inlineStr">
        <is>
          <t>FROILAN LASTRA_FROILAN LASTRA</t>
        </is>
      </c>
      <c r="K317" t="inlineStr">
        <is>
          <t>1712414786</t>
        </is>
      </c>
      <c r="M317" t="inlineStr">
        <is>
          <t>BTB</t>
        </is>
      </c>
      <c r="N317" t="inlineStr">
        <is>
          <t>CANAL DIRECTO</t>
        </is>
      </c>
    </row>
    <row r="318">
      <c r="A318" t="inlineStr">
        <is>
          <t>07/10/2026</t>
        </is>
      </c>
      <c r="B318" t="inlineStr">
        <is>
          <t>610262</t>
        </is>
      </c>
      <c r="C318" t="inlineStr">
        <is>
          <t>163140</t>
        </is>
      </c>
      <c r="D318" t="inlineStr">
        <is>
          <t>163140</t>
        </is>
      </c>
      <c r="E318" t="inlineStr">
        <is>
          <t>HALFSIM TIGO</t>
        </is>
      </c>
      <c r="F318" t="n">
        <v>50</v>
      </c>
      <c r="G318" t="n">
        <v>34.5</v>
      </c>
      <c r="H318" t="inlineStr">
        <is>
          <t>0.69</t>
        </is>
      </c>
      <c r="J318" t="inlineStr">
        <is>
          <t>JUAN PABLO VILLACRESES_JUAN PABLO VILLACRESES</t>
        </is>
      </c>
      <c r="K318" t="inlineStr">
        <is>
          <t>1802409373</t>
        </is>
      </c>
      <c r="M318" t="inlineStr">
        <is>
          <t>BTB</t>
        </is>
      </c>
      <c r="N318" t="inlineStr">
        <is>
          <t>CANAL DIRECTO</t>
        </is>
      </c>
    </row>
    <row r="319">
      <c r="A319" t="inlineStr">
        <is>
          <t>07/10/2026</t>
        </is>
      </c>
      <c r="B319" t="inlineStr">
        <is>
          <t>610264</t>
        </is>
      </c>
      <c r="C319" t="inlineStr">
        <is>
          <t>163140</t>
        </is>
      </c>
      <c r="D319" t="inlineStr">
        <is>
          <t>163140</t>
        </is>
      </c>
      <c r="E319" t="inlineStr">
        <is>
          <t>HALFSIM TIGO</t>
        </is>
      </c>
      <c r="F319" t="n">
        <v>50</v>
      </c>
      <c r="G319" t="n">
        <v>34.5</v>
      </c>
      <c r="H319" t="inlineStr">
        <is>
          <t>0.69</t>
        </is>
      </c>
      <c r="J319" t="inlineStr">
        <is>
          <t>SANTIAGO POZO_SANTIAGO POZO</t>
        </is>
      </c>
      <c r="K319" t="inlineStr">
        <is>
          <t>102855368</t>
        </is>
      </c>
      <c r="M319" t="inlineStr">
        <is>
          <t>BTB</t>
        </is>
      </c>
      <c r="N319" t="inlineStr">
        <is>
          <t>CANAL DIRECTO</t>
        </is>
      </c>
    </row>
    <row r="320">
      <c r="A320" t="inlineStr">
        <is>
          <t>07/10/2026</t>
        </is>
      </c>
      <c r="B320" t="inlineStr">
        <is>
          <t>2026-08152</t>
        </is>
      </c>
      <c r="C320" t="inlineStr">
        <is>
          <t>163141</t>
        </is>
      </c>
      <c r="D320" t="inlineStr">
        <is>
          <t>163141</t>
        </is>
      </c>
      <c r="E320" t="inlineStr">
        <is>
          <t>ESIM TIGO DIGITAL</t>
        </is>
      </c>
      <c r="F320" t="n">
        <v>20</v>
      </c>
      <c r="G320" t="n">
        <v>4.2</v>
      </c>
      <c r="H320" t="inlineStr">
        <is>
          <t>0.21</t>
        </is>
      </c>
      <c r="J320" t="inlineStr">
        <is>
          <t>SMARTPHONELANDIA S.A.S. (EL EMPALME)_JOSIELY GILER</t>
        </is>
      </c>
      <c r="K320" t="inlineStr">
        <is>
          <t>0918930660</t>
        </is>
      </c>
      <c r="M320" t="inlineStr">
        <is>
          <t>INDIRECTO</t>
        </is>
      </c>
      <c r="N320" t="inlineStr">
        <is>
          <t>CANAL INDIRECTO</t>
        </is>
      </c>
    </row>
    <row r="321">
      <c r="A321" t="inlineStr">
        <is>
          <t>07/10/2026</t>
        </is>
      </c>
      <c r="B321" t="inlineStr">
        <is>
          <t>2026-08153</t>
        </is>
      </c>
      <c r="C321" t="inlineStr">
        <is>
          <t>163140</t>
        </is>
      </c>
      <c r="D321" t="inlineStr">
        <is>
          <t>163140</t>
        </is>
      </c>
      <c r="E321" t="inlineStr">
        <is>
          <t>HALFSIM TIGO</t>
        </is>
      </c>
      <c r="F321" t="n">
        <v>400</v>
      </c>
      <c r="G321" t="n">
        <v>276</v>
      </c>
      <c r="H321" t="inlineStr">
        <is>
          <t>0.69</t>
        </is>
      </c>
      <c r="J321" t="inlineStr">
        <is>
          <t>CAV CITY MALL_MARIA GONZALEZ / MARIA BUENANO</t>
        </is>
      </c>
      <c r="K321" t="inlineStr">
        <is>
          <t>0951321975 / 0926089665</t>
        </is>
      </c>
      <c r="M321" t="inlineStr">
        <is>
          <t>INDIRECTO</t>
        </is>
      </c>
      <c r="N321" t="inlineStr">
        <is>
          <t>CANAL INDIRECTO</t>
        </is>
      </c>
    </row>
    <row r="322">
      <c r="A322" t="inlineStr">
        <is>
          <t>07/10/2026</t>
        </is>
      </c>
      <c r="B322" t="inlineStr">
        <is>
          <t>2026-08153</t>
        </is>
      </c>
      <c r="C322" t="inlineStr">
        <is>
          <t>163141</t>
        </is>
      </c>
      <c r="D322" t="inlineStr">
        <is>
          <t>163141</t>
        </is>
      </c>
      <c r="E322" t="inlineStr">
        <is>
          <t>ESIM TIGO DIGITAL</t>
        </is>
      </c>
      <c r="F322" t="n">
        <v>400</v>
      </c>
      <c r="G322" t="n">
        <v>84</v>
      </c>
      <c r="H322" t="inlineStr">
        <is>
          <t>0.21</t>
        </is>
      </c>
      <c r="J322" t="inlineStr">
        <is>
          <t>CAV CITY MALL_MARIA GONZALEZ / MARIA BUENANO</t>
        </is>
      </c>
      <c r="K322" t="inlineStr">
        <is>
          <t>0951321975 / 0926089665</t>
        </is>
      </c>
      <c r="M322" t="inlineStr">
        <is>
          <t>INDIRECTO</t>
        </is>
      </c>
      <c r="N322" t="inlineStr">
        <is>
          <t>CANAL INDIRECTO</t>
        </is>
      </c>
    </row>
    <row r="323">
      <c r="A323" t="inlineStr">
        <is>
          <t>07/10/2026</t>
        </is>
      </c>
      <c r="B323" t="inlineStr">
        <is>
          <t>2026-08156</t>
        </is>
      </c>
      <c r="C323" t="inlineStr">
        <is>
          <t>163140</t>
        </is>
      </c>
      <c r="D323" t="inlineStr">
        <is>
          <t>163140</t>
        </is>
      </c>
      <c r="E323" t="inlineStr">
        <is>
          <t>HALFSIM TIGO</t>
        </is>
      </c>
      <c r="F323" t="n">
        <v>300</v>
      </c>
      <c r="G323" t="n">
        <v>206.99999999999997</v>
      </c>
      <c r="H323" t="inlineStr">
        <is>
          <t>0.69</t>
        </is>
      </c>
      <c r="J323" t="inlineStr">
        <is>
          <t>AE CORPORATIVO ROMERO RYRTECH (MALL DEL SUR)_ELIZABETH SALAGATA</t>
        </is>
      </c>
      <c r="K323" t="inlineStr">
        <is>
          <t>0915962609</t>
        </is>
      </c>
      <c r="M323" t="inlineStr">
        <is>
          <t>INDIRECTO</t>
        </is>
      </c>
      <c r="N323" t="inlineStr">
        <is>
          <t>CANAL INDIRECTO</t>
        </is>
      </c>
    </row>
    <row r="324">
      <c r="A324" t="inlineStr">
        <is>
          <t>07/10/2026</t>
        </is>
      </c>
      <c r="B324" t="inlineStr">
        <is>
          <t>2026-08158</t>
        </is>
      </c>
      <c r="C324" t="inlineStr">
        <is>
          <t>163140_06</t>
        </is>
      </c>
      <c r="D324" t="inlineStr">
        <is>
          <t>163140</t>
        </is>
      </c>
      <c r="E324" t="inlineStr">
        <is>
          <t>HALFSIM TIGO PORTABILIDAD</t>
        </is>
      </c>
      <c r="F324" t="n">
        <v>100</v>
      </c>
      <c r="G324" t="n">
        <v>69</v>
      </c>
      <c r="H324" t="inlineStr">
        <is>
          <t>0.69</t>
        </is>
      </c>
      <c r="J324" t="inlineStr">
        <is>
          <t>JORGE ISAAC CENTENO URETA _JORGE ISAAC CENTENO URETA</t>
        </is>
      </c>
      <c r="K324" t="inlineStr">
        <is>
          <t>1307869394001</t>
        </is>
      </c>
      <c r="M324" t="inlineStr">
        <is>
          <t>INDIRECTO</t>
        </is>
      </c>
      <c r="N324" t="inlineStr">
        <is>
          <t>CANAL INDIRECTO</t>
        </is>
      </c>
    </row>
    <row r="325">
      <c r="A325" t="inlineStr">
        <is>
          <t>07/10/2026</t>
        </is>
      </c>
      <c r="B325" t="inlineStr">
        <is>
          <t>2026-08159</t>
        </is>
      </c>
      <c r="C325" t="inlineStr">
        <is>
          <t>163141</t>
        </is>
      </c>
      <c r="D325" t="inlineStr">
        <is>
          <t>163141</t>
        </is>
      </c>
      <c r="E325" t="inlineStr">
        <is>
          <t>ESIM TIGO DIGITAL</t>
        </is>
      </c>
      <c r="F325" t="n">
        <v>20</v>
      </c>
      <c r="G325" t="n">
        <v>4.2</v>
      </c>
      <c r="H325" t="inlineStr">
        <is>
          <t>0.21</t>
        </is>
      </c>
      <c r="J325" t="inlineStr">
        <is>
          <t>SMARTPHONELANDIA S.A.S. (LA LIBERTAD)_JOSIELY GILER</t>
        </is>
      </c>
      <c r="K325" t="inlineStr">
        <is>
          <t>0918930660</t>
        </is>
      </c>
      <c r="M325" t="inlineStr">
        <is>
          <t>INDIRECTO</t>
        </is>
      </c>
      <c r="N325" t="inlineStr">
        <is>
          <t>CANAL INDIRECTO</t>
        </is>
      </c>
    </row>
    <row r="326">
      <c r="A326" t="inlineStr">
        <is>
          <t>07/10/2026</t>
        </is>
      </c>
      <c r="B326" t="inlineStr">
        <is>
          <t>2026-08160</t>
        </is>
      </c>
      <c r="C326" t="inlineStr">
        <is>
          <t>163140</t>
        </is>
      </c>
      <c r="D326" t="inlineStr">
        <is>
          <t>163140</t>
        </is>
      </c>
      <c r="E326" t="inlineStr">
        <is>
          <t>HALFSIM TIGO</t>
        </is>
      </c>
      <c r="F326" t="n">
        <v>200</v>
      </c>
      <c r="G326" t="n">
        <v>138</v>
      </c>
      <c r="H326" t="inlineStr">
        <is>
          <t>0.69</t>
        </is>
      </c>
      <c r="J326" t="inlineStr">
        <is>
          <t>CAVS AE NORPHONE EL JARDIN_PAOLA MORAN</t>
        </is>
      </c>
      <c r="K326" t="inlineStr">
        <is>
          <t>1091717898001</t>
        </is>
      </c>
      <c r="M326" t="inlineStr">
        <is>
          <t>INDIRECTO</t>
        </is>
      </c>
      <c r="N326" t="inlineStr">
        <is>
          <t>CANAL INDIRECTO</t>
        </is>
      </c>
    </row>
    <row r="327">
      <c r="A327" t="inlineStr">
        <is>
          <t>07/10/2026</t>
        </is>
      </c>
      <c r="B327" t="inlineStr">
        <is>
          <t>2026-08160</t>
        </is>
      </c>
      <c r="C327" t="inlineStr">
        <is>
          <t>163141</t>
        </is>
      </c>
      <c r="D327" t="inlineStr">
        <is>
          <t>163141</t>
        </is>
      </c>
      <c r="E327" t="inlineStr">
        <is>
          <t>ESIM TIGO DIGITAL</t>
        </is>
      </c>
      <c r="F327" t="n">
        <v>100</v>
      </c>
      <c r="G327" t="n">
        <v>21</v>
      </c>
      <c r="H327" t="inlineStr">
        <is>
          <t>0.21</t>
        </is>
      </c>
      <c r="J327" t="inlineStr">
        <is>
          <t>CAVS AE NORPHONE EL JARDIN_PAOLA MORAN</t>
        </is>
      </c>
      <c r="K327" t="inlineStr">
        <is>
          <t>1091717898001</t>
        </is>
      </c>
      <c r="M327" t="inlineStr">
        <is>
          <t>INDIRECTO</t>
        </is>
      </c>
      <c r="N327" t="inlineStr">
        <is>
          <t>CANAL INDIRECTO</t>
        </is>
      </c>
    </row>
    <row r="328">
      <c r="A328" t="inlineStr">
        <is>
          <t>07/10/2026</t>
        </is>
      </c>
      <c r="B328" t="inlineStr">
        <is>
          <t>2026-08161</t>
        </is>
      </c>
      <c r="C328" t="inlineStr">
        <is>
          <t>163140</t>
        </is>
      </c>
      <c r="D328" t="inlineStr">
        <is>
          <t>163140</t>
        </is>
      </c>
      <c r="E328" t="inlineStr">
        <is>
          <t>HALFSIM TIGO</t>
        </is>
      </c>
      <c r="F328" t="n">
        <v>200</v>
      </c>
      <c r="G328" t="n">
        <v>138</v>
      </c>
      <c r="H328" t="inlineStr">
        <is>
          <t>0.69</t>
        </is>
      </c>
      <c r="J328" t="inlineStr">
        <is>
          <t>AE NORPHONE IBARRA_PAOLA MORAN</t>
        </is>
      </c>
      <c r="K328" t="inlineStr">
        <is>
          <t>1001472958</t>
        </is>
      </c>
      <c r="M328" t="inlineStr">
        <is>
          <t>INDIRECTO</t>
        </is>
      </c>
      <c r="N328" t="inlineStr">
        <is>
          <t>CANAL INDIRECTO</t>
        </is>
      </c>
    </row>
    <row r="329">
      <c r="A329" t="inlineStr">
        <is>
          <t>07/10/2026</t>
        </is>
      </c>
      <c r="B329" t="inlineStr">
        <is>
          <t>2026-08161</t>
        </is>
      </c>
      <c r="C329" t="inlineStr">
        <is>
          <t>163141</t>
        </is>
      </c>
      <c r="D329" t="inlineStr">
        <is>
          <t>163141</t>
        </is>
      </c>
      <c r="E329" t="inlineStr">
        <is>
          <t>ESIM TIGO DIGITAL</t>
        </is>
      </c>
      <c r="F329" t="n">
        <v>100</v>
      </c>
      <c r="G329" t="n">
        <v>21</v>
      </c>
      <c r="H329" t="inlineStr">
        <is>
          <t>0.21</t>
        </is>
      </c>
      <c r="J329" t="inlineStr">
        <is>
          <t>AE NORPHONE IBARRA_PAOLA MORAN</t>
        </is>
      </c>
      <c r="K329" t="inlineStr">
        <is>
          <t>1001472958</t>
        </is>
      </c>
      <c r="M329" t="inlineStr">
        <is>
          <t>INDIRECTO</t>
        </is>
      </c>
      <c r="N329" t="inlineStr">
        <is>
          <t>CANAL INDIRECTO</t>
        </is>
      </c>
    </row>
    <row r="330">
      <c r="A330" t="inlineStr">
        <is>
          <t>07/10/2026</t>
        </is>
      </c>
      <c r="B330" t="inlineStr">
        <is>
          <t>2026-08162</t>
        </is>
      </c>
      <c r="C330" t="inlineStr">
        <is>
          <t>163140</t>
        </is>
      </c>
      <c r="D330" t="inlineStr">
        <is>
          <t>163140</t>
        </is>
      </c>
      <c r="E330" t="inlineStr">
        <is>
          <t>HALFSIM TIGO</t>
        </is>
      </c>
      <c r="F330" t="n">
        <v>100</v>
      </c>
      <c r="G330" t="n">
        <v>69</v>
      </c>
      <c r="H330" t="inlineStr">
        <is>
          <t>0.69</t>
        </is>
      </c>
      <c r="J330" t="inlineStr">
        <is>
          <t>BLUECHIP RIOCENTRO NORTE_PAOLA MORAN</t>
        </is>
      </c>
      <c r="K330" t="inlineStr">
        <is>
          <t>0916791601</t>
        </is>
      </c>
      <c r="M330" t="inlineStr">
        <is>
          <t>INDIRECTO</t>
        </is>
      </c>
      <c r="N330" t="inlineStr">
        <is>
          <t>CANAL INDIRECTO</t>
        </is>
      </c>
    </row>
    <row r="331">
      <c r="A331" t="inlineStr">
        <is>
          <t>07/10/2026</t>
        </is>
      </c>
      <c r="B331" t="inlineStr">
        <is>
          <t>2026-08162</t>
        </is>
      </c>
      <c r="C331" t="inlineStr">
        <is>
          <t>163141</t>
        </is>
      </c>
      <c r="D331" t="inlineStr">
        <is>
          <t>163141</t>
        </is>
      </c>
      <c r="E331" t="inlineStr">
        <is>
          <t>ESIM TIGO DIGITAL</t>
        </is>
      </c>
      <c r="F331" t="n">
        <v>100</v>
      </c>
      <c r="G331" t="n">
        <v>21</v>
      </c>
      <c r="H331" t="inlineStr">
        <is>
          <t>0.21</t>
        </is>
      </c>
      <c r="J331" t="inlineStr">
        <is>
          <t>BLUECHIP RIOCENTRO NORTE_PAOLA MORAN</t>
        </is>
      </c>
      <c r="K331" t="inlineStr">
        <is>
          <t>0916791601</t>
        </is>
      </c>
      <c r="M331" t="inlineStr">
        <is>
          <t>INDIRECTO</t>
        </is>
      </c>
      <c r="N331" t="inlineStr">
        <is>
          <t>CANAL INDIRECTO</t>
        </is>
      </c>
    </row>
    <row r="332">
      <c r="A332" t="inlineStr">
        <is>
          <t>07/10/2026</t>
        </is>
      </c>
      <c r="B332" t="inlineStr">
        <is>
          <t>2026-08164</t>
        </is>
      </c>
      <c r="C332" t="inlineStr">
        <is>
          <t>163140_06</t>
        </is>
      </c>
      <c r="D332" t="inlineStr">
        <is>
          <t>163140</t>
        </is>
      </c>
      <c r="E332" t="inlineStr">
        <is>
          <t>HALFSIM TIGO PORTABILIDAD</t>
        </is>
      </c>
      <c r="F332" t="n">
        <v>100</v>
      </c>
      <c r="G332" t="n">
        <v>69</v>
      </c>
      <c r="H332" t="inlineStr">
        <is>
          <t>0.69</t>
        </is>
      </c>
      <c r="J332" t="inlineStr">
        <is>
          <t>JORGE ISAAC CENTENO M&amp;M_JORGE ISAAC CENTENO URETA</t>
        </is>
      </c>
      <c r="K332" t="inlineStr">
        <is>
          <t>1307869394001</t>
        </is>
      </c>
      <c r="M332" t="inlineStr">
        <is>
          <t>INDIRECTO</t>
        </is>
      </c>
      <c r="N332" t="inlineStr">
        <is>
          <t>CANAL INDIRECTO</t>
        </is>
      </c>
    </row>
    <row r="333">
      <c r="A333" t="inlineStr">
        <is>
          <t>07/10/2026</t>
        </is>
      </c>
      <c r="B333" t="inlineStr">
        <is>
          <t>2026-08166</t>
        </is>
      </c>
      <c r="C333" t="inlineStr">
        <is>
          <t>163141</t>
        </is>
      </c>
      <c r="D333" t="inlineStr">
        <is>
          <t>163141</t>
        </is>
      </c>
      <c r="E333" t="inlineStr">
        <is>
          <t>ESIM TIGO DIGITAL</t>
        </is>
      </c>
      <c r="F333" t="n">
        <v>60</v>
      </c>
      <c r="G333" t="n">
        <v>12.6</v>
      </c>
      <c r="H333" t="inlineStr">
        <is>
          <t>0.21</t>
        </is>
      </c>
      <c r="J333" t="inlineStr">
        <is>
          <t>CORPORATIVO ROMERO RYRTECH S.A.S  (SHOPPING QUEVEDO)_ELIZABETH SALAGATA</t>
        </is>
      </c>
      <c r="K333" t="inlineStr">
        <is>
          <t>0993323705001</t>
        </is>
      </c>
      <c r="L333" t="inlineStr">
        <is>
          <t>QUEVEDO</t>
        </is>
      </c>
      <c r="M333" t="inlineStr">
        <is>
          <t>INDIRECTO</t>
        </is>
      </c>
      <c r="N333" t="inlineStr">
        <is>
          <t>CANAL INDIRECTO</t>
        </is>
      </c>
    </row>
    <row r="334">
      <c r="A334" t="inlineStr">
        <is>
          <t>07/10/2026</t>
        </is>
      </c>
      <c r="B334" t="inlineStr">
        <is>
          <t>2026-08167</t>
        </is>
      </c>
      <c r="C334" t="inlineStr">
        <is>
          <t>163140</t>
        </is>
      </c>
      <c r="D334" t="inlineStr">
        <is>
          <t>163140</t>
        </is>
      </c>
      <c r="E334" t="inlineStr">
        <is>
          <t>HALFSIM TIGO</t>
        </is>
      </c>
      <c r="F334" t="n">
        <v>300</v>
      </c>
      <c r="G334" t="n">
        <v>206.99999999999997</v>
      </c>
      <c r="H334" t="inlineStr">
        <is>
          <t>0.69</t>
        </is>
      </c>
      <c r="J334" t="inlineStr">
        <is>
          <t>CAVS AE NORPHONE EL CONDADO_PAOLA MORAN</t>
        </is>
      </c>
      <c r="K334" t="inlineStr">
        <is>
          <t>1091717898001</t>
        </is>
      </c>
      <c r="M334" t="inlineStr">
        <is>
          <t>INDIRECTO</t>
        </is>
      </c>
      <c r="N334" t="inlineStr">
        <is>
          <t>CANAL INDIRECTO</t>
        </is>
      </c>
    </row>
    <row r="335">
      <c r="A335" t="inlineStr">
        <is>
          <t>07/10/2026</t>
        </is>
      </c>
      <c r="B335" t="inlineStr">
        <is>
          <t>2026-08167</t>
        </is>
      </c>
      <c r="C335" t="inlineStr">
        <is>
          <t>163141</t>
        </is>
      </c>
      <c r="D335" t="inlineStr">
        <is>
          <t>163141</t>
        </is>
      </c>
      <c r="E335" t="inlineStr">
        <is>
          <t>ESIM TIGO DIGITAL</t>
        </is>
      </c>
      <c r="F335" t="n">
        <v>100</v>
      </c>
      <c r="G335" t="n">
        <v>21</v>
      </c>
      <c r="H335" t="inlineStr">
        <is>
          <t>0.21</t>
        </is>
      </c>
      <c r="J335" t="inlineStr">
        <is>
          <t>CAVS AE NORPHONE EL CONDADO_PAOLA MORAN</t>
        </is>
      </c>
      <c r="K335" t="inlineStr">
        <is>
          <t>1091717898001</t>
        </is>
      </c>
      <c r="M335" t="inlineStr">
        <is>
          <t>INDIRECTO</t>
        </is>
      </c>
      <c r="N335" t="inlineStr">
        <is>
          <t>CANAL INDIRECTO</t>
        </is>
      </c>
    </row>
    <row r="336">
      <c r="A336" t="inlineStr">
        <is>
          <t>07/10/2026</t>
        </is>
      </c>
      <c r="B336" t="inlineStr">
        <is>
          <t>2026-08169</t>
        </is>
      </c>
      <c r="C336" t="inlineStr">
        <is>
          <t>163140_02</t>
        </is>
      </c>
      <c r="D336" t="inlineStr">
        <is>
          <t>163140</t>
        </is>
      </c>
      <c r="E336" t="inlineStr">
        <is>
          <t>HALFSIM TIGO CHIP PREPAGO $3 WP NUMERADO</t>
        </is>
      </c>
      <c r="F336" t="n">
        <v>1500</v>
      </c>
      <c r="G336" t="n">
        <v>1035</v>
      </c>
      <c r="H336" t="inlineStr">
        <is>
          <t>0.69</t>
        </is>
      </c>
      <c r="J336" t="inlineStr">
        <is>
          <t>AGILCOM UIO_AZUCENA LOPEZ</t>
        </is>
      </c>
      <c r="K336" t="inlineStr">
        <is>
          <t>1713470456001</t>
        </is>
      </c>
      <c r="M336" t="inlineStr">
        <is>
          <t>INDIRECTO</t>
        </is>
      </c>
      <c r="N336" t="inlineStr">
        <is>
          <t>CANAL INDIRECTO</t>
        </is>
      </c>
    </row>
    <row r="337">
      <c r="A337" t="inlineStr">
        <is>
          <t>07/10/2026</t>
        </is>
      </c>
      <c r="B337" t="inlineStr">
        <is>
          <t>2026-08171</t>
        </is>
      </c>
      <c r="C337" t="inlineStr">
        <is>
          <t>163140</t>
        </is>
      </c>
      <c r="D337" t="inlineStr">
        <is>
          <t>163140</t>
        </is>
      </c>
      <c r="E337" t="inlineStr">
        <is>
          <t>HALFSIM TIGO</t>
        </is>
      </c>
      <c r="F337" t="n">
        <v>100</v>
      </c>
      <c r="G337" t="n">
        <v>69</v>
      </c>
      <c r="H337" t="inlineStr">
        <is>
          <t>0.69</t>
        </is>
      </c>
      <c r="J337" t="inlineStr">
        <is>
          <t>BLUECHIP RIOCENTRO CEIBOS_PAOLA MORAN</t>
        </is>
      </c>
      <c r="K337" t="inlineStr">
        <is>
          <t>0916791601</t>
        </is>
      </c>
      <c r="M337" t="inlineStr">
        <is>
          <t>INDIRECTO</t>
        </is>
      </c>
      <c r="N337" t="inlineStr">
        <is>
          <t>CANAL INDIRECTO</t>
        </is>
      </c>
    </row>
    <row r="338">
      <c r="A338" t="inlineStr">
        <is>
          <t>07/10/2026</t>
        </is>
      </c>
      <c r="B338" t="inlineStr">
        <is>
          <t>2026-08171</t>
        </is>
      </c>
      <c r="C338" t="inlineStr">
        <is>
          <t>163141</t>
        </is>
      </c>
      <c r="D338" t="inlineStr">
        <is>
          <t>163141</t>
        </is>
      </c>
      <c r="E338" t="inlineStr">
        <is>
          <t>ESIM TIGO DIGITAL</t>
        </is>
      </c>
      <c r="F338" t="n">
        <v>50</v>
      </c>
      <c r="G338" t="n">
        <v>10.5</v>
      </c>
      <c r="H338" t="inlineStr">
        <is>
          <t>0.21</t>
        </is>
      </c>
      <c r="J338" t="inlineStr">
        <is>
          <t>BLUECHIP RIOCENTRO CEIBOS_PAOLA MORAN</t>
        </is>
      </c>
      <c r="K338" t="inlineStr">
        <is>
          <t>0916791601</t>
        </is>
      </c>
      <c r="M338" t="inlineStr">
        <is>
          <t>INDIRECTO</t>
        </is>
      </c>
      <c r="N338" t="inlineStr">
        <is>
          <t>CANAL INDIRECTO</t>
        </is>
      </c>
    </row>
    <row r="339">
      <c r="A339" t="inlineStr">
        <is>
          <t>07/10/2026</t>
        </is>
      </c>
      <c r="B339" t="inlineStr">
        <is>
          <t>2026-08173</t>
        </is>
      </c>
      <c r="C339" t="inlineStr">
        <is>
          <t>163140</t>
        </is>
      </c>
      <c r="D339" t="inlineStr">
        <is>
          <t>163140</t>
        </is>
      </c>
      <c r="E339" t="inlineStr">
        <is>
          <t>HALFSIM TIGO</t>
        </is>
      </c>
      <c r="F339" t="n">
        <v>300</v>
      </c>
      <c r="G339" t="n">
        <v>206.99999999999997</v>
      </c>
      <c r="H339" t="inlineStr">
        <is>
          <t>0.69</t>
        </is>
      </c>
      <c r="J339" t="inlineStr">
        <is>
          <t>AE CORPORATIVO ROMERO RYRTECH MALL EL FORTIN_ELIZABETH SALAGATA</t>
        </is>
      </c>
      <c r="K339" t="inlineStr">
        <is>
          <t>0915962609</t>
        </is>
      </c>
      <c r="M339" t="inlineStr">
        <is>
          <t>INDIRECTO</t>
        </is>
      </c>
      <c r="N339" t="inlineStr">
        <is>
          <t>CANAL INDIRECTO</t>
        </is>
      </c>
    </row>
    <row r="340">
      <c r="A340" t="inlineStr">
        <is>
          <t>07/10/2026</t>
        </is>
      </c>
      <c r="B340" t="inlineStr">
        <is>
          <t>2026-08174</t>
        </is>
      </c>
      <c r="C340" t="inlineStr">
        <is>
          <t>163140</t>
        </is>
      </c>
      <c r="D340" t="inlineStr">
        <is>
          <t>163140</t>
        </is>
      </c>
      <c r="E340" t="inlineStr">
        <is>
          <t>HALFSIM TIGO</t>
        </is>
      </c>
      <c r="F340" t="n">
        <v>100</v>
      </c>
      <c r="G340" t="n">
        <v>69</v>
      </c>
      <c r="H340" t="inlineStr">
        <is>
          <t>0.69</t>
        </is>
      </c>
      <c r="J340" t="inlineStr">
        <is>
          <t>CORPORATIVO ROMERO RYRTECH S.A.S (DURAN)_ELIZABETH SALAGATA</t>
        </is>
      </c>
      <c r="K340" t="inlineStr">
        <is>
          <t>0915962609</t>
        </is>
      </c>
      <c r="M340" t="inlineStr">
        <is>
          <t>INDIRECTO</t>
        </is>
      </c>
      <c r="N340" t="inlineStr">
        <is>
          <t>CANAL INDIRECTO</t>
        </is>
      </c>
    </row>
    <row r="341">
      <c r="A341" t="inlineStr">
        <is>
          <t>07/10/2026</t>
        </is>
      </c>
      <c r="B341" t="inlineStr">
        <is>
          <t>2026-08175</t>
        </is>
      </c>
      <c r="C341" t="inlineStr">
        <is>
          <t>163140</t>
        </is>
      </c>
      <c r="D341" t="inlineStr">
        <is>
          <t>163140</t>
        </is>
      </c>
      <c r="E341" t="inlineStr">
        <is>
          <t>HALFSIM TIGO</t>
        </is>
      </c>
      <c r="F341" t="n">
        <v>200</v>
      </c>
      <c r="G341" t="n">
        <v>138</v>
      </c>
      <c r="H341" t="inlineStr">
        <is>
          <t>0.69</t>
        </is>
      </c>
      <c r="J341" t="inlineStr">
        <is>
          <t>PDV LOW COST SMARTPHONELANDIA S.A.S. UNICENTRO_JOSIELY GILER</t>
        </is>
      </c>
      <c r="K341" t="inlineStr">
        <is>
          <t>0918930660</t>
        </is>
      </c>
      <c r="M341" t="inlineStr">
        <is>
          <t>INDIRECTO</t>
        </is>
      </c>
      <c r="N341" t="inlineStr">
        <is>
          <t>CANAL INDIRECTO</t>
        </is>
      </c>
    </row>
    <row r="342">
      <c r="A342" t="inlineStr">
        <is>
          <t>07/10/2026</t>
        </is>
      </c>
      <c r="B342" t="inlineStr">
        <is>
          <t>2026-08177</t>
        </is>
      </c>
      <c r="C342" t="inlineStr">
        <is>
          <t>163140</t>
        </is>
      </c>
      <c r="D342" t="inlineStr">
        <is>
          <t>163140</t>
        </is>
      </c>
      <c r="E342" t="inlineStr">
        <is>
          <t>HALFSIM TIGO</t>
        </is>
      </c>
      <c r="F342" t="n">
        <v>100</v>
      </c>
      <c r="G342" t="n">
        <v>69</v>
      </c>
      <c r="H342" t="inlineStr">
        <is>
          <t>0.69</t>
        </is>
      </c>
      <c r="J342" t="inlineStr">
        <is>
          <t>CORPORATIVO ROMERO RYRTECH S.A.S  (C.C. EL DORADO)_ELIZABETH SALAGATA</t>
        </is>
      </c>
      <c r="K342" t="inlineStr">
        <is>
          <t>0993323705001</t>
        </is>
      </c>
      <c r="M342" t="inlineStr">
        <is>
          <t>INDIRECTO</t>
        </is>
      </c>
      <c r="N342" t="inlineStr">
        <is>
          <t>CANAL INDIRECTO</t>
        </is>
      </c>
    </row>
    <row r="343">
      <c r="A343" t="inlineStr">
        <is>
          <t>07/10/2026</t>
        </is>
      </c>
      <c r="B343" t="inlineStr">
        <is>
          <t>16503181</t>
        </is>
      </c>
      <c r="C343" t="inlineStr">
        <is>
          <t>163140</t>
        </is>
      </c>
      <c r="D343" t="inlineStr">
        <is>
          <t>163140</t>
        </is>
      </c>
      <c r="E343" t="inlineStr">
        <is>
          <t>HALFSIM TIGO</t>
        </is>
      </c>
      <c r="F343" t="n">
        <v>4</v>
      </c>
      <c r="G343" t="n">
        <v>2.76</v>
      </c>
      <c r="H343" t="inlineStr">
        <is>
          <t>0.69</t>
        </is>
      </c>
      <c r="J343" t="inlineStr">
        <is>
          <t>MARIA GABRIELA QUISHPE LOPEZ_IMPORTADORA DE EQUIPOS MEDICOS EQUIPMEDICAL S A</t>
        </is>
      </c>
      <c r="K343" t="inlineStr">
        <is>
          <t>1792659051001</t>
        </is>
      </c>
      <c r="M343" t="inlineStr">
        <is>
          <t>BTB</t>
        </is>
      </c>
      <c r="N343" t="inlineStr">
        <is>
          <t>CANAL DIRECTO</t>
        </is>
      </c>
    </row>
    <row r="344">
      <c r="A344" t="inlineStr">
        <is>
          <t>07/10/2026</t>
        </is>
      </c>
      <c r="B344" t="inlineStr">
        <is>
          <t>16503194</t>
        </is>
      </c>
      <c r="C344" t="inlineStr">
        <is>
          <t>163140</t>
        </is>
      </c>
      <c r="D344" t="inlineStr">
        <is>
          <t>163140</t>
        </is>
      </c>
      <c r="E344" t="inlineStr">
        <is>
          <t>HALFSIM TIGO</t>
        </is>
      </c>
      <c r="F344" t="n">
        <v>1</v>
      </c>
      <c r="G344" t="n">
        <v>0.69</v>
      </c>
      <c r="H344" t="inlineStr">
        <is>
          <t>0.69</t>
        </is>
      </c>
      <c r="J344" t="inlineStr">
        <is>
          <t>CECILIA BASTIDAS KEVIN CARRION_BANCO INTERNACIONAL</t>
        </is>
      </c>
      <c r="K344" t="inlineStr">
        <is>
          <t>1790098354001</t>
        </is>
      </c>
      <c r="M344" t="inlineStr">
        <is>
          <t>BTB</t>
        </is>
      </c>
      <c r="N344" t="inlineStr">
        <is>
          <t>CANAL DIRECTO</t>
        </is>
      </c>
    </row>
    <row r="345">
      <c r="A345" t="inlineStr">
        <is>
          <t>07/10/2026</t>
        </is>
      </c>
      <c r="B345" t="inlineStr">
        <is>
          <t>16503361</t>
        </is>
      </c>
      <c r="C345" t="inlineStr">
        <is>
          <t>163140</t>
        </is>
      </c>
      <c r="D345" t="inlineStr">
        <is>
          <t>163140</t>
        </is>
      </c>
      <c r="E345" t="inlineStr">
        <is>
          <t>HALFSIM TIGO</t>
        </is>
      </c>
      <c r="F345" t="n">
        <v>1</v>
      </c>
      <c r="G345" t="n">
        <v>0.69</v>
      </c>
      <c r="H345" t="inlineStr">
        <is>
          <t>0.69</t>
        </is>
      </c>
      <c r="J345" t="inlineStr">
        <is>
          <t>EDGAR SANGACHA_DELONORTE S A</t>
        </is>
      </c>
      <c r="K345" t="inlineStr">
        <is>
          <t>1793204721001</t>
        </is>
      </c>
      <c r="M345" t="inlineStr">
        <is>
          <t>BTB</t>
        </is>
      </c>
      <c r="N345" t="inlineStr">
        <is>
          <t>CANAL DIRECTO</t>
        </is>
      </c>
    </row>
    <row r="346">
      <c r="A346" t="inlineStr">
        <is>
          <t>07/10/2026</t>
        </is>
      </c>
      <c r="B346" t="inlineStr">
        <is>
          <t>16503376</t>
        </is>
      </c>
      <c r="C346" t="inlineStr">
        <is>
          <t>163140</t>
        </is>
      </c>
      <c r="D346" t="inlineStr">
        <is>
          <t>163140</t>
        </is>
      </c>
      <c r="E346" t="inlineStr">
        <is>
          <t>HALFSIM TIGO</t>
        </is>
      </c>
      <c r="F346" t="n">
        <v>1</v>
      </c>
      <c r="G346" t="n">
        <v>0.69</v>
      </c>
      <c r="H346" t="inlineStr">
        <is>
          <t>0.69</t>
        </is>
      </c>
      <c r="J346" t="inlineStr">
        <is>
          <t>MELINA REINOSO FLORES_COMPANIA NACIONAL DE GAS CONGAS C A</t>
        </is>
      </c>
      <c r="K346" t="inlineStr">
        <is>
          <t>1790273482001</t>
        </is>
      </c>
      <c r="M346" t="inlineStr">
        <is>
          <t>BTB</t>
        </is>
      </c>
      <c r="N346" t="inlineStr">
        <is>
          <t>CANAL DIRECTO</t>
        </is>
      </c>
    </row>
    <row r="347">
      <c r="A347" t="inlineStr">
        <is>
          <t>07/10/2026</t>
        </is>
      </c>
      <c r="B347" t="inlineStr">
        <is>
          <t>16503377</t>
        </is>
      </c>
      <c r="C347" t="inlineStr">
        <is>
          <t>163140</t>
        </is>
      </c>
      <c r="D347" t="inlineStr">
        <is>
          <t>163140</t>
        </is>
      </c>
      <c r="E347" t="inlineStr">
        <is>
          <t>HALFSIM TIGO</t>
        </is>
      </c>
      <c r="F347" t="n">
        <v>1</v>
      </c>
      <c r="G347" t="n">
        <v>0.69</v>
      </c>
      <c r="H347" t="inlineStr">
        <is>
          <t>0.69</t>
        </is>
      </c>
      <c r="J347" t="inlineStr">
        <is>
          <t>ZUNIGA ARAUZ ROBERTO ANDRES_ZUNIGA ARAUZ ROBERTO ANDRES</t>
        </is>
      </c>
      <c r="K347" t="inlineStr">
        <is>
          <t>1717094294001</t>
        </is>
      </c>
      <c r="M347" t="inlineStr">
        <is>
          <t>BTB</t>
        </is>
      </c>
      <c r="N347" t="inlineStr">
        <is>
          <t>CANAL DIRECTO</t>
        </is>
      </c>
    </row>
    <row r="348">
      <c r="A348" t="inlineStr">
        <is>
          <t>07/10/2026</t>
        </is>
      </c>
      <c r="B348" t="inlineStr">
        <is>
          <t>16503378</t>
        </is>
      </c>
      <c r="C348" t="inlineStr">
        <is>
          <t>163140</t>
        </is>
      </c>
      <c r="D348" t="inlineStr">
        <is>
          <t>163140</t>
        </is>
      </c>
      <c r="E348" t="inlineStr">
        <is>
          <t>HALFSIM TIGO</t>
        </is>
      </c>
      <c r="F348" t="n">
        <v>21</v>
      </c>
      <c r="G348" t="n">
        <v>14.489999999999998</v>
      </c>
      <c r="H348" t="inlineStr">
        <is>
          <t>0.69</t>
        </is>
      </c>
      <c r="J348" t="inlineStr">
        <is>
          <t>BRAYAN MONGE_INSTASALUD S A</t>
        </is>
      </c>
      <c r="K348" t="inlineStr">
        <is>
          <t>1723985964001</t>
        </is>
      </c>
      <c r="M348" t="inlineStr">
        <is>
          <t>BTB</t>
        </is>
      </c>
      <c r="N348" t="inlineStr">
        <is>
          <t>CANAL DIRECTO</t>
        </is>
      </c>
    </row>
    <row r="349">
      <c r="A349" t="inlineStr">
        <is>
          <t>07/10/2026</t>
        </is>
      </c>
      <c r="B349" t="inlineStr">
        <is>
          <t>16503400</t>
        </is>
      </c>
      <c r="C349" t="inlineStr">
        <is>
          <t>163140</t>
        </is>
      </c>
      <c r="D349" t="inlineStr">
        <is>
          <t>163140</t>
        </is>
      </c>
      <c r="E349" t="inlineStr">
        <is>
          <t>HALFSIM TIGO</t>
        </is>
      </c>
      <c r="F349" t="n">
        <v>72</v>
      </c>
      <c r="G349" t="n">
        <v>49.679999999999993</v>
      </c>
      <c r="H349" t="inlineStr">
        <is>
          <t>0.69</t>
        </is>
      </c>
      <c r="J349" t="inlineStr">
        <is>
          <t>PABLO MOSQUERA_ANGEL GUSTAVO MOSQUERA SIMBANA</t>
        </is>
      </c>
      <c r="K349" t="inlineStr">
        <is>
          <t>1704171360001</t>
        </is>
      </c>
      <c r="M349" t="inlineStr">
        <is>
          <t>BTB</t>
        </is>
      </c>
      <c r="N349" t="inlineStr">
        <is>
          <t>CANAL DIRECTO</t>
        </is>
      </c>
    </row>
    <row r="350">
      <c r="A350" t="inlineStr">
        <is>
          <t>07/10/2026</t>
        </is>
      </c>
      <c r="B350" t="inlineStr">
        <is>
          <t>16503510</t>
        </is>
      </c>
      <c r="C350" t="inlineStr">
        <is>
          <t>163140</t>
        </is>
      </c>
      <c r="D350" t="inlineStr">
        <is>
          <t>163140</t>
        </is>
      </c>
      <c r="E350" t="inlineStr">
        <is>
          <t>HALFSIM TIGO</t>
        </is>
      </c>
      <c r="F350" t="n">
        <v>1</v>
      </c>
      <c r="G350" t="n">
        <v>0.69</v>
      </c>
      <c r="H350" t="inlineStr">
        <is>
          <t>0.69</t>
        </is>
      </c>
      <c r="J350" t="inlineStr">
        <is>
          <t>XAVIER LARREA_BIODIMED S A</t>
        </is>
      </c>
      <c r="K350" t="inlineStr">
        <is>
          <t>1792932793001</t>
        </is>
      </c>
      <c r="M350" t="inlineStr">
        <is>
          <t>BTB</t>
        </is>
      </c>
      <c r="N350" t="inlineStr">
        <is>
          <t>CANAL DIRECTO</t>
        </is>
      </c>
    </row>
    <row r="351">
      <c r="A351" t="inlineStr">
        <is>
          <t>08/10/2026</t>
        </is>
      </c>
      <c r="B351" t="inlineStr">
        <is>
          <t>16501783</t>
        </is>
      </c>
      <c r="C351" t="inlineStr">
        <is>
          <t>163140</t>
        </is>
      </c>
      <c r="D351" t="inlineStr">
        <is>
          <t>163140</t>
        </is>
      </c>
      <c r="E351" t="inlineStr">
        <is>
          <t>HALFSIM TIGO</t>
        </is>
      </c>
      <c r="F351" t="n">
        <v>3</v>
      </c>
      <c r="G351" t="n">
        <v>2.0699999999999998</v>
      </c>
      <c r="H351" t="inlineStr">
        <is>
          <t>0.69</t>
        </is>
      </c>
      <c r="J351" t="inlineStr">
        <is>
          <t>RONQUILLO TRIVINO PATRICIO DANILO_ROBLES MALDONADO JENNY ALEXANDRA</t>
        </is>
      </c>
      <c r="K351" t="inlineStr">
        <is>
          <t>0916944937001</t>
        </is>
      </c>
      <c r="M351" t="inlineStr">
        <is>
          <t>BTB</t>
        </is>
      </c>
      <c r="N351" t="inlineStr">
        <is>
          <t>CANAL DIRECTO</t>
        </is>
      </c>
    </row>
    <row r="352">
      <c r="A352" t="inlineStr">
        <is>
          <t>08/10/2026</t>
        </is>
      </c>
      <c r="B352" t="inlineStr">
        <is>
          <t>97732642</t>
        </is>
      </c>
      <c r="C352" t="inlineStr">
        <is>
          <t>163140</t>
        </is>
      </c>
      <c r="D352" t="inlineStr">
        <is>
          <t>163140</t>
        </is>
      </c>
      <c r="E352" t="inlineStr">
        <is>
          <t>HALFSIM TIGO</t>
        </is>
      </c>
      <c r="F352" t="n">
        <v>1</v>
      </c>
      <c r="G352" t="n">
        <v>0.69</v>
      </c>
      <c r="H352" t="inlineStr">
        <is>
          <t>0.69</t>
        </is>
      </c>
      <c r="J352" t="inlineStr">
        <is>
          <t>Ana Garcia</t>
        </is>
      </c>
      <c r="K352" t="inlineStr">
        <is>
          <t>1312553900</t>
        </is>
      </c>
      <c r="L352" t="inlineStr">
        <is>
          <t>0.963786,-79.6270917</t>
        </is>
      </c>
      <c r="M352" t="inlineStr">
        <is>
          <t>Cliente Final</t>
        </is>
      </c>
      <c r="N352" t="inlineStr">
        <is>
          <t>CANAL INDIRECTO</t>
        </is>
      </c>
    </row>
    <row r="353">
      <c r="A353" t="inlineStr">
        <is>
          <t>08/10/2026</t>
        </is>
      </c>
      <c r="B353" t="inlineStr">
        <is>
          <t>97725674</t>
        </is>
      </c>
      <c r="C353" t="inlineStr">
        <is>
          <t>163140</t>
        </is>
      </c>
      <c r="D353" t="inlineStr">
        <is>
          <t>163140</t>
        </is>
      </c>
      <c r="E353" t="inlineStr">
        <is>
          <t>HALFSIM TIGO</t>
        </is>
      </c>
      <c r="F353" t="n">
        <v>1</v>
      </c>
      <c r="G353" t="n">
        <v>0.69</v>
      </c>
      <c r="H353" t="inlineStr">
        <is>
          <t>0.69</t>
        </is>
      </c>
      <c r="J353" t="inlineStr">
        <is>
          <t>Noelia Natabel Chicaiza Palacios</t>
        </is>
      </c>
      <c r="K353" t="inlineStr">
        <is>
          <t>1600803199</t>
        </is>
      </c>
      <c r="L353" t="inlineStr">
        <is>
          <t>-1.2374326,-78.6144144</t>
        </is>
      </c>
      <c r="M353" t="inlineStr">
        <is>
          <t>Cliente Final</t>
        </is>
      </c>
      <c r="N353" t="inlineStr">
        <is>
          <t>CANAL INDIRECTO</t>
        </is>
      </c>
    </row>
    <row r="354">
      <c r="A354" t="inlineStr">
        <is>
          <t>08/10/2026</t>
        </is>
      </c>
      <c r="B354" t="inlineStr">
        <is>
          <t>16502879</t>
        </is>
      </c>
      <c r="C354" t="inlineStr">
        <is>
          <t>163140</t>
        </is>
      </c>
      <c r="D354" t="inlineStr">
        <is>
          <t>163140</t>
        </is>
      </c>
      <c r="E354" t="inlineStr">
        <is>
          <t>HALFSIM TIGO</t>
        </is>
      </c>
      <c r="F354" t="n">
        <v>1</v>
      </c>
      <c r="G354" t="n">
        <v>0.69</v>
      </c>
      <c r="H354" t="inlineStr">
        <is>
          <t>0.69</t>
        </is>
      </c>
      <c r="J354" t="inlineStr">
        <is>
          <t>GARCIA PERALTA LINCOLN ISRAEL_ECUAPAYPHONE C A</t>
        </is>
      </c>
      <c r="K354" t="inlineStr">
        <is>
          <t>0190402452001</t>
        </is>
      </c>
      <c r="M354" t="inlineStr">
        <is>
          <t>BTB</t>
        </is>
      </c>
      <c r="N354" t="inlineStr">
        <is>
          <t>CANAL DIRECTO</t>
        </is>
      </c>
    </row>
    <row r="355">
      <c r="A355" t="inlineStr">
        <is>
          <t>08/10/2026</t>
        </is>
      </c>
      <c r="B355" t="inlineStr">
        <is>
          <t>16502922</t>
        </is>
      </c>
      <c r="C355" t="inlineStr">
        <is>
          <t>163140</t>
        </is>
      </c>
      <c r="D355" t="inlineStr">
        <is>
          <t>163140</t>
        </is>
      </c>
      <c r="E355" t="inlineStr">
        <is>
          <t>HALFSIM TIGO</t>
        </is>
      </c>
      <c r="F355" t="n">
        <v>10</v>
      </c>
      <c r="G355" t="n">
        <v>6.8999999999999995</v>
      </c>
      <c r="H355" t="inlineStr">
        <is>
          <t>0.69</t>
        </is>
      </c>
      <c r="J355" t="inlineStr">
        <is>
          <t>CESAR SORIANO_SINDICATO PROVINCIALDE TRABAJADORES DE LA EMPRESA</t>
        </is>
      </c>
      <c r="K355" t="inlineStr">
        <is>
          <t>0992633999001</t>
        </is>
      </c>
      <c r="M355" t="inlineStr">
        <is>
          <t>BTB</t>
        </is>
      </c>
      <c r="N355" t="inlineStr">
        <is>
          <t>CANAL DIRECTO</t>
        </is>
      </c>
    </row>
    <row r="356">
      <c r="A356" t="inlineStr">
        <is>
          <t>08/10/2026</t>
        </is>
      </c>
      <c r="B356" t="inlineStr">
        <is>
          <t>16502950</t>
        </is>
      </c>
      <c r="C356" t="inlineStr">
        <is>
          <t>163140</t>
        </is>
      </c>
      <c r="D356" t="inlineStr">
        <is>
          <t>163140</t>
        </is>
      </c>
      <c r="E356" t="inlineStr">
        <is>
          <t>HALFSIM TIGO</t>
        </is>
      </c>
      <c r="F356" t="n">
        <v>1</v>
      </c>
      <c r="G356" t="n">
        <v>0.69</v>
      </c>
      <c r="H356" t="inlineStr">
        <is>
          <t>0.69</t>
        </is>
      </c>
      <c r="J356" t="inlineStr">
        <is>
          <t>JULIO CESAR ANDRADE ZAPATA_JULIO CESAR ANDRADE ZAPATA</t>
        </is>
      </c>
      <c r="K356" t="inlineStr">
        <is>
          <t>0401591086001</t>
        </is>
      </c>
      <c r="M356" t="inlineStr">
        <is>
          <t>BTB</t>
        </is>
      </c>
      <c r="N356" t="inlineStr">
        <is>
          <t>CANAL DIRECTO</t>
        </is>
      </c>
    </row>
    <row r="357">
      <c r="A357" t="inlineStr">
        <is>
          <t>08/10/2026</t>
        </is>
      </c>
      <c r="B357" t="inlineStr">
        <is>
          <t>16502993</t>
        </is>
      </c>
      <c r="C357" t="inlineStr">
        <is>
          <t>163140</t>
        </is>
      </c>
      <c r="D357" t="inlineStr">
        <is>
          <t>163140</t>
        </is>
      </c>
      <c r="E357" t="inlineStr">
        <is>
          <t>HALFSIM TIGO</t>
        </is>
      </c>
      <c r="F357" t="n">
        <v>2</v>
      </c>
      <c r="G357" t="n">
        <v>1.38</v>
      </c>
      <c r="H357" t="inlineStr">
        <is>
          <t>0.69</t>
        </is>
      </c>
      <c r="J357" t="inlineStr">
        <is>
          <t>SILVA GUERRERO LUIS FERNANDO_SILVA GUERRERO LUIS FERNANDO</t>
        </is>
      </c>
      <c r="K357" t="inlineStr">
        <is>
          <t>0908960792001</t>
        </is>
      </c>
      <c r="M357" t="inlineStr">
        <is>
          <t>BTB</t>
        </is>
      </c>
      <c r="N357" t="inlineStr">
        <is>
          <t>CANAL DIRECTO</t>
        </is>
      </c>
    </row>
    <row r="358">
      <c r="A358" t="inlineStr">
        <is>
          <t>08/10/2026</t>
        </is>
      </c>
      <c r="B358" t="inlineStr">
        <is>
          <t>16503008</t>
        </is>
      </c>
      <c r="C358" t="inlineStr">
        <is>
          <t>163140</t>
        </is>
      </c>
      <c r="D358" t="inlineStr">
        <is>
          <t>163140</t>
        </is>
      </c>
      <c r="E358" t="inlineStr">
        <is>
          <t>HALFSIM TIGO</t>
        </is>
      </c>
      <c r="F358" t="n">
        <v>1</v>
      </c>
      <c r="G358" t="n">
        <v>0.69</v>
      </c>
      <c r="H358" t="inlineStr">
        <is>
          <t>0.69</t>
        </is>
      </c>
      <c r="J358" t="inlineStr">
        <is>
          <t>SERVIO BERMEO Y CARLOS CEVALLOS_TERMINAL PORTUARIO DE MANTA TPM S A</t>
        </is>
      </c>
      <c r="K358" t="inlineStr">
        <is>
          <t>0993005258001</t>
        </is>
      </c>
      <c r="M358" t="inlineStr">
        <is>
          <t>BTB</t>
        </is>
      </c>
      <c r="N358" t="inlineStr">
        <is>
          <t>CANAL DIRECTO</t>
        </is>
      </c>
    </row>
    <row r="359">
      <c r="A359" t="inlineStr">
        <is>
          <t>08/10/2026</t>
        </is>
      </c>
      <c r="B359" t="inlineStr">
        <is>
          <t>16503017</t>
        </is>
      </c>
      <c r="C359" t="inlineStr">
        <is>
          <t>163140</t>
        </is>
      </c>
      <c r="D359" t="inlineStr">
        <is>
          <t>163140</t>
        </is>
      </c>
      <c r="E359" t="inlineStr">
        <is>
          <t>HALFSIM TIGO</t>
        </is>
      </c>
      <c r="F359" t="n">
        <v>1</v>
      </c>
      <c r="G359" t="n">
        <v>0.69</v>
      </c>
      <c r="H359" t="inlineStr">
        <is>
          <t>0.69</t>
        </is>
      </c>
      <c r="J359" t="inlineStr">
        <is>
          <t>SERVIO BERMEO Y CARLOS CEVALLOS_PORTRANS S A</t>
        </is>
      </c>
      <c r="K359" t="inlineStr">
        <is>
          <t>0991306625001</t>
        </is>
      </c>
      <c r="M359" t="inlineStr">
        <is>
          <t>BTB</t>
        </is>
      </c>
      <c r="N359" t="inlineStr">
        <is>
          <t>CANAL DIRECTO</t>
        </is>
      </c>
    </row>
    <row r="360">
      <c r="A360" t="inlineStr">
        <is>
          <t>08/10/2026</t>
        </is>
      </c>
      <c r="B360" t="inlineStr">
        <is>
          <t>16503067</t>
        </is>
      </c>
      <c r="C360" t="inlineStr">
        <is>
          <t>163140</t>
        </is>
      </c>
      <c r="D360" t="inlineStr">
        <is>
          <t>163140</t>
        </is>
      </c>
      <c r="E360" t="inlineStr">
        <is>
          <t>HALFSIM TIGO</t>
        </is>
      </c>
      <c r="F360" t="n">
        <v>1</v>
      </c>
      <c r="G360" t="n">
        <v>0.69</v>
      </c>
      <c r="H360" t="inlineStr">
        <is>
          <t>0.69</t>
        </is>
      </c>
      <c r="J360" t="inlineStr">
        <is>
          <t>SERVIO BERMEO Y CARLOS CEVALLOS_COMPANIA DE ESTIBAS Y SERVICIOS S A CO</t>
        </is>
      </c>
      <c r="K360" t="inlineStr">
        <is>
          <t>0992508884001</t>
        </is>
      </c>
      <c r="M360" t="inlineStr">
        <is>
          <t>BTB</t>
        </is>
      </c>
      <c r="N360" t="inlineStr">
        <is>
          <t>CANAL DIRECTO</t>
        </is>
      </c>
    </row>
    <row r="361">
      <c r="A361" t="inlineStr">
        <is>
          <t>08/10/2026</t>
        </is>
      </c>
      <c r="B361" t="inlineStr">
        <is>
          <t>16503100</t>
        </is>
      </c>
      <c r="C361" t="inlineStr">
        <is>
          <t>163140</t>
        </is>
      </c>
      <c r="D361" t="inlineStr">
        <is>
          <t>163140</t>
        </is>
      </c>
      <c r="E361" t="inlineStr">
        <is>
          <t>HALFSIM TIGO</t>
        </is>
      </c>
      <c r="F361" t="n">
        <v>1</v>
      </c>
      <c r="G361" t="n">
        <v>0.69</v>
      </c>
      <c r="H361" t="inlineStr">
        <is>
          <t>0.69</t>
        </is>
      </c>
      <c r="J361" t="inlineStr">
        <is>
          <t>POZO AVILA CARLOS GUSTAVO_POZO AVILA CARLOS GUSTAVO</t>
        </is>
      </c>
      <c r="K361" t="inlineStr">
        <is>
          <t>2400352270001</t>
        </is>
      </c>
      <c r="M361" t="inlineStr">
        <is>
          <t>BTB</t>
        </is>
      </c>
      <c r="N361" t="inlineStr">
        <is>
          <t>CANAL DIRECTO</t>
        </is>
      </c>
    </row>
    <row r="362">
      <c r="A362" t="inlineStr">
        <is>
          <t>08/10/2026</t>
        </is>
      </c>
      <c r="B362" t="inlineStr">
        <is>
          <t>16503101</t>
        </is>
      </c>
      <c r="C362" t="inlineStr">
        <is>
          <t>163140</t>
        </is>
      </c>
      <c r="D362" t="inlineStr">
        <is>
          <t>163140</t>
        </is>
      </c>
      <c r="E362" t="inlineStr">
        <is>
          <t>HALFSIM TIGO</t>
        </is>
      </c>
      <c r="F362" t="n">
        <v>10</v>
      </c>
      <c r="G362" t="n">
        <v>6.8999999999999995</v>
      </c>
      <c r="H362" t="inlineStr">
        <is>
          <t>0.69</t>
        </is>
      </c>
      <c r="J362" t="inlineStr">
        <is>
          <t>VALESKA VIDAL_GRUPO BRAVCO S A</t>
        </is>
      </c>
      <c r="K362" t="inlineStr">
        <is>
          <t>1790506428001</t>
        </is>
      </c>
      <c r="M362" t="inlineStr">
        <is>
          <t>BTB</t>
        </is>
      </c>
      <c r="N362" t="inlineStr">
        <is>
          <t>CANAL DIRECTO</t>
        </is>
      </c>
    </row>
    <row r="363">
      <c r="A363" t="inlineStr">
        <is>
          <t>08/10/2026</t>
        </is>
      </c>
      <c r="B363" t="inlineStr">
        <is>
          <t>16503111</t>
        </is>
      </c>
      <c r="C363" t="inlineStr">
        <is>
          <t>163140</t>
        </is>
      </c>
      <c r="D363" t="inlineStr">
        <is>
          <t>163140</t>
        </is>
      </c>
      <c r="E363" t="inlineStr">
        <is>
          <t>HALFSIM TIGO</t>
        </is>
      </c>
      <c r="F363" t="n">
        <v>1</v>
      </c>
      <c r="G363" t="n">
        <v>0.69</v>
      </c>
      <c r="H363" t="inlineStr">
        <is>
          <t>0.69</t>
        </is>
      </c>
      <c r="J363" t="inlineStr">
        <is>
          <t>SARAGURO ROMERO FREDY ARMANDO_SARAGURO ROMERO FREDY ARMANDO</t>
        </is>
      </c>
      <c r="K363" t="inlineStr">
        <is>
          <t>0106084650001</t>
        </is>
      </c>
      <c r="M363" t="inlineStr">
        <is>
          <t>BTB</t>
        </is>
      </c>
      <c r="N363" t="inlineStr">
        <is>
          <t>CANAL DIRECTO</t>
        </is>
      </c>
    </row>
    <row r="364">
      <c r="A364" t="inlineStr">
        <is>
          <t>08/10/2026</t>
        </is>
      </c>
      <c r="B364" t="inlineStr">
        <is>
          <t>16503113</t>
        </is>
      </c>
      <c r="C364" t="inlineStr">
        <is>
          <t>163140</t>
        </is>
      </c>
      <c r="D364" t="inlineStr">
        <is>
          <t>163140</t>
        </is>
      </c>
      <c r="E364" t="inlineStr">
        <is>
          <t>HALFSIM TIGO</t>
        </is>
      </c>
      <c r="F364" t="n">
        <v>1</v>
      </c>
      <c r="G364" t="n">
        <v>0.69</v>
      </c>
      <c r="H364" t="inlineStr">
        <is>
          <t>0.69</t>
        </is>
      </c>
      <c r="J364" t="inlineStr">
        <is>
          <t>SANCHEZ TOAPANTA TATIANA HIPATIA_SANCHEZ TOAPANTA TATIANA HIPATIA</t>
        </is>
      </c>
      <c r="K364" t="inlineStr">
        <is>
          <t>0502508120001</t>
        </is>
      </c>
      <c r="M364" t="inlineStr">
        <is>
          <t>BTB</t>
        </is>
      </c>
      <c r="N364" t="inlineStr">
        <is>
          <t>CANAL DIRECTO</t>
        </is>
      </c>
    </row>
    <row r="365">
      <c r="A365" t="inlineStr">
        <is>
          <t>08/10/2026</t>
        </is>
      </c>
      <c r="B365" t="inlineStr">
        <is>
          <t>16503114</t>
        </is>
      </c>
      <c r="C365" t="inlineStr">
        <is>
          <t>163140</t>
        </is>
      </c>
      <c r="D365" t="inlineStr">
        <is>
          <t>163140</t>
        </is>
      </c>
      <c r="E365" t="inlineStr">
        <is>
          <t>HALFSIM TIGO</t>
        </is>
      </c>
      <c r="F365" t="n">
        <v>21</v>
      </c>
      <c r="G365" t="n">
        <v>14.489999999999998</v>
      </c>
      <c r="H365" t="inlineStr">
        <is>
          <t>0.69</t>
        </is>
      </c>
      <c r="J365" t="inlineStr">
        <is>
          <t>ANDREA DIAZ_GOURMET FOOD SERVICE GFS S A</t>
        </is>
      </c>
      <c r="K365" t="inlineStr">
        <is>
          <t>1792052270001</t>
        </is>
      </c>
      <c r="M365" t="inlineStr">
        <is>
          <t>BTB</t>
        </is>
      </c>
      <c r="N365" t="inlineStr">
        <is>
          <t>CANAL DIRECTO</t>
        </is>
      </c>
    </row>
    <row r="366">
      <c r="A366" t="inlineStr">
        <is>
          <t>08/10/2026</t>
        </is>
      </c>
      <c r="B366" t="inlineStr">
        <is>
          <t>16503135</t>
        </is>
      </c>
      <c r="C366" t="inlineStr">
        <is>
          <t>163140</t>
        </is>
      </c>
      <c r="D366" t="inlineStr">
        <is>
          <t>163140</t>
        </is>
      </c>
      <c r="E366" t="inlineStr">
        <is>
          <t>HALFSIM TIGO</t>
        </is>
      </c>
      <c r="F366" t="n">
        <v>1</v>
      </c>
      <c r="G366" t="n">
        <v>0.69</v>
      </c>
      <c r="H366" t="inlineStr">
        <is>
          <t>0.69</t>
        </is>
      </c>
      <c r="J366" t="inlineStr">
        <is>
          <t>QUITIAN REYES LUIS EDUARDO_QUITIAN REYES LUIS EDUARDO</t>
        </is>
      </c>
      <c r="K366" t="inlineStr">
        <is>
          <t>1721429544001</t>
        </is>
      </c>
      <c r="M366" t="inlineStr">
        <is>
          <t>BTB</t>
        </is>
      </c>
      <c r="N366" t="inlineStr">
        <is>
          <t>CANAL DIRECTO</t>
        </is>
      </c>
    </row>
    <row r="367">
      <c r="A367" t="inlineStr">
        <is>
          <t>08/10/2026</t>
        </is>
      </c>
      <c r="B367" t="inlineStr">
        <is>
          <t>16503136</t>
        </is>
      </c>
      <c r="C367" t="inlineStr">
        <is>
          <t>163140</t>
        </is>
      </c>
      <c r="D367" t="inlineStr">
        <is>
          <t>163140</t>
        </is>
      </c>
      <c r="E367" t="inlineStr">
        <is>
          <t>HALFSIM TIGO</t>
        </is>
      </c>
      <c r="F367" t="n">
        <v>10</v>
      </c>
      <c r="G367" t="n">
        <v>6.8999999999999995</v>
      </c>
      <c r="H367" t="inlineStr">
        <is>
          <t>0.69</t>
        </is>
      </c>
      <c r="J367" t="inlineStr">
        <is>
          <t>MONICA RICAURTE_MEDEXA S A</t>
        </is>
      </c>
      <c r="K367" t="inlineStr">
        <is>
          <t>0992215690001</t>
        </is>
      </c>
      <c r="M367" t="inlineStr">
        <is>
          <t>BTB</t>
        </is>
      </c>
      <c r="N367" t="inlineStr">
        <is>
          <t>CANAL DIRECTO</t>
        </is>
      </c>
    </row>
    <row r="368">
      <c r="A368" t="inlineStr">
        <is>
          <t>08/10/2026</t>
        </is>
      </c>
      <c r="B368" t="inlineStr">
        <is>
          <t>16503146</t>
        </is>
      </c>
      <c r="C368" t="inlineStr">
        <is>
          <t>163140</t>
        </is>
      </c>
      <c r="D368" t="inlineStr">
        <is>
          <t>163140</t>
        </is>
      </c>
      <c r="E368" t="inlineStr">
        <is>
          <t>HALFSIM TIGO</t>
        </is>
      </c>
      <c r="F368" t="n">
        <v>1</v>
      </c>
      <c r="G368" t="n">
        <v>0.69</v>
      </c>
      <c r="H368" t="inlineStr">
        <is>
          <t>0.69</t>
        </is>
      </c>
      <c r="J368" t="inlineStr">
        <is>
          <t>CHRISTIAN GUZMAN_VIASSEN C A</t>
        </is>
      </c>
      <c r="K368" t="inlineStr">
        <is>
          <t>1792852315001</t>
        </is>
      </c>
      <c r="M368" t="inlineStr">
        <is>
          <t>BTB</t>
        </is>
      </c>
      <c r="N368" t="inlineStr">
        <is>
          <t>CANAL DIRECTO</t>
        </is>
      </c>
    </row>
    <row r="369">
      <c r="A369" t="inlineStr">
        <is>
          <t>08/10/2026</t>
        </is>
      </c>
      <c r="B369" t="inlineStr">
        <is>
          <t>16503147</t>
        </is>
      </c>
      <c r="C369" t="inlineStr">
        <is>
          <t>163140</t>
        </is>
      </c>
      <c r="D369" t="inlineStr">
        <is>
          <t>163140</t>
        </is>
      </c>
      <c r="E369" t="inlineStr">
        <is>
          <t>HALFSIM TIGO</t>
        </is>
      </c>
      <c r="F369" t="n">
        <v>2</v>
      </c>
      <c r="G369" t="n">
        <v>1.38</v>
      </c>
      <c r="H369" t="inlineStr">
        <is>
          <t>0.69</t>
        </is>
      </c>
      <c r="J369" t="inlineStr">
        <is>
          <t>PATRICIO ESPINOSA_EXPORTADORA DE FLORES EXPOFLOR CIA LTDA</t>
        </is>
      </c>
      <c r="K369" t="inlineStr">
        <is>
          <t>1790986640001</t>
        </is>
      </c>
      <c r="M369" t="inlineStr">
        <is>
          <t>BTB</t>
        </is>
      </c>
      <c r="N369" t="inlineStr">
        <is>
          <t>CANAL DIRECTO</t>
        </is>
      </c>
    </row>
    <row r="370">
      <c r="A370" t="inlineStr">
        <is>
          <t>08/10/2026</t>
        </is>
      </c>
      <c r="B370" t="inlineStr">
        <is>
          <t>16503150</t>
        </is>
      </c>
      <c r="C370" t="inlineStr">
        <is>
          <t>163140</t>
        </is>
      </c>
      <c r="D370" t="inlineStr">
        <is>
          <t>163140</t>
        </is>
      </c>
      <c r="E370" t="inlineStr">
        <is>
          <t>HALFSIM TIGO</t>
        </is>
      </c>
      <c r="F370" t="n">
        <v>1</v>
      </c>
      <c r="G370" t="n">
        <v>0.69</v>
      </c>
      <c r="H370" t="inlineStr">
        <is>
          <t>0.69</t>
        </is>
      </c>
      <c r="J370" t="inlineStr">
        <is>
          <t>ANDRADE ANDRADE EFRAIN JAVIER_ANDRADE ANDRADE EFRAIN JAVIER</t>
        </is>
      </c>
      <c r="K370" t="inlineStr">
        <is>
          <t>0911029742001</t>
        </is>
      </c>
      <c r="M370" t="inlineStr">
        <is>
          <t>BTB</t>
        </is>
      </c>
      <c r="N370" t="inlineStr">
        <is>
          <t>CANAL DIRECTO</t>
        </is>
      </c>
    </row>
    <row r="371">
      <c r="A371" t="inlineStr">
        <is>
          <t>08/10/2026</t>
        </is>
      </c>
      <c r="B371" t="inlineStr">
        <is>
          <t>16503151</t>
        </is>
      </c>
      <c r="C371" t="inlineStr">
        <is>
          <t>163140</t>
        </is>
      </c>
      <c r="D371" t="inlineStr">
        <is>
          <t>163140</t>
        </is>
      </c>
      <c r="E371" t="inlineStr">
        <is>
          <t>HALFSIM TIGO</t>
        </is>
      </c>
      <c r="F371" t="n">
        <v>1</v>
      </c>
      <c r="G371" t="n">
        <v>0.69</v>
      </c>
      <c r="H371" t="inlineStr">
        <is>
          <t>0.69</t>
        </is>
      </c>
      <c r="J371" t="inlineStr">
        <is>
          <t>SALAN VALLEJO JUAN GABRIEL_SALAN VALLEJO JUAN GABRIEL</t>
        </is>
      </c>
      <c r="K371" t="inlineStr">
        <is>
          <t>1803775418001</t>
        </is>
      </c>
      <c r="M371" t="inlineStr">
        <is>
          <t>BTB</t>
        </is>
      </c>
      <c r="N371" t="inlineStr">
        <is>
          <t>CANAL DIRECTO</t>
        </is>
      </c>
    </row>
    <row r="372">
      <c r="A372" t="inlineStr">
        <is>
          <t>08/10/2026</t>
        </is>
      </c>
      <c r="B372" t="inlineStr">
        <is>
          <t>16503153</t>
        </is>
      </c>
      <c r="C372" t="inlineStr">
        <is>
          <t>163140</t>
        </is>
      </c>
      <c r="D372" t="inlineStr">
        <is>
          <t>163140</t>
        </is>
      </c>
      <c r="E372" t="inlineStr">
        <is>
          <t>HALFSIM TIGO</t>
        </is>
      </c>
      <c r="F372" t="n">
        <v>3</v>
      </c>
      <c r="G372" t="n">
        <v>2.0699999999999998</v>
      </c>
      <c r="H372" t="inlineStr">
        <is>
          <t>0.69</t>
        </is>
      </c>
      <c r="J372" t="inlineStr">
        <is>
          <t>KATTY ISABEL VELEZ ZAVALA_PANDA COMUNICACIONES S A PANDACOM</t>
        </is>
      </c>
      <c r="K372" t="inlineStr">
        <is>
          <t>0992709359001</t>
        </is>
      </c>
      <c r="M372" t="inlineStr">
        <is>
          <t>BTB</t>
        </is>
      </c>
      <c r="N372" t="inlineStr">
        <is>
          <t>CANAL DIRECTO</t>
        </is>
      </c>
    </row>
    <row r="373">
      <c r="A373" t="inlineStr">
        <is>
          <t>08/10/2026</t>
        </is>
      </c>
      <c r="B373" t="inlineStr">
        <is>
          <t>16503157</t>
        </is>
      </c>
      <c r="C373" t="inlineStr">
        <is>
          <t>163140</t>
        </is>
      </c>
      <c r="D373" t="inlineStr">
        <is>
          <t>163140</t>
        </is>
      </c>
      <c r="E373" t="inlineStr">
        <is>
          <t>HALFSIM TIGO</t>
        </is>
      </c>
      <c r="F373" t="n">
        <v>1</v>
      </c>
      <c r="G373" t="n">
        <v>0.69</v>
      </c>
      <c r="H373" t="inlineStr">
        <is>
          <t>0.69</t>
        </is>
      </c>
      <c r="J373" t="inlineStr">
        <is>
          <t>CRESPIN VILLAVICENCIO WILLIAM JAVIER_CRESPIN VILLAVICENCIO WILLIAM JAVIER</t>
        </is>
      </c>
      <c r="K373" t="inlineStr">
        <is>
          <t>0919835454001</t>
        </is>
      </c>
      <c r="M373" t="inlineStr">
        <is>
          <t>BTB</t>
        </is>
      </c>
      <c r="N373" t="inlineStr">
        <is>
          <t>CANAL DIRECTO</t>
        </is>
      </c>
    </row>
    <row r="374">
      <c r="A374" t="inlineStr">
        <is>
          <t>08/10/2026</t>
        </is>
      </c>
      <c r="B374" t="inlineStr">
        <is>
          <t>16503158</t>
        </is>
      </c>
      <c r="C374" t="inlineStr">
        <is>
          <t>163140</t>
        </is>
      </c>
      <c r="D374" t="inlineStr">
        <is>
          <t>163140</t>
        </is>
      </c>
      <c r="E374" t="inlineStr">
        <is>
          <t>HALFSIM TIGO</t>
        </is>
      </c>
      <c r="F374" t="n">
        <v>1</v>
      </c>
      <c r="G374" t="n">
        <v>0.69</v>
      </c>
      <c r="H374" t="inlineStr">
        <is>
          <t>0.69</t>
        </is>
      </c>
      <c r="J374" t="inlineStr">
        <is>
          <t>ESTEBAN MATUTE_ASOCIACION DE EMPLEADOS MUNICIPALES</t>
        </is>
      </c>
      <c r="K374" t="inlineStr">
        <is>
          <t>0190304612001</t>
        </is>
      </c>
      <c r="M374" t="inlineStr">
        <is>
          <t>BTB</t>
        </is>
      </c>
      <c r="N374" t="inlineStr">
        <is>
          <t>CANAL DIRECTO</t>
        </is>
      </c>
    </row>
    <row r="375">
      <c r="A375" t="inlineStr">
        <is>
          <t>08/10/2026</t>
        </is>
      </c>
      <c r="B375" t="inlineStr">
        <is>
          <t>16503161</t>
        </is>
      </c>
      <c r="C375" t="inlineStr">
        <is>
          <t>163140</t>
        </is>
      </c>
      <c r="D375" t="inlineStr">
        <is>
          <t>163140</t>
        </is>
      </c>
      <c r="E375" t="inlineStr">
        <is>
          <t>HALFSIM TIGO</t>
        </is>
      </c>
      <c r="F375" t="n">
        <v>7</v>
      </c>
      <c r="G375" t="n">
        <v>4.83</v>
      </c>
      <c r="H375" t="inlineStr">
        <is>
          <t>0.69</t>
        </is>
      </c>
      <c r="J375" t="inlineStr">
        <is>
          <t>KATTY ISABEL VELEZ ZAVALA_PANDA COMUNICACIONES S A PANDACOM</t>
        </is>
      </c>
      <c r="K375" t="inlineStr">
        <is>
          <t>0992709359001</t>
        </is>
      </c>
      <c r="M375" t="inlineStr">
        <is>
          <t>BTB</t>
        </is>
      </c>
      <c r="N375" t="inlineStr">
        <is>
          <t>CANAL DIRECTO</t>
        </is>
      </c>
    </row>
    <row r="376">
      <c r="A376" t="inlineStr">
        <is>
          <t>08/10/2026</t>
        </is>
      </c>
      <c r="B376" t="inlineStr">
        <is>
          <t>16503170</t>
        </is>
      </c>
      <c r="C376" t="inlineStr">
        <is>
          <t>163140</t>
        </is>
      </c>
      <c r="D376" t="inlineStr">
        <is>
          <t>163140</t>
        </is>
      </c>
      <c r="E376" t="inlineStr">
        <is>
          <t>HALFSIM TIGO</t>
        </is>
      </c>
      <c r="F376" t="n">
        <v>1</v>
      </c>
      <c r="G376" t="n">
        <v>0.69</v>
      </c>
      <c r="H376" t="inlineStr">
        <is>
          <t>0.69</t>
        </is>
      </c>
      <c r="J376" t="inlineStr">
        <is>
          <t>BARCOS MORALES PEDRO VALENTIN_BARCOS MORALES PEDRO VALENTIN</t>
        </is>
      </c>
      <c r="K376" t="inlineStr">
        <is>
          <t>0911709368001</t>
        </is>
      </c>
      <c r="M376" t="inlineStr">
        <is>
          <t>BTB</t>
        </is>
      </c>
      <c r="N376" t="inlineStr">
        <is>
          <t>CANAL DIRECTO</t>
        </is>
      </c>
    </row>
    <row r="377">
      <c r="A377" t="inlineStr">
        <is>
          <t>08/10/2026</t>
        </is>
      </c>
      <c r="B377" t="inlineStr">
        <is>
          <t>16503170</t>
        </is>
      </c>
      <c r="C377" t="inlineStr">
        <is>
          <t>163140</t>
        </is>
      </c>
      <c r="D377" t="inlineStr">
        <is>
          <t>163140</t>
        </is>
      </c>
      <c r="E377" t="inlineStr">
        <is>
          <t>HALFSIM TIGO</t>
        </is>
      </c>
      <c r="F377" t="n">
        <v>1</v>
      </c>
      <c r="G377" t="n">
        <v>0.69</v>
      </c>
      <c r="H377" t="inlineStr">
        <is>
          <t>0.69</t>
        </is>
      </c>
      <c r="J377" t="inlineStr">
        <is>
          <t>BARCOS MORALES PEDRO VALENTIN_BARCOS MORALES PEDRO VALENTIN</t>
        </is>
      </c>
      <c r="K377" t="inlineStr">
        <is>
          <t>0911709368001</t>
        </is>
      </c>
      <c r="M377" t="inlineStr">
        <is>
          <t>BTB</t>
        </is>
      </c>
      <c r="N377" t="inlineStr">
        <is>
          <t>CANAL DIRECTO</t>
        </is>
      </c>
    </row>
    <row r="378">
      <c r="A378" t="inlineStr">
        <is>
          <t>08/10/2026</t>
        </is>
      </c>
      <c r="B378" t="inlineStr">
        <is>
          <t>16503171</t>
        </is>
      </c>
      <c r="C378" t="inlineStr">
        <is>
          <t>163140</t>
        </is>
      </c>
      <c r="D378" t="inlineStr">
        <is>
          <t>163140</t>
        </is>
      </c>
      <c r="E378" t="inlineStr">
        <is>
          <t>HALFSIM TIGO</t>
        </is>
      </c>
      <c r="F378" t="n">
        <v>1</v>
      </c>
      <c r="G378" t="n">
        <v>0.69</v>
      </c>
      <c r="H378" t="inlineStr">
        <is>
          <t>0.69</t>
        </is>
      </c>
      <c r="J378" t="inlineStr">
        <is>
          <t>LLUMIQUINGA GRANADA DANIELA ESTEFANIA_LLUMIQUINGA GRANADA DANIELA ESTEFANIA</t>
        </is>
      </c>
      <c r="K378" t="inlineStr">
        <is>
          <t>1726373895001</t>
        </is>
      </c>
      <c r="M378" t="inlineStr">
        <is>
          <t>BTB</t>
        </is>
      </c>
      <c r="N378" t="inlineStr">
        <is>
          <t>CANAL DIRECTO</t>
        </is>
      </c>
    </row>
    <row r="379">
      <c r="A379" t="inlineStr">
        <is>
          <t>08/10/2026</t>
        </is>
      </c>
      <c r="B379" t="inlineStr">
        <is>
          <t>16503173</t>
        </is>
      </c>
      <c r="C379" t="inlineStr">
        <is>
          <t>163140</t>
        </is>
      </c>
      <c r="D379" t="inlineStr">
        <is>
          <t>163140</t>
        </is>
      </c>
      <c r="E379" t="inlineStr">
        <is>
          <t>HALFSIM TIGO</t>
        </is>
      </c>
      <c r="F379" t="n">
        <v>1</v>
      </c>
      <c r="G379" t="n">
        <v>0.69</v>
      </c>
      <c r="H379" t="inlineStr">
        <is>
          <t>0.69</t>
        </is>
      </c>
      <c r="J379" t="inlineStr">
        <is>
          <t>ADRIANA GUTIERREZ_UNIVERSIDAD CASA GRANDE</t>
        </is>
      </c>
      <c r="K379" t="inlineStr">
        <is>
          <t>0992541539001</t>
        </is>
      </c>
      <c r="M379" t="inlineStr">
        <is>
          <t>BTB</t>
        </is>
      </c>
      <c r="N379" t="inlineStr">
        <is>
          <t>CANAL DIRECTO</t>
        </is>
      </c>
    </row>
    <row r="380">
      <c r="A380" t="inlineStr">
        <is>
          <t>08/10/2026</t>
        </is>
      </c>
      <c r="B380" t="inlineStr">
        <is>
          <t>16503174</t>
        </is>
      </c>
      <c r="C380" t="inlineStr">
        <is>
          <t>163140</t>
        </is>
      </c>
      <c r="D380" t="inlineStr">
        <is>
          <t>163140</t>
        </is>
      </c>
      <c r="E380" t="inlineStr">
        <is>
          <t>HALFSIM TIGO</t>
        </is>
      </c>
      <c r="F380" t="n">
        <v>1</v>
      </c>
      <c r="G380" t="n">
        <v>0.69</v>
      </c>
      <c r="H380" t="inlineStr">
        <is>
          <t>0.69</t>
        </is>
      </c>
      <c r="J380" t="inlineStr">
        <is>
          <t>GALAN AUQUILLA BERNARDO ESTEBAN_VAZ SEGUROS S A COMPANIA DE SEGUROS</t>
        </is>
      </c>
      <c r="K380" t="inlineStr">
        <is>
          <t>0190316815001</t>
        </is>
      </c>
      <c r="M380" t="inlineStr">
        <is>
          <t>BTB</t>
        </is>
      </c>
      <c r="N380" t="inlineStr">
        <is>
          <t>CANAL DIRECTO</t>
        </is>
      </c>
    </row>
    <row r="381">
      <c r="A381" t="inlineStr">
        <is>
          <t>08/10/2026</t>
        </is>
      </c>
      <c r="B381" t="inlineStr">
        <is>
          <t>16503176</t>
        </is>
      </c>
      <c r="C381" t="inlineStr">
        <is>
          <t>163140</t>
        </is>
      </c>
      <c r="D381" t="inlineStr">
        <is>
          <t>163140</t>
        </is>
      </c>
      <c r="E381" t="inlineStr">
        <is>
          <t>HALFSIM TIGO</t>
        </is>
      </c>
      <c r="F381" t="n">
        <v>1</v>
      </c>
      <c r="G381" t="n">
        <v>0.69</v>
      </c>
      <c r="H381" t="inlineStr">
        <is>
          <t>0.69</t>
        </is>
      </c>
      <c r="J381" t="inlineStr">
        <is>
          <t>CRISTINA MINO_PRODUCTOS INNOVADORES PROALMEX CIA LTDA</t>
        </is>
      </c>
      <c r="K381" t="inlineStr">
        <is>
          <t>0190393712001</t>
        </is>
      </c>
      <c r="M381" t="inlineStr">
        <is>
          <t>BTB</t>
        </is>
      </c>
      <c r="N381" t="inlineStr">
        <is>
          <t>CANAL DIRECTO</t>
        </is>
      </c>
    </row>
    <row r="382">
      <c r="A382" t="inlineStr">
        <is>
          <t>08/10/2026</t>
        </is>
      </c>
      <c r="B382" t="inlineStr">
        <is>
          <t>16503177</t>
        </is>
      </c>
      <c r="C382" t="inlineStr">
        <is>
          <t>163140</t>
        </is>
      </c>
      <c r="D382" t="inlineStr">
        <is>
          <t>163140</t>
        </is>
      </c>
      <c r="E382" t="inlineStr">
        <is>
          <t>HALFSIM TIGO</t>
        </is>
      </c>
      <c r="F382" t="n">
        <v>1</v>
      </c>
      <c r="G382" t="n">
        <v>0.69</v>
      </c>
      <c r="H382" t="inlineStr">
        <is>
          <t>0.69</t>
        </is>
      </c>
      <c r="J382" t="inlineStr">
        <is>
          <t>CANAR LIGNA STALIN MARTIN_CANAR LIGNA STALIN MARTIN</t>
        </is>
      </c>
      <c r="K382" t="inlineStr">
        <is>
          <t>1714354493001</t>
        </is>
      </c>
      <c r="M382" t="inlineStr">
        <is>
          <t>BTB</t>
        </is>
      </c>
      <c r="N382" t="inlineStr">
        <is>
          <t>CANAL DIRECTO</t>
        </is>
      </c>
    </row>
    <row r="383">
      <c r="A383" t="inlineStr">
        <is>
          <t>08/10/2026</t>
        </is>
      </c>
      <c r="B383" t="inlineStr">
        <is>
          <t>16503180</t>
        </is>
      </c>
      <c r="C383" t="inlineStr">
        <is>
          <t>163140</t>
        </is>
      </c>
      <c r="D383" t="inlineStr">
        <is>
          <t>163140</t>
        </is>
      </c>
      <c r="E383" t="inlineStr">
        <is>
          <t>HALFSIM TIGO</t>
        </is>
      </c>
      <c r="F383" t="n">
        <v>1</v>
      </c>
      <c r="G383" t="n">
        <v>0.69</v>
      </c>
      <c r="H383" t="inlineStr">
        <is>
          <t>0.69</t>
        </is>
      </c>
      <c r="J383" t="inlineStr">
        <is>
          <t>GABRIELA LLANGARI_PLASTISUR JGMV S A S</t>
        </is>
      </c>
      <c r="K383" t="inlineStr">
        <is>
          <t>1793215057001</t>
        </is>
      </c>
      <c r="M383" t="inlineStr">
        <is>
          <t>BTB</t>
        </is>
      </c>
      <c r="N383" t="inlineStr">
        <is>
          <t>CANAL DIRECTO</t>
        </is>
      </c>
    </row>
    <row r="384">
      <c r="A384" t="inlineStr">
        <is>
          <t>08/10/2026</t>
        </is>
      </c>
      <c r="B384" t="inlineStr">
        <is>
          <t>16503185</t>
        </is>
      </c>
      <c r="C384" t="inlineStr">
        <is>
          <t>163140</t>
        </is>
      </c>
      <c r="D384" t="inlineStr">
        <is>
          <t>163140</t>
        </is>
      </c>
      <c r="E384" t="inlineStr">
        <is>
          <t>HALFSIM TIGO</t>
        </is>
      </c>
      <c r="F384" t="n">
        <v>1</v>
      </c>
      <c r="G384" t="n">
        <v>0.69</v>
      </c>
      <c r="H384" t="inlineStr">
        <is>
          <t>0.69</t>
        </is>
      </c>
      <c r="J384" t="inlineStr">
        <is>
          <t>FRANK ZAMBRANO_ISERVICE EC SERVIREPARCOPR S A S</t>
        </is>
      </c>
      <c r="K384" t="inlineStr">
        <is>
          <t>0993385729001</t>
        </is>
      </c>
      <c r="M384" t="inlineStr">
        <is>
          <t>BTB</t>
        </is>
      </c>
      <c r="N384" t="inlineStr">
        <is>
          <t>CANAL DIRECTO</t>
        </is>
      </c>
    </row>
    <row r="385">
      <c r="A385" t="inlineStr">
        <is>
          <t>08/10/2026</t>
        </is>
      </c>
      <c r="B385" t="inlineStr">
        <is>
          <t>16503186</t>
        </is>
      </c>
      <c r="C385" t="inlineStr">
        <is>
          <t>163140</t>
        </is>
      </c>
      <c r="D385" t="inlineStr">
        <is>
          <t>163140</t>
        </is>
      </c>
      <c r="E385" t="inlineStr">
        <is>
          <t>HALFSIM TIGO</t>
        </is>
      </c>
      <c r="F385" t="n">
        <v>1</v>
      </c>
      <c r="G385" t="n">
        <v>0.69</v>
      </c>
      <c r="H385" t="inlineStr">
        <is>
          <t>0.69</t>
        </is>
      </c>
      <c r="J385" t="inlineStr">
        <is>
          <t>DARWIN AGUILAR_BANCO DESARROLLO DE LOS PUEBLOS S A CODESARROLLO</t>
        </is>
      </c>
      <c r="K385" t="inlineStr">
        <is>
          <t>0990247536001</t>
        </is>
      </c>
      <c r="M385" t="inlineStr">
        <is>
          <t>BTB</t>
        </is>
      </c>
      <c r="N385" t="inlineStr">
        <is>
          <t>CANAL DIRECTO</t>
        </is>
      </c>
    </row>
    <row r="386">
      <c r="A386" t="inlineStr">
        <is>
          <t>08/10/2026</t>
        </is>
      </c>
      <c r="B386" t="inlineStr">
        <is>
          <t>16503187</t>
        </is>
      </c>
      <c r="C386" t="inlineStr">
        <is>
          <t>163140</t>
        </is>
      </c>
      <c r="D386" t="inlineStr">
        <is>
          <t>163140</t>
        </is>
      </c>
      <c r="E386" t="inlineStr">
        <is>
          <t>HALFSIM TIGO</t>
        </is>
      </c>
      <c r="F386" t="n">
        <v>1</v>
      </c>
      <c r="G386" t="n">
        <v>0.69</v>
      </c>
      <c r="H386" t="inlineStr">
        <is>
          <t>0.69</t>
        </is>
      </c>
      <c r="J386" t="inlineStr">
        <is>
          <t>ARICHABALA GUTIERREZ MANUEL ANTONIO_ARICHABALA GUTIERREZ MANUEL ANTONIO</t>
        </is>
      </c>
      <c r="K386" t="inlineStr">
        <is>
          <t>0924263429001</t>
        </is>
      </c>
      <c r="M386" t="inlineStr">
        <is>
          <t>BTB</t>
        </is>
      </c>
      <c r="N386" t="inlineStr">
        <is>
          <t>CANAL DIRECTO</t>
        </is>
      </c>
    </row>
    <row r="387">
      <c r="A387" t="inlineStr">
        <is>
          <t>08/10/2026</t>
        </is>
      </c>
      <c r="B387" t="inlineStr">
        <is>
          <t>16503189</t>
        </is>
      </c>
      <c r="C387" t="inlineStr">
        <is>
          <t>163140</t>
        </is>
      </c>
      <c r="D387" t="inlineStr">
        <is>
          <t>163140</t>
        </is>
      </c>
      <c r="E387" t="inlineStr">
        <is>
          <t>HALFSIM TIGO</t>
        </is>
      </c>
      <c r="F387" t="n">
        <v>1</v>
      </c>
      <c r="G387" t="n">
        <v>0.69</v>
      </c>
      <c r="H387" t="inlineStr">
        <is>
          <t>0.69</t>
        </is>
      </c>
      <c r="J387" t="inlineStr">
        <is>
          <t>DENISSE SANTAMARIA_DENISSE SANTAMARIA</t>
        </is>
      </c>
      <c r="K387" t="inlineStr">
        <is>
          <t>1792135362001</t>
        </is>
      </c>
      <c r="M387" t="inlineStr">
        <is>
          <t>BTB</t>
        </is>
      </c>
      <c r="N387" t="inlineStr">
        <is>
          <t>CANAL DIRECTO</t>
        </is>
      </c>
    </row>
    <row r="388">
      <c r="A388" t="inlineStr">
        <is>
          <t>08/10/2026</t>
        </is>
      </c>
      <c r="B388" t="inlineStr">
        <is>
          <t>16503190</t>
        </is>
      </c>
      <c r="C388" t="inlineStr">
        <is>
          <t>163140</t>
        </is>
      </c>
      <c r="D388" t="inlineStr">
        <is>
          <t>163140</t>
        </is>
      </c>
      <c r="E388" t="inlineStr">
        <is>
          <t>HALFSIM TIGO</t>
        </is>
      </c>
      <c r="F388" t="n">
        <v>3</v>
      </c>
      <c r="G388" t="n">
        <v>2.0699999999999998</v>
      </c>
      <c r="H388" t="inlineStr">
        <is>
          <t>0.69</t>
        </is>
      </c>
      <c r="J388" t="inlineStr">
        <is>
          <t>YERELMY RAMIREZ_CAMPOVERDE ARIAS JOSE LUIS</t>
        </is>
      </c>
      <c r="K388" t="inlineStr">
        <is>
          <t>0103909339001</t>
        </is>
      </c>
      <c r="M388" t="inlineStr">
        <is>
          <t>BTB</t>
        </is>
      </c>
      <c r="N388" t="inlineStr">
        <is>
          <t>CANAL DIRECTO</t>
        </is>
      </c>
    </row>
    <row r="389">
      <c r="A389" t="inlineStr">
        <is>
          <t>08/10/2026</t>
        </is>
      </c>
      <c r="B389" t="inlineStr">
        <is>
          <t>16503193</t>
        </is>
      </c>
      <c r="C389" t="inlineStr">
        <is>
          <t>163140</t>
        </is>
      </c>
      <c r="D389" t="inlineStr">
        <is>
          <t>163140</t>
        </is>
      </c>
      <c r="E389" t="inlineStr">
        <is>
          <t>HALFSIM TIGO</t>
        </is>
      </c>
      <c r="F389" t="n">
        <v>1</v>
      </c>
      <c r="G389" t="n">
        <v>0.69</v>
      </c>
      <c r="H389" t="inlineStr">
        <is>
          <t>0.69</t>
        </is>
      </c>
      <c r="J389" t="inlineStr">
        <is>
          <t>JESUS HERNANDEZ_ INCINERACION RESIDUOS TOXICOS PELIGROSOS</t>
        </is>
      </c>
      <c r="K389" t="inlineStr">
        <is>
          <t>1791414713001</t>
        </is>
      </c>
      <c r="M389" t="inlineStr">
        <is>
          <t>BTB</t>
        </is>
      </c>
      <c r="N389" t="inlineStr">
        <is>
          <t>CANAL DIRECTO</t>
        </is>
      </c>
    </row>
    <row r="390">
      <c r="A390" t="inlineStr">
        <is>
          <t>08/10/2026</t>
        </is>
      </c>
      <c r="B390" t="inlineStr">
        <is>
          <t>16503196</t>
        </is>
      </c>
      <c r="C390" t="inlineStr">
        <is>
          <t>163140</t>
        </is>
      </c>
      <c r="D390" t="inlineStr">
        <is>
          <t>163140</t>
        </is>
      </c>
      <c r="E390" t="inlineStr">
        <is>
          <t>HALFSIM TIGO</t>
        </is>
      </c>
      <c r="F390" t="n">
        <v>1</v>
      </c>
      <c r="G390" t="n">
        <v>0.69</v>
      </c>
      <c r="H390" t="inlineStr">
        <is>
          <t>0.69</t>
        </is>
      </c>
      <c r="J390" t="inlineStr">
        <is>
          <t>MARIA BELEN ALCIVAR_LEXTAX SERVICIOS TRIBUTARIOS INTEGRALES S A</t>
        </is>
      </c>
      <c r="K390" t="inlineStr">
        <is>
          <t>1792259215001</t>
        </is>
      </c>
      <c r="M390" t="inlineStr">
        <is>
          <t>BTB</t>
        </is>
      </c>
      <c r="N390" t="inlineStr">
        <is>
          <t>CANAL DIRECTO</t>
        </is>
      </c>
    </row>
    <row r="391">
      <c r="A391" t="inlineStr">
        <is>
          <t>08/10/2026</t>
        </is>
      </c>
      <c r="B391" t="inlineStr">
        <is>
          <t>16503200</t>
        </is>
      </c>
      <c r="C391" t="inlineStr">
        <is>
          <t>163140</t>
        </is>
      </c>
      <c r="D391" t="inlineStr">
        <is>
          <t>163140</t>
        </is>
      </c>
      <c r="E391" t="inlineStr">
        <is>
          <t>HALFSIM TIGO</t>
        </is>
      </c>
      <c r="F391" t="n">
        <v>20</v>
      </c>
      <c r="G391" t="n">
        <v>13.799999999999999</v>
      </c>
      <c r="H391" t="inlineStr">
        <is>
          <t>0.69</t>
        </is>
      </c>
      <c r="J391" t="inlineStr">
        <is>
          <t>MAGALY ENCALADA_WORKFORCE S A</t>
        </is>
      </c>
      <c r="K391" t="inlineStr">
        <is>
          <t>1791978188001</t>
        </is>
      </c>
      <c r="M391" t="inlineStr">
        <is>
          <t>BTB</t>
        </is>
      </c>
      <c r="N391" t="inlineStr">
        <is>
          <t>CANAL DIRECTO</t>
        </is>
      </c>
    </row>
    <row r="392">
      <c r="A392" t="inlineStr">
        <is>
          <t>08/10/2026</t>
        </is>
      </c>
      <c r="B392" t="inlineStr">
        <is>
          <t>16503225</t>
        </is>
      </c>
      <c r="C392" t="inlineStr">
        <is>
          <t>163140</t>
        </is>
      </c>
      <c r="D392" t="inlineStr">
        <is>
          <t>163140</t>
        </is>
      </c>
      <c r="E392" t="inlineStr">
        <is>
          <t>HALFSIM TIGO</t>
        </is>
      </c>
      <c r="F392" t="n">
        <v>1</v>
      </c>
      <c r="G392" t="n">
        <v>0.69</v>
      </c>
      <c r="H392" t="inlineStr">
        <is>
          <t>0.69</t>
        </is>
      </c>
      <c r="J392" t="inlineStr">
        <is>
          <t>SERVIO BERMEO Y CARLOS CEVALLOS_COMPANIA DE ESTIBAS Y SERVICIOS S A CO</t>
        </is>
      </c>
      <c r="K392" t="inlineStr">
        <is>
          <t>0992508884001</t>
        </is>
      </c>
      <c r="M392" t="inlineStr">
        <is>
          <t>BTB</t>
        </is>
      </c>
      <c r="N392" t="inlineStr">
        <is>
          <t>CANAL DIRECTO</t>
        </is>
      </c>
    </row>
    <row r="393">
      <c r="A393" t="inlineStr">
        <is>
          <t>08/10/2026</t>
        </is>
      </c>
      <c r="B393" t="inlineStr">
        <is>
          <t>16503227</t>
        </is>
      </c>
      <c r="C393" t="inlineStr">
        <is>
          <t>163140</t>
        </is>
      </c>
      <c r="D393" t="inlineStr">
        <is>
          <t>163140</t>
        </is>
      </c>
      <c r="E393" t="inlineStr">
        <is>
          <t>HALFSIM TIGO</t>
        </is>
      </c>
      <c r="F393" t="n">
        <v>1</v>
      </c>
      <c r="G393" t="n">
        <v>0.69</v>
      </c>
      <c r="H393" t="inlineStr">
        <is>
          <t>0.69</t>
        </is>
      </c>
      <c r="J393" t="inlineStr">
        <is>
          <t>ALEX INIGUEZ_ALEX INIGUEZ</t>
        </is>
      </c>
      <c r="K393" t="inlineStr">
        <is>
          <t>0190324818001</t>
        </is>
      </c>
      <c r="M393" t="inlineStr">
        <is>
          <t>BTB</t>
        </is>
      </c>
      <c r="N393" t="inlineStr">
        <is>
          <t>CANAL DIRECTO</t>
        </is>
      </c>
    </row>
    <row r="394">
      <c r="A394" t="inlineStr">
        <is>
          <t>08/10/2026</t>
        </is>
      </c>
      <c r="B394" t="inlineStr">
        <is>
          <t>16503362</t>
        </is>
      </c>
      <c r="C394" t="inlineStr">
        <is>
          <t>163140</t>
        </is>
      </c>
      <c r="D394" t="inlineStr">
        <is>
          <t>163140</t>
        </is>
      </c>
      <c r="E394" t="inlineStr">
        <is>
          <t>HALFSIM TIGO</t>
        </is>
      </c>
      <c r="F394" t="n">
        <v>1</v>
      </c>
      <c r="G394" t="n">
        <v>0.69</v>
      </c>
      <c r="H394" t="inlineStr">
        <is>
          <t>0.69</t>
        </is>
      </c>
      <c r="J394" t="inlineStr">
        <is>
          <t>LOOR YUNGAICELA ELIO ALEJANDRO_LOOR YUNGAICELA ELIO ALEJANDRO</t>
        </is>
      </c>
      <c r="K394" t="inlineStr">
        <is>
          <t>0930117551001</t>
        </is>
      </c>
      <c r="M394" t="inlineStr">
        <is>
          <t>BTB</t>
        </is>
      </c>
      <c r="N394" t="inlineStr">
        <is>
          <t>CANAL DIRECTO</t>
        </is>
      </c>
    </row>
    <row r="395">
      <c r="A395" t="inlineStr">
        <is>
          <t>08/10/2026</t>
        </is>
      </c>
      <c r="B395" t="inlineStr">
        <is>
          <t>16503363</t>
        </is>
      </c>
      <c r="C395" t="inlineStr">
        <is>
          <t>163140</t>
        </is>
      </c>
      <c r="D395" t="inlineStr">
        <is>
          <t>163140</t>
        </is>
      </c>
      <c r="E395" t="inlineStr">
        <is>
          <t>HALFSIM TIGO</t>
        </is>
      </c>
      <c r="F395" t="n">
        <v>1</v>
      </c>
      <c r="G395" t="n">
        <v>0.69</v>
      </c>
      <c r="H395" t="inlineStr">
        <is>
          <t>0.69</t>
        </is>
      </c>
      <c r="J395" t="inlineStr">
        <is>
          <t>LEON VARAS ROSA GABRIELA_LEON VARAS ROSA GABRIELA</t>
        </is>
      </c>
      <c r="K395" t="inlineStr">
        <is>
          <t>0920227352001</t>
        </is>
      </c>
      <c r="M395" t="inlineStr">
        <is>
          <t>BTB</t>
        </is>
      </c>
      <c r="N395" t="inlineStr">
        <is>
          <t>CANAL DIRECTO</t>
        </is>
      </c>
    </row>
    <row r="396">
      <c r="A396" t="inlineStr">
        <is>
          <t>08/10/2026</t>
        </is>
      </c>
      <c r="B396" t="inlineStr">
        <is>
          <t>16503363</t>
        </is>
      </c>
      <c r="C396" t="inlineStr">
        <is>
          <t>163140</t>
        </is>
      </c>
      <c r="D396" t="inlineStr">
        <is>
          <t>163140</t>
        </is>
      </c>
      <c r="E396" t="inlineStr">
        <is>
          <t>HALFSIM TIGO</t>
        </is>
      </c>
      <c r="F396" t="n">
        <v>1</v>
      </c>
      <c r="G396" t="n">
        <v>0.69</v>
      </c>
      <c r="H396" t="inlineStr">
        <is>
          <t>0.69</t>
        </is>
      </c>
      <c r="J396" t="inlineStr">
        <is>
          <t>LEON VARAS ROSA GABRIELA_LEON VARAS ROSA GABRIELA</t>
        </is>
      </c>
      <c r="K396" t="inlineStr">
        <is>
          <t>0920227352001</t>
        </is>
      </c>
      <c r="M396" t="inlineStr">
        <is>
          <t>BTB</t>
        </is>
      </c>
      <c r="N396" t="inlineStr">
        <is>
          <t>CANAL DIRECTO</t>
        </is>
      </c>
    </row>
    <row r="397">
      <c r="A397" t="inlineStr">
        <is>
          <t>08/10/2026</t>
        </is>
      </c>
      <c r="B397" t="inlineStr">
        <is>
          <t>16503365</t>
        </is>
      </c>
      <c r="C397" t="inlineStr">
        <is>
          <t>163140</t>
        </is>
      </c>
      <c r="D397" t="inlineStr">
        <is>
          <t>163140</t>
        </is>
      </c>
      <c r="E397" t="inlineStr">
        <is>
          <t>HALFSIM TIGO</t>
        </is>
      </c>
      <c r="F397" t="n">
        <v>1</v>
      </c>
      <c r="G397" t="n">
        <v>0.69</v>
      </c>
      <c r="H397" t="inlineStr">
        <is>
          <t>0.69</t>
        </is>
      </c>
      <c r="J397" t="inlineStr">
        <is>
          <t>CHORLANGO SANCHEZ SEGUNDO GONZALO_CHORLANGO SANCHEZ SEGUNDO GONZALO</t>
        </is>
      </c>
      <c r="K397" t="inlineStr">
        <is>
          <t>1711303501001</t>
        </is>
      </c>
      <c r="M397" t="inlineStr">
        <is>
          <t>BTB</t>
        </is>
      </c>
      <c r="N397" t="inlineStr">
        <is>
          <t>CANAL DIRECTO</t>
        </is>
      </c>
    </row>
    <row r="398">
      <c r="A398" t="inlineStr">
        <is>
          <t>08/10/2026</t>
        </is>
      </c>
      <c r="B398" t="inlineStr">
        <is>
          <t>16503365</t>
        </is>
      </c>
      <c r="C398" t="inlineStr">
        <is>
          <t>163140</t>
        </is>
      </c>
      <c r="D398" t="inlineStr">
        <is>
          <t>163140</t>
        </is>
      </c>
      <c r="E398" t="inlineStr">
        <is>
          <t>HALFSIM TIGO</t>
        </is>
      </c>
      <c r="F398" t="n">
        <v>1</v>
      </c>
      <c r="G398" t="n">
        <v>0.69</v>
      </c>
      <c r="H398" t="inlineStr">
        <is>
          <t>0.69</t>
        </is>
      </c>
      <c r="J398" t="inlineStr">
        <is>
          <t>CHORLANGO SANCHEZ SEGUNDO GONZALO_CHORLANGO SANCHEZ SEGUNDO GONZALO</t>
        </is>
      </c>
      <c r="K398" t="inlineStr">
        <is>
          <t>1711303501001</t>
        </is>
      </c>
      <c r="M398" t="inlineStr">
        <is>
          <t>BTB</t>
        </is>
      </c>
      <c r="N398" t="inlineStr">
        <is>
          <t>CANAL DIRECTO</t>
        </is>
      </c>
    </row>
    <row r="399">
      <c r="A399" t="inlineStr">
        <is>
          <t>08/10/2026</t>
        </is>
      </c>
      <c r="B399" t="inlineStr">
        <is>
          <t>16503367</t>
        </is>
      </c>
      <c r="C399" t="inlineStr">
        <is>
          <t>163140</t>
        </is>
      </c>
      <c r="D399" t="inlineStr">
        <is>
          <t>163140</t>
        </is>
      </c>
      <c r="E399" t="inlineStr">
        <is>
          <t>HALFSIM TIGO</t>
        </is>
      </c>
      <c r="F399" t="n">
        <v>1</v>
      </c>
      <c r="G399" t="n">
        <v>0.69</v>
      </c>
      <c r="H399" t="inlineStr">
        <is>
          <t>0.69</t>
        </is>
      </c>
      <c r="J399" t="inlineStr">
        <is>
          <t>CABALLERO BUSTAMANTE FERNANDO JAVIER_CABALLERO BUSTAMANTE FERNANDO JAVIER</t>
        </is>
      </c>
      <c r="K399" t="inlineStr">
        <is>
          <t>0926589748001</t>
        </is>
      </c>
      <c r="M399" t="inlineStr">
        <is>
          <t>BTB</t>
        </is>
      </c>
      <c r="N399" t="inlineStr">
        <is>
          <t>CANAL DIRECTO</t>
        </is>
      </c>
    </row>
    <row r="400">
      <c r="A400" t="inlineStr">
        <is>
          <t>08/10/2026</t>
        </is>
      </c>
      <c r="B400" t="inlineStr">
        <is>
          <t>16503368</t>
        </is>
      </c>
      <c r="C400" t="inlineStr">
        <is>
          <t>163140</t>
        </is>
      </c>
      <c r="D400" t="inlineStr">
        <is>
          <t>163140</t>
        </is>
      </c>
      <c r="E400" t="inlineStr">
        <is>
          <t>HALFSIM TIGO</t>
        </is>
      </c>
      <c r="F400" t="n">
        <v>6</v>
      </c>
      <c r="G400" t="n">
        <v>4.1399999999999997</v>
      </c>
      <c r="H400" t="inlineStr">
        <is>
          <t>0.69</t>
        </is>
      </c>
      <c r="J400" t="inlineStr">
        <is>
          <t>GUILLERMINA CAICEDO_FIDEVAL S A ADMINISTRADORA DE FONDOS Y FIDEICOMISOS</t>
        </is>
      </c>
      <c r="K400" t="inlineStr">
        <is>
          <t>1791275101001</t>
        </is>
      </c>
      <c r="M400" t="inlineStr">
        <is>
          <t>BTB</t>
        </is>
      </c>
      <c r="N400" t="inlineStr">
        <is>
          <t>CANAL DIRECTO</t>
        </is>
      </c>
    </row>
    <row r="401">
      <c r="A401" t="inlineStr">
        <is>
          <t>08/10/2026</t>
        </is>
      </c>
      <c r="B401" t="inlineStr">
        <is>
          <t>16503375</t>
        </is>
      </c>
      <c r="C401" t="inlineStr">
        <is>
          <t>163140</t>
        </is>
      </c>
      <c r="D401" t="inlineStr">
        <is>
          <t>163140</t>
        </is>
      </c>
      <c r="E401" t="inlineStr">
        <is>
          <t>HALFSIM TIGO</t>
        </is>
      </c>
      <c r="F401" t="n">
        <v>1</v>
      </c>
      <c r="G401" t="n">
        <v>0.69</v>
      </c>
      <c r="H401" t="inlineStr">
        <is>
          <t>0.69</t>
        </is>
      </c>
      <c r="J401" t="inlineStr">
        <is>
          <t>JORGE FRANCISCO CAJIAO RAMOS_MONICA NARCISA REBECA RAMOS SUASTI</t>
        </is>
      </c>
      <c r="K401" t="inlineStr">
        <is>
          <t>1707731038001</t>
        </is>
      </c>
      <c r="M401" t="inlineStr">
        <is>
          <t>BTB</t>
        </is>
      </c>
      <c r="N401" t="inlineStr">
        <is>
          <t>CANAL DIRECTO</t>
        </is>
      </c>
    </row>
    <row r="402">
      <c r="A402" t="inlineStr">
        <is>
          <t>08/10/2026</t>
        </is>
      </c>
      <c r="B402" t="inlineStr">
        <is>
          <t>16503472</t>
        </is>
      </c>
      <c r="C402" t="inlineStr">
        <is>
          <t>163140</t>
        </is>
      </c>
      <c r="D402" t="inlineStr">
        <is>
          <t>163140</t>
        </is>
      </c>
      <c r="E402" t="inlineStr">
        <is>
          <t>HALFSIM TIGO</t>
        </is>
      </c>
      <c r="F402" t="n">
        <v>6</v>
      </c>
      <c r="G402" t="n">
        <v>4.1399999999999997</v>
      </c>
      <c r="H402" t="inlineStr">
        <is>
          <t>0.69</t>
        </is>
      </c>
      <c r="J402" t="inlineStr">
        <is>
          <t>JORGE ANIBAL JARA DAVILA_NATURESMEDICIN CIA LTDA</t>
        </is>
      </c>
      <c r="K402" t="inlineStr">
        <is>
          <t>1792900336001</t>
        </is>
      </c>
      <c r="M402" t="inlineStr">
        <is>
          <t>BTB</t>
        </is>
      </c>
      <c r="N402" t="inlineStr">
        <is>
          <t>CANAL DIRECTO</t>
        </is>
      </c>
    </row>
    <row r="403">
      <c r="A403" t="inlineStr">
        <is>
          <t>08/10/2026</t>
        </is>
      </c>
      <c r="B403" t="inlineStr">
        <is>
          <t>16503472</t>
        </is>
      </c>
      <c r="C403" t="inlineStr">
        <is>
          <t>163141</t>
        </is>
      </c>
      <c r="D403" t="inlineStr">
        <is>
          <t>163141</t>
        </is>
      </c>
      <c r="E403" t="inlineStr">
        <is>
          <t>ESIM TIGO DIGITAL</t>
        </is>
      </c>
      <c r="F403" t="n">
        <v>0</v>
      </c>
      <c r="G403" t="n">
        <v>0</v>
      </c>
      <c r="H403" t="inlineStr">
        <is>
          <t>0.21</t>
        </is>
      </c>
      <c r="J403" t="inlineStr">
        <is>
          <t>JORGE ANIBAL JARA DAVILA_NATURESMEDICIN CIA LTDA</t>
        </is>
      </c>
      <c r="K403" t="inlineStr">
        <is>
          <t>1792900336001</t>
        </is>
      </c>
      <c r="M403" t="inlineStr">
        <is>
          <t>BTB</t>
        </is>
      </c>
      <c r="N403" t="inlineStr">
        <is>
          <t>CANAL DIRECTO</t>
        </is>
      </c>
    </row>
    <row r="404">
      <c r="A404" t="inlineStr">
        <is>
          <t>08/10/2026</t>
        </is>
      </c>
      <c r="B404" t="inlineStr">
        <is>
          <t>2026-08183</t>
        </is>
      </c>
      <c r="C404" t="inlineStr">
        <is>
          <t>162593</t>
        </is>
      </c>
      <c r="D404" t="inlineStr">
        <is>
          <t>162593</t>
        </is>
      </c>
      <c r="E404" t="inlineStr">
        <is>
          <t>HALFSIM KITE M2M 3FF DEVICE CONTROL BLANCA</t>
        </is>
      </c>
      <c r="F404" t="n">
        <v>200</v>
      </c>
      <c r="G404" t="n">
        <v>134</v>
      </c>
      <c r="H404" t="inlineStr">
        <is>
          <t>0.67</t>
        </is>
      </c>
      <c r="J404" t="inlineStr">
        <is>
          <t>AUTOLATAM S.A_XAVIER GOMEZ</t>
        </is>
      </c>
      <c r="K404" t="inlineStr">
        <is>
          <t>0993393802001</t>
        </is>
      </c>
      <c r="M404" t="inlineStr">
        <is>
          <t>INDIRECTO</t>
        </is>
      </c>
      <c r="N404" t="inlineStr">
        <is>
          <t>CANAL INDIRECTO</t>
        </is>
      </c>
    </row>
    <row r="405">
      <c r="A405" t="inlineStr">
        <is>
          <t>08/10/2026</t>
        </is>
      </c>
      <c r="B405" t="inlineStr">
        <is>
          <t>2026-08183</t>
        </is>
      </c>
      <c r="C405" t="inlineStr">
        <is>
          <t>162699</t>
        </is>
      </c>
      <c r="D405" t="inlineStr">
        <is>
          <t>162699</t>
        </is>
      </c>
      <c r="E405" t="inlineStr">
        <is>
          <t>HALFSIM KITE M2M 4FF DEVICE CONTROL TELEFONICA</t>
        </is>
      </c>
      <c r="F405" t="n">
        <v>100</v>
      </c>
      <c r="G405" t="n">
        <v>69</v>
      </c>
      <c r="H405" t="inlineStr">
        <is>
          <t>0.69</t>
        </is>
      </c>
      <c r="J405" t="inlineStr">
        <is>
          <t>AUTOLATAM S.A_XAVIER GOMEZ</t>
        </is>
      </c>
      <c r="K405" t="inlineStr">
        <is>
          <t>0993393802001</t>
        </is>
      </c>
      <c r="M405" t="inlineStr">
        <is>
          <t>INDIRECTO</t>
        </is>
      </c>
      <c r="N405" t="inlineStr">
        <is>
          <t>CANAL INDIRECTO</t>
        </is>
      </c>
    </row>
    <row r="406">
      <c r="A406" t="inlineStr">
        <is>
          <t>08/10/2026</t>
        </is>
      </c>
      <c r="B406" t="inlineStr">
        <is>
          <t>2026-08184</t>
        </is>
      </c>
      <c r="C406" t="inlineStr">
        <is>
          <t>163140_02</t>
        </is>
      </c>
      <c r="D406" t="inlineStr">
        <is>
          <t>163140</t>
        </is>
      </c>
      <c r="E406" t="inlineStr">
        <is>
          <t>HALFSIM TIGO CHIP PREPAGO $3 WP NUMERADO</t>
        </is>
      </c>
      <c r="F406" t="n">
        <v>3000</v>
      </c>
      <c r="G406" t="n">
        <v>2070</v>
      </c>
      <c r="H406" t="inlineStr">
        <is>
          <t>0.69</t>
        </is>
      </c>
      <c r="J406" t="inlineStr">
        <is>
          <t>TECECAB ZONIFICACION ORIENTE_PAOLA MORETA</t>
        </is>
      </c>
      <c r="K406" t="inlineStr">
        <is>
          <t>1716278575</t>
        </is>
      </c>
      <c r="M406" t="inlineStr">
        <is>
          <t>INDIRECTO</t>
        </is>
      </c>
      <c r="N406" t="inlineStr">
        <is>
          <t>CANAL INDIRECTO</t>
        </is>
      </c>
    </row>
    <row r="407">
      <c r="A407" t="inlineStr">
        <is>
          <t>08/10/2026</t>
        </is>
      </c>
      <c r="B407" t="inlineStr">
        <is>
          <t>2026-08186</t>
        </is>
      </c>
      <c r="C407" t="inlineStr">
        <is>
          <t>163140_02</t>
        </is>
      </c>
      <c r="D407" t="inlineStr">
        <is>
          <t>163140</t>
        </is>
      </c>
      <c r="E407" t="inlineStr">
        <is>
          <t>HALFSIM TIGO CHIP PREPAGO $3 WP NUMERADO</t>
        </is>
      </c>
      <c r="F407" t="n">
        <v>2800</v>
      </c>
      <c r="G407" t="n">
        <v>1931.9999999999998</v>
      </c>
      <c r="H407" t="inlineStr">
        <is>
          <t>0.69</t>
        </is>
      </c>
      <c r="J407" t="inlineStr">
        <is>
          <t>TARSISINVEST TUENTI KENNEDY_MARCO BASTIDAS TOALA</t>
        </is>
      </c>
      <c r="K407" t="inlineStr">
        <is>
          <t>0992862459001</t>
        </is>
      </c>
      <c r="M407" t="inlineStr">
        <is>
          <t>INDIRECTO</t>
        </is>
      </c>
      <c r="N407" t="inlineStr">
        <is>
          <t>CANAL INDIRECTO</t>
        </is>
      </c>
    </row>
    <row r="408">
      <c r="A408" t="inlineStr">
        <is>
          <t>08/10/2026</t>
        </is>
      </c>
      <c r="B408" t="inlineStr">
        <is>
          <t>2026-08187</t>
        </is>
      </c>
      <c r="C408" t="inlineStr">
        <is>
          <t>163140_02</t>
        </is>
      </c>
      <c r="D408" t="inlineStr">
        <is>
          <t>163140</t>
        </is>
      </c>
      <c r="E408" t="inlineStr">
        <is>
          <t>HALFSIM TIGO CHIP PREPAGO $3 WP NUMERADO</t>
        </is>
      </c>
      <c r="F408" t="n">
        <v>1300</v>
      </c>
      <c r="G408" t="n">
        <v>896.99999999999989</v>
      </c>
      <c r="H408" t="inlineStr">
        <is>
          <t>0.69</t>
        </is>
      </c>
      <c r="J408" t="inlineStr">
        <is>
          <t>MOVIPHONE AZUAY PDA_LENIN CRESPO</t>
        </is>
      </c>
      <c r="K408" t="inlineStr">
        <is>
          <t>0301197232</t>
        </is>
      </c>
      <c r="M408" t="inlineStr">
        <is>
          <t>INDIRECTO</t>
        </is>
      </c>
      <c r="N408" t="inlineStr">
        <is>
          <t>CANAL INDIRECTO</t>
        </is>
      </c>
    </row>
    <row r="409">
      <c r="A409" t="inlineStr">
        <is>
          <t>08/10/2026</t>
        </is>
      </c>
      <c r="B409" t="inlineStr">
        <is>
          <t>2026-08188</t>
        </is>
      </c>
      <c r="C409" t="inlineStr">
        <is>
          <t>163140_02</t>
        </is>
      </c>
      <c r="D409" t="inlineStr">
        <is>
          <t>163140</t>
        </is>
      </c>
      <c r="E409" t="inlineStr">
        <is>
          <t>HALFSIM TIGO CHIP PREPAGO $3 WP NUMERADO</t>
        </is>
      </c>
      <c r="F409" t="n">
        <v>2500</v>
      </c>
      <c r="G409" t="n">
        <v>1724.9999999999998</v>
      </c>
      <c r="H409" t="inlineStr">
        <is>
          <t>0.69</t>
        </is>
      </c>
      <c r="J409" t="inlineStr">
        <is>
          <t>MOVIPHONE AZUAY_GALO PALLAROSO</t>
        </is>
      </c>
      <c r="K409" t="inlineStr">
        <is>
          <t>0391007160001</t>
        </is>
      </c>
      <c r="M409" t="inlineStr">
        <is>
          <t>INDIRECTO</t>
        </is>
      </c>
      <c r="N409" t="inlineStr">
        <is>
          <t>CANAL INDIRECTO</t>
        </is>
      </c>
    </row>
    <row r="410">
      <c r="A410" t="inlineStr">
        <is>
          <t>08/10/2026</t>
        </is>
      </c>
      <c r="B410" t="inlineStr">
        <is>
          <t>2026-08189</t>
        </is>
      </c>
      <c r="C410" t="inlineStr">
        <is>
          <t>163140_02</t>
        </is>
      </c>
      <c r="D410" t="inlineStr">
        <is>
          <t>163140</t>
        </is>
      </c>
      <c r="E410" t="inlineStr">
        <is>
          <t>HALFSIM TIGO CHIP PREPAGO $3 WP NUMERADO</t>
        </is>
      </c>
      <c r="F410" t="n">
        <v>1500</v>
      </c>
      <c r="G410" t="n">
        <v>1035</v>
      </c>
      <c r="H410" t="inlineStr">
        <is>
          <t>0.69</t>
        </is>
      </c>
      <c r="J410" t="inlineStr">
        <is>
          <t>EMPRESA DE DESARROLLO TECNOLÓGICO PRILANTEC CTA. LTDA_OSCAR COELLO</t>
        </is>
      </c>
      <c r="K410" t="inlineStr">
        <is>
          <t>1792412501001</t>
        </is>
      </c>
      <c r="M410" t="inlineStr">
        <is>
          <t>INDIRECTO</t>
        </is>
      </c>
      <c r="N410" t="inlineStr">
        <is>
          <t>CANAL INDIRECTO</t>
        </is>
      </c>
    </row>
    <row r="411">
      <c r="A411" t="inlineStr">
        <is>
          <t>08/10/2026</t>
        </is>
      </c>
      <c r="B411" t="inlineStr">
        <is>
          <t>2026-08190</t>
        </is>
      </c>
      <c r="C411" t="inlineStr">
        <is>
          <t>163140_02</t>
        </is>
      </c>
      <c r="D411" t="inlineStr">
        <is>
          <t>163140</t>
        </is>
      </c>
      <c r="E411" t="inlineStr">
        <is>
          <t>HALFSIM TIGO CHIP PREPAGO $3 WP NUMERADO</t>
        </is>
      </c>
      <c r="F411" t="n">
        <v>1500</v>
      </c>
      <c r="G411" t="n">
        <v>1035</v>
      </c>
      <c r="H411" t="inlineStr">
        <is>
          <t>0.69</t>
        </is>
      </c>
      <c r="J411" t="inlineStr">
        <is>
          <t>EVELYN PAOLA TRUJILLO MANOSALVAS_TRUJILLO MANOSALVAS EVELYN PAOLA</t>
        </is>
      </c>
      <c r="K411" t="inlineStr">
        <is>
          <t>0401360201001</t>
        </is>
      </c>
      <c r="M411" t="inlineStr">
        <is>
          <t>INDIRECTO</t>
        </is>
      </c>
      <c r="N411" t="inlineStr">
        <is>
          <t>CANAL INDIRECTO</t>
        </is>
      </c>
    </row>
    <row r="412">
      <c r="A412" t="inlineStr">
        <is>
          <t>08/10/2026</t>
        </is>
      </c>
      <c r="B412" t="inlineStr">
        <is>
          <t>2026-08191</t>
        </is>
      </c>
      <c r="C412" t="inlineStr">
        <is>
          <t>163140_02</t>
        </is>
      </c>
      <c r="D412" t="inlineStr">
        <is>
          <t>163140</t>
        </is>
      </c>
      <c r="E412" t="inlineStr">
        <is>
          <t>HALFSIM TIGO CHIP PREPAGO $3 WP NUMERADO</t>
        </is>
      </c>
      <c r="F412" t="n">
        <v>2200</v>
      </c>
      <c r="G412" t="n">
        <v>1517.9999999999998</v>
      </c>
      <c r="H412" t="inlineStr">
        <is>
          <t>0.69</t>
        </is>
      </c>
      <c r="J412" t="inlineStr">
        <is>
          <t>TUTELNEW  - TUENTI - GUAYAS_MARIO JAVIER GIL CEVALLOS</t>
        </is>
      </c>
      <c r="K412" t="inlineStr">
        <is>
          <t>0925805525001</t>
        </is>
      </c>
      <c r="M412" t="inlineStr">
        <is>
          <t>INDIRECTO</t>
        </is>
      </c>
      <c r="N412" t="inlineStr">
        <is>
          <t>CANAL INDIRECTO</t>
        </is>
      </c>
    </row>
    <row r="413">
      <c r="A413" t="inlineStr">
        <is>
          <t>08/10/2026</t>
        </is>
      </c>
      <c r="B413" t="inlineStr">
        <is>
          <t>2026-08191</t>
        </is>
      </c>
      <c r="C413" t="inlineStr">
        <is>
          <t>163140_06</t>
        </is>
      </c>
      <c r="D413" t="inlineStr">
        <is>
          <t>163140</t>
        </is>
      </c>
      <c r="E413" t="inlineStr">
        <is>
          <t>HALFSIM TIGO PORTABILIDAD</t>
        </is>
      </c>
      <c r="F413" t="n">
        <v>300</v>
      </c>
      <c r="G413" t="n">
        <v>206.99999999999997</v>
      </c>
      <c r="H413" t="inlineStr">
        <is>
          <t>0.69</t>
        </is>
      </c>
      <c r="J413" t="inlineStr">
        <is>
          <t>TUTELNEW  - TUENTI - GUAYAS_MARIO JAVIER GIL CEVALLOS</t>
        </is>
      </c>
      <c r="K413" t="inlineStr">
        <is>
          <t>0925805525001</t>
        </is>
      </c>
      <c r="M413" t="inlineStr">
        <is>
          <t>INDIRECTO</t>
        </is>
      </c>
      <c r="N413" t="inlineStr">
        <is>
          <t>CANAL INDIRECTO</t>
        </is>
      </c>
    </row>
    <row r="414">
      <c r="A414" t="inlineStr">
        <is>
          <t>08/10/2026</t>
        </is>
      </c>
      <c r="B414" t="inlineStr">
        <is>
          <t>2026-08192</t>
        </is>
      </c>
      <c r="C414" t="inlineStr">
        <is>
          <t>163140_02</t>
        </is>
      </c>
      <c r="D414" t="inlineStr">
        <is>
          <t>163140</t>
        </is>
      </c>
      <c r="E414" t="inlineStr">
        <is>
          <t>HALFSIM TIGO CHIP PREPAGO $3 WP NUMERADO</t>
        </is>
      </c>
      <c r="F414" t="n">
        <v>600</v>
      </c>
      <c r="G414" t="n">
        <v>413.99999999999994</v>
      </c>
      <c r="H414" t="inlineStr">
        <is>
          <t>0.69</t>
        </is>
      </c>
      <c r="J414" t="inlineStr">
        <is>
          <t>JORGE ISAAC CENTENO M&amp;M_JORGE ISAAC CENTENO URETA</t>
        </is>
      </c>
      <c r="K414" t="inlineStr">
        <is>
          <t>1307869394001</t>
        </is>
      </c>
      <c r="M414" t="inlineStr">
        <is>
          <t>INDIRECTO</t>
        </is>
      </c>
      <c r="N414" t="inlineStr">
        <is>
          <t>CANAL INDIRECTO</t>
        </is>
      </c>
    </row>
    <row r="415">
      <c r="A415" t="inlineStr">
        <is>
          <t>08/10/2026</t>
        </is>
      </c>
      <c r="B415" t="inlineStr">
        <is>
          <t>2026-08192</t>
        </is>
      </c>
      <c r="C415" t="inlineStr">
        <is>
          <t>163140_02</t>
        </is>
      </c>
      <c r="D415" t="inlineStr">
        <is>
          <t>163140</t>
        </is>
      </c>
      <c r="E415" t="inlineStr">
        <is>
          <t>HALFSIM TIGO CHIP PREPAGO $3 WP NUMERADO</t>
        </is>
      </c>
      <c r="F415" t="n">
        <v>600</v>
      </c>
      <c r="G415" t="n">
        <v>413.99999999999994</v>
      </c>
      <c r="H415" t="inlineStr">
        <is>
          <t>0.69</t>
        </is>
      </c>
      <c r="J415" t="inlineStr">
        <is>
          <t>JORGE ISAAC CENTENO M&amp;M_JORGE ISAAC CENTENO URETA</t>
        </is>
      </c>
      <c r="K415" t="inlineStr">
        <is>
          <t>1307869394001</t>
        </is>
      </c>
      <c r="M415" t="inlineStr">
        <is>
          <t>INDIRECTO</t>
        </is>
      </c>
      <c r="N415" t="inlineStr">
        <is>
          <t>CANAL INDIRECTO</t>
        </is>
      </c>
    </row>
    <row r="416">
      <c r="A416" t="inlineStr">
        <is>
          <t>08/10/2026</t>
        </is>
      </c>
      <c r="B416" t="inlineStr">
        <is>
          <t>2026-08194</t>
        </is>
      </c>
      <c r="C416" t="inlineStr">
        <is>
          <t>163140_02</t>
        </is>
      </c>
      <c r="D416" t="inlineStr">
        <is>
          <t>163140</t>
        </is>
      </c>
      <c r="E416" t="inlineStr">
        <is>
          <t>HALFSIM TIGO CHIP PREPAGO $3 WP NUMERADO</t>
        </is>
      </c>
      <c r="F416" t="n">
        <v>3000</v>
      </c>
      <c r="G416" t="n">
        <v>2070</v>
      </c>
      <c r="H416" t="inlineStr">
        <is>
          <t>0.69</t>
        </is>
      </c>
      <c r="J416" t="inlineStr">
        <is>
          <t>DISTRIMARKET ZONIFICACION GYE MOVISTAR_EVELYN GUERRERO</t>
        </is>
      </c>
      <c r="K416" t="inlineStr">
        <is>
          <t>1709422552</t>
        </is>
      </c>
      <c r="M416" t="inlineStr">
        <is>
          <t>INDIRECTO</t>
        </is>
      </c>
      <c r="N416" t="inlineStr">
        <is>
          <t>CANAL INDIRECTO</t>
        </is>
      </c>
    </row>
    <row r="417">
      <c r="A417" t="inlineStr">
        <is>
          <t>08/10/2026</t>
        </is>
      </c>
      <c r="B417" t="inlineStr">
        <is>
          <t>2026-08196</t>
        </is>
      </c>
      <c r="C417" t="inlineStr">
        <is>
          <t>163140_02</t>
        </is>
      </c>
      <c r="D417" t="inlineStr">
        <is>
          <t>163140</t>
        </is>
      </c>
      <c r="E417" t="inlineStr">
        <is>
          <t>HALFSIM TIGO CHIP PREPAGO $3 WP NUMERADO</t>
        </is>
      </c>
      <c r="F417" t="n">
        <v>1400</v>
      </c>
      <c r="G417" t="n">
        <v>965.99999999999989</v>
      </c>
      <c r="H417" t="inlineStr">
        <is>
          <t>0.69</t>
        </is>
      </c>
      <c r="J417" t="inlineStr">
        <is>
          <t>MOVIPHONE ZONIFICADO MACHALA_LENIN CRESPO</t>
        </is>
      </c>
      <c r="K417" t="inlineStr">
        <is>
          <t>0391007160001</t>
        </is>
      </c>
      <c r="M417" t="inlineStr">
        <is>
          <t>INDIRECTO</t>
        </is>
      </c>
      <c r="N417" t="inlineStr">
        <is>
          <t>CANAL INDIRECTO</t>
        </is>
      </c>
    </row>
    <row r="418">
      <c r="A418" t="inlineStr">
        <is>
          <t>08/10/2026</t>
        </is>
      </c>
      <c r="B418" t="inlineStr">
        <is>
          <t>2026-08197</t>
        </is>
      </c>
      <c r="C418" t="inlineStr">
        <is>
          <t>163140_02</t>
        </is>
      </c>
      <c r="D418" t="inlineStr">
        <is>
          <t>163140</t>
        </is>
      </c>
      <c r="E418" t="inlineStr">
        <is>
          <t>HALFSIM TIGO CHIP PREPAGO $3 WP NUMERADO</t>
        </is>
      </c>
      <c r="F418" t="n">
        <v>400</v>
      </c>
      <c r="G418" t="n">
        <v>276</v>
      </c>
      <c r="H418" t="inlineStr">
        <is>
          <t>0.69</t>
        </is>
      </c>
      <c r="J418" t="inlineStr">
        <is>
          <t>TUTELNEW LOS RIOS_MARIO JAVIER GIL CEVALLOS</t>
        </is>
      </c>
      <c r="K418" t="inlineStr">
        <is>
          <t>0925805525</t>
        </is>
      </c>
      <c r="M418" t="inlineStr">
        <is>
          <t>INDIRECTO</t>
        </is>
      </c>
      <c r="N418" t="inlineStr">
        <is>
          <t>CANAL INDIRECTO</t>
        </is>
      </c>
    </row>
    <row r="419">
      <c r="A419" t="inlineStr">
        <is>
          <t>08/10/2026</t>
        </is>
      </c>
      <c r="B419" t="inlineStr">
        <is>
          <t>2026-08198</t>
        </is>
      </c>
      <c r="C419" t="inlineStr">
        <is>
          <t>163140_02</t>
        </is>
      </c>
      <c r="D419" t="inlineStr">
        <is>
          <t>163140</t>
        </is>
      </c>
      <c r="E419" t="inlineStr">
        <is>
          <t>HALFSIM TIGO CHIP PREPAGO $3 WP NUMERADO</t>
        </is>
      </c>
      <c r="F419" t="n">
        <v>600</v>
      </c>
      <c r="G419" t="n">
        <v>413.99999999999994</v>
      </c>
      <c r="H419" t="inlineStr">
        <is>
          <t>0.69</t>
        </is>
      </c>
      <c r="J419" t="inlineStr">
        <is>
          <t>MOVIPHONE EL ORO PDA MOVISTAR_LENIN CRESPO</t>
        </is>
      </c>
      <c r="K419" t="inlineStr">
        <is>
          <t>0301197232</t>
        </is>
      </c>
      <c r="M419" t="inlineStr">
        <is>
          <t>INDIRECTO</t>
        </is>
      </c>
      <c r="N419" t="inlineStr">
        <is>
          <t>CANAL INDIRECTO</t>
        </is>
      </c>
    </row>
    <row r="420">
      <c r="A420" t="inlineStr">
        <is>
          <t>08/10/2026</t>
        </is>
      </c>
      <c r="B420" t="inlineStr">
        <is>
          <t>2026-08199</t>
        </is>
      </c>
      <c r="C420" t="inlineStr">
        <is>
          <t>163140_02</t>
        </is>
      </c>
      <c r="D420" t="inlineStr">
        <is>
          <t>163140</t>
        </is>
      </c>
      <c r="E420" t="inlineStr">
        <is>
          <t>HALFSIM TIGO CHIP PREPAGO $3 WP NUMERADO</t>
        </is>
      </c>
      <c r="F420" t="n">
        <v>1600</v>
      </c>
      <c r="G420" t="n">
        <v>1104</v>
      </c>
      <c r="H420" t="inlineStr">
        <is>
          <t>0.69</t>
        </is>
      </c>
      <c r="J420" t="inlineStr">
        <is>
          <t>MOVIPHONE ZONIFICADOS CAÑAR_LENIN CRESPO</t>
        </is>
      </c>
      <c r="K420" t="inlineStr">
        <is>
          <t>0301197232</t>
        </is>
      </c>
      <c r="M420" t="inlineStr">
        <is>
          <t>INDIRECTO</t>
        </is>
      </c>
      <c r="N420" t="inlineStr">
        <is>
          <t>CANAL INDIRECTO</t>
        </is>
      </c>
    </row>
    <row r="421">
      <c r="A421" t="inlineStr">
        <is>
          <t>08/10/2026</t>
        </is>
      </c>
      <c r="B421" t="inlineStr">
        <is>
          <t>2026-08200</t>
        </is>
      </c>
      <c r="C421" t="inlineStr">
        <is>
          <t>163140_02</t>
        </is>
      </c>
      <c r="D421" t="inlineStr">
        <is>
          <t>163140</t>
        </is>
      </c>
      <c r="E421" t="inlineStr">
        <is>
          <t>HALFSIM TIGO CHIP PREPAGO $3 WP NUMERADO</t>
        </is>
      </c>
      <c r="F421" t="n">
        <v>400</v>
      </c>
      <c r="G421" t="n">
        <v>276</v>
      </c>
      <c r="H421" t="inlineStr">
        <is>
          <t>0.69</t>
        </is>
      </c>
      <c r="J421" t="inlineStr">
        <is>
          <t>MOVIPHONE CAÑAR PDA_LENIN CRESPO</t>
        </is>
      </c>
      <c r="K421" t="inlineStr">
        <is>
          <t>0301197232</t>
        </is>
      </c>
      <c r="M421" t="inlineStr">
        <is>
          <t>INDIRECTO</t>
        </is>
      </c>
      <c r="N421" t="inlineStr">
        <is>
          <t>CANAL INDIRECTO</t>
        </is>
      </c>
    </row>
    <row r="422">
      <c r="A422" t="inlineStr">
        <is>
          <t>08/10/2026</t>
        </is>
      </c>
      <c r="B422" t="inlineStr">
        <is>
          <t>2026-08202</t>
        </is>
      </c>
      <c r="C422" t="inlineStr">
        <is>
          <t>163140_02</t>
        </is>
      </c>
      <c r="D422" t="inlineStr">
        <is>
          <t>163140</t>
        </is>
      </c>
      <c r="E422" t="inlineStr">
        <is>
          <t>HALFSIM TIGO CHIP PREPAGO $3 WP NUMERADO</t>
        </is>
      </c>
      <c r="F422" t="n">
        <v>1800</v>
      </c>
      <c r="G422" t="n">
        <v>1242</v>
      </c>
      <c r="H422" t="inlineStr">
        <is>
          <t>0.69</t>
        </is>
      </c>
      <c r="J422" t="inlineStr">
        <is>
          <t>JORGE ISAAC CENTENO URETA _JORGE ISAAC CENTENO URETA</t>
        </is>
      </c>
      <c r="K422" t="inlineStr">
        <is>
          <t>1307869394001</t>
        </is>
      </c>
      <c r="M422" t="inlineStr">
        <is>
          <t>INDIRECTO</t>
        </is>
      </c>
      <c r="N422" t="inlineStr">
        <is>
          <t>CANAL INDIRECTO</t>
        </is>
      </c>
    </row>
    <row r="423">
      <c r="A423" t="inlineStr">
        <is>
          <t>08/10/2026</t>
        </is>
      </c>
      <c r="B423" t="inlineStr">
        <is>
          <t>2026-08202</t>
        </is>
      </c>
      <c r="C423" t="inlineStr">
        <is>
          <t>163140_02</t>
        </is>
      </c>
      <c r="D423" t="inlineStr">
        <is>
          <t>163140</t>
        </is>
      </c>
      <c r="E423" t="inlineStr">
        <is>
          <t>HALFSIM TIGO CHIP PREPAGO $3 WP NUMERADO</t>
        </is>
      </c>
      <c r="F423" t="n">
        <v>1800</v>
      </c>
      <c r="G423" t="n">
        <v>1242</v>
      </c>
      <c r="H423" t="inlineStr">
        <is>
          <t>0.69</t>
        </is>
      </c>
      <c r="J423" t="inlineStr">
        <is>
          <t>JORGE ISAAC CENTENO URETA _JORGE ISAAC CENTENO URETA</t>
        </is>
      </c>
      <c r="K423" t="inlineStr">
        <is>
          <t>1307869394001</t>
        </is>
      </c>
      <c r="M423" t="inlineStr">
        <is>
          <t>INDIRECTO</t>
        </is>
      </c>
      <c r="N423" t="inlineStr">
        <is>
          <t>CANAL INDIRECTO</t>
        </is>
      </c>
    </row>
    <row r="424">
      <c r="A424" t="inlineStr">
        <is>
          <t>08/10/2026</t>
        </is>
      </c>
      <c r="B424" t="inlineStr">
        <is>
          <t>2026-08204</t>
        </is>
      </c>
      <c r="C424" t="inlineStr">
        <is>
          <t>163140_02</t>
        </is>
      </c>
      <c r="D424" t="inlineStr">
        <is>
          <t>163140</t>
        </is>
      </c>
      <c r="E424" t="inlineStr">
        <is>
          <t>HALFSIM TIGO CHIP PREPAGO $3 WP NUMERADO</t>
        </is>
      </c>
      <c r="F424" t="n">
        <v>650</v>
      </c>
      <c r="G424" t="n">
        <v>448.49999999999994</v>
      </c>
      <c r="H424" t="inlineStr">
        <is>
          <t>0.69</t>
        </is>
      </c>
      <c r="J424" t="inlineStr">
        <is>
          <t>TARSISINVEST TUENTI SANTA ELENA_MARCO VINICIO BASTIDAS TOALA</t>
        </is>
      </c>
      <c r="K424" t="inlineStr">
        <is>
          <t>0992862459001</t>
        </is>
      </c>
      <c r="M424" t="inlineStr">
        <is>
          <t>INDIRECTO</t>
        </is>
      </c>
      <c r="N424" t="inlineStr">
        <is>
          <t>CANAL INDIRECTO</t>
        </is>
      </c>
    </row>
    <row r="425">
      <c r="A425" t="inlineStr">
        <is>
          <t>08/10/2026</t>
        </is>
      </c>
      <c r="B425" t="inlineStr">
        <is>
          <t>2026-08207</t>
        </is>
      </c>
      <c r="C425" t="inlineStr">
        <is>
          <t>163140_02</t>
        </is>
      </c>
      <c r="D425" t="inlineStr">
        <is>
          <t>163140</t>
        </is>
      </c>
      <c r="E425" t="inlineStr">
        <is>
          <t>HALFSIM TIGO CHIP PREPAGO $3 WP NUMERADO</t>
        </is>
      </c>
      <c r="F425" t="n">
        <v>700</v>
      </c>
      <c r="G425" t="n">
        <v>482.99999999999994</v>
      </c>
      <c r="H425" t="inlineStr">
        <is>
          <t>0.69</t>
        </is>
      </c>
      <c r="J425" t="inlineStr">
        <is>
          <t>MOVIPHONE ZONIFICADO LOJA_DIEGO ARMANDO VASQUEZ SALDAÑA</t>
        </is>
      </c>
      <c r="K425" t="inlineStr">
        <is>
          <t>0391007160001</t>
        </is>
      </c>
      <c r="M425" t="inlineStr">
        <is>
          <t>INDIRECTO</t>
        </is>
      </c>
      <c r="N425" t="inlineStr">
        <is>
          <t>CANAL INDIRECTO</t>
        </is>
      </c>
    </row>
    <row r="426">
      <c r="A426" t="inlineStr">
        <is>
          <t>08/10/2026</t>
        </is>
      </c>
      <c r="B426" t="inlineStr">
        <is>
          <t>2026-08208</t>
        </is>
      </c>
      <c r="C426" t="inlineStr">
        <is>
          <t>163140_02</t>
        </is>
      </c>
      <c r="D426" t="inlineStr">
        <is>
          <t>163140</t>
        </is>
      </c>
      <c r="E426" t="inlineStr">
        <is>
          <t>HALFSIM TIGO CHIP PREPAGO $3 WP NUMERADO</t>
        </is>
      </c>
      <c r="F426" t="n">
        <v>300</v>
      </c>
      <c r="G426" t="n">
        <v>206.99999999999997</v>
      </c>
      <c r="H426" t="inlineStr">
        <is>
          <t>0.69</t>
        </is>
      </c>
      <c r="J426" t="inlineStr">
        <is>
          <t>MOVIPHONE LOJA/ZAMORA PDA_LENIN CRESPO</t>
        </is>
      </c>
      <c r="K426" t="inlineStr">
        <is>
          <t>0301197232</t>
        </is>
      </c>
      <c r="M426" t="inlineStr">
        <is>
          <t>INDIRECTO</t>
        </is>
      </c>
      <c r="N426" t="inlineStr">
        <is>
          <t>CANAL INDIRECTO</t>
        </is>
      </c>
    </row>
    <row r="427">
      <c r="A427" t="inlineStr">
        <is>
          <t>08/10/2026</t>
        </is>
      </c>
      <c r="B427" t="inlineStr">
        <is>
          <t>2026-08212</t>
        </is>
      </c>
      <c r="C427" t="inlineStr">
        <is>
          <t>163140_06</t>
        </is>
      </c>
      <c r="D427" t="inlineStr">
        <is>
          <t>163140</t>
        </is>
      </c>
      <c r="E427" t="inlineStr">
        <is>
          <t>HALFSIM TIGO PORTABILIDAD</t>
        </is>
      </c>
      <c r="F427" t="n">
        <v>1000</v>
      </c>
      <c r="G427" t="n">
        <v>690</v>
      </c>
      <c r="H427" t="inlineStr">
        <is>
          <t>0.69</t>
        </is>
      </c>
      <c r="J427" t="inlineStr">
        <is>
          <t>TARSISINVEST TUENTI KENNEDY_MARCO BASTIDAS TOALA</t>
        </is>
      </c>
      <c r="K427" t="inlineStr">
        <is>
          <t>0992862459001</t>
        </is>
      </c>
      <c r="M427" t="inlineStr">
        <is>
          <t>INDIRECTO</t>
        </is>
      </c>
      <c r="N427" t="inlineStr">
        <is>
          <t>CANAL INDIRECTO</t>
        </is>
      </c>
    </row>
    <row r="428">
      <c r="A428" t="inlineStr">
        <is>
          <t>08/10/2026</t>
        </is>
      </c>
      <c r="B428" t="inlineStr">
        <is>
          <t>2026-08214</t>
        </is>
      </c>
      <c r="C428" t="inlineStr">
        <is>
          <t>163140_02</t>
        </is>
      </c>
      <c r="D428" t="inlineStr">
        <is>
          <t>163140</t>
        </is>
      </c>
      <c r="E428" t="inlineStr">
        <is>
          <t>HALFSIM TIGO CHIP PREPAGO $3 WP NUMERADO</t>
        </is>
      </c>
      <c r="F428" t="n">
        <v>1200</v>
      </c>
      <c r="G428" t="n">
        <v>827.99999999999989</v>
      </c>
      <c r="H428" t="inlineStr">
        <is>
          <t>0.69</t>
        </is>
      </c>
      <c r="J428" t="inlineStr">
        <is>
          <t>NATALY MATUTE TUENTI_NATALY ALEJANDRA MATUTE AGUIRRE</t>
        </is>
      </c>
      <c r="K428" t="inlineStr">
        <is>
          <t>0704053982001</t>
        </is>
      </c>
      <c r="M428" t="inlineStr">
        <is>
          <t>INDIRECTO</t>
        </is>
      </c>
      <c r="N428" t="inlineStr">
        <is>
          <t>CANAL INDIRECTO</t>
        </is>
      </c>
    </row>
    <row r="429">
      <c r="A429" t="inlineStr">
        <is>
          <t>08/10/2026</t>
        </is>
      </c>
      <c r="B429" t="inlineStr">
        <is>
          <t>2026-08214</t>
        </is>
      </c>
      <c r="C429" t="inlineStr">
        <is>
          <t>163140_06</t>
        </is>
      </c>
      <c r="D429" t="inlineStr">
        <is>
          <t>163140</t>
        </is>
      </c>
      <c r="E429" t="inlineStr">
        <is>
          <t>HALFSIM TIGO PORTABILIDAD</t>
        </is>
      </c>
      <c r="F429" t="n">
        <v>200</v>
      </c>
      <c r="G429" t="n">
        <v>138</v>
      </c>
      <c r="H429" t="inlineStr">
        <is>
          <t>0.69</t>
        </is>
      </c>
      <c r="J429" t="inlineStr">
        <is>
          <t>NATALY MATUTE TUENTI_NATALY ALEJANDRA MATUTE AGUIRRE</t>
        </is>
      </c>
      <c r="K429" t="inlineStr">
        <is>
          <t>0704053982001</t>
        </is>
      </c>
      <c r="M429" t="inlineStr">
        <is>
          <t>INDIRECTO</t>
        </is>
      </c>
      <c r="N429" t="inlineStr">
        <is>
          <t>CANAL INDIRECTO</t>
        </is>
      </c>
    </row>
    <row r="430">
      <c r="A430" t="inlineStr">
        <is>
          <t>08/10/2026</t>
        </is>
      </c>
      <c r="B430" t="inlineStr">
        <is>
          <t>2026-08215</t>
        </is>
      </c>
      <c r="C430" t="inlineStr">
        <is>
          <t>163140_02</t>
        </is>
      </c>
      <c r="D430" t="inlineStr">
        <is>
          <t>163140</t>
        </is>
      </c>
      <c r="E430" t="inlineStr">
        <is>
          <t>HALFSIM TIGO CHIP PREPAGO $3 WP NUMERADO</t>
        </is>
      </c>
      <c r="F430" t="n">
        <v>700</v>
      </c>
      <c r="G430" t="n">
        <v>482.99999999999994</v>
      </c>
      <c r="H430" t="inlineStr">
        <is>
          <t>0.69</t>
        </is>
      </c>
      <c r="J430" t="inlineStr">
        <is>
          <t>AGILCOM UIO_AZUCENA LOPEZ</t>
        </is>
      </c>
      <c r="K430" t="inlineStr">
        <is>
          <t>1713470456001</t>
        </is>
      </c>
      <c r="M430" t="inlineStr">
        <is>
          <t>INDIRECTO</t>
        </is>
      </c>
      <c r="N430" t="inlineStr">
        <is>
          <t>CANAL INDIRECTO</t>
        </is>
      </c>
    </row>
    <row r="431">
      <c r="A431" t="inlineStr">
        <is>
          <t>08/10/2026</t>
        </is>
      </c>
      <c r="B431" t="inlineStr">
        <is>
          <t>2026-08216</t>
        </is>
      </c>
      <c r="C431" t="inlineStr">
        <is>
          <t>163140_06</t>
        </is>
      </c>
      <c r="D431" t="inlineStr">
        <is>
          <t>163140</t>
        </is>
      </c>
      <c r="E431" t="inlineStr">
        <is>
          <t>HALFSIM TIGO PORTABILIDAD</t>
        </is>
      </c>
      <c r="F431" t="n">
        <v>100</v>
      </c>
      <c r="G431" t="n">
        <v>69</v>
      </c>
      <c r="H431" t="inlineStr">
        <is>
          <t>0.69</t>
        </is>
      </c>
      <c r="J431" t="inlineStr">
        <is>
          <t>JORGE ISAAC CENTENO M&amp;M_JORGE ISAAC CENTENO URETA</t>
        </is>
      </c>
      <c r="K431" t="inlineStr">
        <is>
          <t>1307869394001</t>
        </is>
      </c>
      <c r="M431" t="inlineStr">
        <is>
          <t>INDIRECTO</t>
        </is>
      </c>
      <c r="N431" t="inlineStr">
        <is>
          <t>CANAL INDIRECTO</t>
        </is>
      </c>
    </row>
    <row r="432">
      <c r="A432" t="inlineStr">
        <is>
          <t>08/10/2026</t>
        </is>
      </c>
      <c r="B432" t="inlineStr">
        <is>
          <t>2026-08217</t>
        </is>
      </c>
      <c r="C432" t="inlineStr">
        <is>
          <t>163140_06</t>
        </is>
      </c>
      <c r="D432" t="inlineStr">
        <is>
          <t>163140</t>
        </is>
      </c>
      <c r="E432" t="inlineStr">
        <is>
          <t>HALFSIM TIGO PORTABILIDAD</t>
        </is>
      </c>
      <c r="F432" t="n">
        <v>100</v>
      </c>
      <c r="G432" t="n">
        <v>69</v>
      </c>
      <c r="H432" t="inlineStr">
        <is>
          <t>0.69</t>
        </is>
      </c>
      <c r="J432" t="inlineStr">
        <is>
          <t>TARSISINVEST TUENTI SANTA ELENA_MARCO VINICIO BASTIDAS TOALA</t>
        </is>
      </c>
      <c r="K432" t="inlineStr">
        <is>
          <t>0992862459001</t>
        </is>
      </c>
      <c r="M432" t="inlineStr">
        <is>
          <t>INDIRECTO</t>
        </is>
      </c>
      <c r="N432" t="inlineStr">
        <is>
          <t>CANAL INDIRECTO</t>
        </is>
      </c>
    </row>
    <row r="433">
      <c r="A433" t="inlineStr">
        <is>
          <t>08/10/2026</t>
        </is>
      </c>
      <c r="B433" t="inlineStr">
        <is>
          <t>2026-08218</t>
        </is>
      </c>
      <c r="C433" t="inlineStr">
        <is>
          <t>163140_06</t>
        </is>
      </c>
      <c r="D433" t="inlineStr">
        <is>
          <t>163140</t>
        </is>
      </c>
      <c r="E433" t="inlineStr">
        <is>
          <t>HALFSIM TIGO PORTABILIDAD</t>
        </is>
      </c>
      <c r="F433" t="n">
        <v>300</v>
      </c>
      <c r="G433" t="n">
        <v>206.99999999999997</v>
      </c>
      <c r="H433" t="inlineStr">
        <is>
          <t>0.69</t>
        </is>
      </c>
      <c r="J433" t="inlineStr">
        <is>
          <t>TUTELNEW  - TUENTI - GUAYAS_MARIO JAVIER GIL CEVALLOS</t>
        </is>
      </c>
      <c r="K433" t="inlineStr">
        <is>
          <t>0925805525001</t>
        </is>
      </c>
      <c r="M433" t="inlineStr">
        <is>
          <t>INDIRECTO</t>
        </is>
      </c>
      <c r="N433" t="inlineStr">
        <is>
          <t>CANAL INDIRECTO</t>
        </is>
      </c>
    </row>
    <row r="434">
      <c r="A434" t="inlineStr">
        <is>
          <t>08/10/2026</t>
        </is>
      </c>
      <c r="B434" t="inlineStr">
        <is>
          <t>2026-08219</t>
        </is>
      </c>
      <c r="C434" t="inlineStr">
        <is>
          <t>163140_02</t>
        </is>
      </c>
      <c r="D434" t="inlineStr">
        <is>
          <t>163140</t>
        </is>
      </c>
      <c r="E434" t="inlineStr">
        <is>
          <t>HALFSIM TIGO CHIP PREPAGO $3 WP NUMERADO</t>
        </is>
      </c>
      <c r="F434" t="n">
        <v>200</v>
      </c>
      <c r="G434" t="n">
        <v>138</v>
      </c>
      <c r="H434" t="inlineStr">
        <is>
          <t>0.69</t>
        </is>
      </c>
      <c r="J434" t="inlineStr">
        <is>
          <t>WINNERS CELL TUENTI SANTO DOMINGO_DANIEL EDUARDO JARRIN MARROQUIN</t>
        </is>
      </c>
      <c r="K434" t="inlineStr">
        <is>
          <t>1720429685001</t>
        </is>
      </c>
      <c r="M434" t="inlineStr">
        <is>
          <t>INDIRECTO</t>
        </is>
      </c>
      <c r="N434" t="inlineStr">
        <is>
          <t>CANAL INDIRECTO</t>
        </is>
      </c>
    </row>
    <row r="435">
      <c r="A435" t="inlineStr">
        <is>
          <t>08/10/2026</t>
        </is>
      </c>
      <c r="B435" t="inlineStr">
        <is>
          <t>2026-08219</t>
        </is>
      </c>
      <c r="C435" t="inlineStr">
        <is>
          <t>163140_06</t>
        </is>
      </c>
      <c r="D435" t="inlineStr">
        <is>
          <t>163140</t>
        </is>
      </c>
      <c r="E435" t="inlineStr">
        <is>
          <t>HALFSIM TIGO PORTABILIDAD</t>
        </is>
      </c>
      <c r="F435" t="n">
        <v>100</v>
      </c>
      <c r="G435" t="n">
        <v>69</v>
      </c>
      <c r="H435" t="inlineStr">
        <is>
          <t>0.69</t>
        </is>
      </c>
      <c r="J435" t="inlineStr">
        <is>
          <t>WINNERS CELL TUENTI SANTO DOMINGO_DANIEL EDUARDO JARRIN MARROQUIN</t>
        </is>
      </c>
      <c r="K435" t="inlineStr">
        <is>
          <t>1720429685001</t>
        </is>
      </c>
      <c r="M435" t="inlineStr">
        <is>
          <t>INDIRECTO</t>
        </is>
      </c>
      <c r="N435" t="inlineStr">
        <is>
          <t>CANAL INDIRECTO</t>
        </is>
      </c>
    </row>
    <row r="436">
      <c r="A436" t="inlineStr">
        <is>
          <t>08/10/2026</t>
        </is>
      </c>
      <c r="B436" t="inlineStr">
        <is>
          <t>2026-08220</t>
        </is>
      </c>
      <c r="C436" t="inlineStr">
        <is>
          <t>163140_06</t>
        </is>
      </c>
      <c r="D436" t="inlineStr">
        <is>
          <t>163140</t>
        </is>
      </c>
      <c r="E436" t="inlineStr">
        <is>
          <t>HALFSIM TIGO PORTABILIDAD</t>
        </is>
      </c>
      <c r="F436" t="n">
        <v>100</v>
      </c>
      <c r="G436" t="n">
        <v>69</v>
      </c>
      <c r="H436" t="inlineStr">
        <is>
          <t>0.69</t>
        </is>
      </c>
      <c r="J436" t="inlineStr">
        <is>
          <t>JORGE ISAAC CENTENO URETA _JORGE ISAAC CENTENO URETA</t>
        </is>
      </c>
      <c r="K436" t="inlineStr">
        <is>
          <t>1307869394001</t>
        </is>
      </c>
      <c r="M436" t="inlineStr">
        <is>
          <t>INDIRECTO</t>
        </is>
      </c>
      <c r="N436" t="inlineStr">
        <is>
          <t>CANAL INDIRECTO</t>
        </is>
      </c>
    </row>
    <row r="437">
      <c r="A437" t="inlineStr">
        <is>
          <t>08/10/2026</t>
        </is>
      </c>
      <c r="B437" t="inlineStr">
        <is>
          <t>16503479</t>
        </is>
      </c>
      <c r="C437" t="inlineStr">
        <is>
          <t>163140</t>
        </is>
      </c>
      <c r="D437" t="inlineStr">
        <is>
          <t>163140</t>
        </is>
      </c>
      <c r="E437" t="inlineStr">
        <is>
          <t>HALFSIM TIGO</t>
        </is>
      </c>
      <c r="F437" t="n">
        <v>1</v>
      </c>
      <c r="G437" t="n">
        <v>0.69</v>
      </c>
      <c r="H437" t="inlineStr">
        <is>
          <t>0.69</t>
        </is>
      </c>
      <c r="J437" t="inlineStr">
        <is>
          <t>ERICK CASTILLO_EQUIFAX ECUADOR C A BURO DE INFORMACION CREDITICIA</t>
        </is>
      </c>
      <c r="K437" t="inlineStr">
        <is>
          <t>1791901215001</t>
        </is>
      </c>
      <c r="M437" t="inlineStr">
        <is>
          <t>BTB</t>
        </is>
      </c>
      <c r="N437" t="inlineStr">
        <is>
          <t>CANAL DIRECTO</t>
        </is>
      </c>
    </row>
    <row r="438">
      <c r="A438" t="inlineStr">
        <is>
          <t>08/10/2026</t>
        </is>
      </c>
      <c r="B438" t="inlineStr">
        <is>
          <t>16503481</t>
        </is>
      </c>
      <c r="C438" t="inlineStr">
        <is>
          <t>163140</t>
        </is>
      </c>
      <c r="D438" t="inlineStr">
        <is>
          <t>163140</t>
        </is>
      </c>
      <c r="E438" t="inlineStr">
        <is>
          <t>HALFSIM TIGO</t>
        </is>
      </c>
      <c r="F438" t="n">
        <v>1</v>
      </c>
      <c r="G438" t="n">
        <v>0.69</v>
      </c>
      <c r="H438" t="inlineStr">
        <is>
          <t>0.69</t>
        </is>
      </c>
      <c r="J438" t="inlineStr">
        <is>
          <t>DIEGO FERNANDO PONCE PEREZ_DIEGO FERNANDO PONCE PEREZ</t>
        </is>
      </c>
      <c r="K438" t="inlineStr">
        <is>
          <t>1712650983001</t>
        </is>
      </c>
      <c r="M438" t="inlineStr">
        <is>
          <t>BTB</t>
        </is>
      </c>
      <c r="N438" t="inlineStr">
        <is>
          <t>CANAL DIRECTO</t>
        </is>
      </c>
    </row>
    <row r="439">
      <c r="A439" t="inlineStr">
        <is>
          <t>08/10/2026</t>
        </is>
      </c>
      <c r="B439" t="inlineStr">
        <is>
          <t>16503486</t>
        </is>
      </c>
      <c r="C439" t="inlineStr">
        <is>
          <t>163140</t>
        </is>
      </c>
      <c r="D439" t="inlineStr">
        <is>
          <t>163140</t>
        </is>
      </c>
      <c r="E439" t="inlineStr">
        <is>
          <t>HALFSIM TIGO</t>
        </is>
      </c>
      <c r="F439" t="n">
        <v>20</v>
      </c>
      <c r="G439" t="n">
        <v>13.799999999999999</v>
      </c>
      <c r="H439" t="inlineStr">
        <is>
          <t>0.69</t>
        </is>
      </c>
      <c r="J439" t="inlineStr">
        <is>
          <t>JOSUE ZAMBRANO_EMBARKO LOGISTIC SERVICES S A</t>
        </is>
      </c>
      <c r="K439" t="inlineStr">
        <is>
          <t>1391931821001</t>
        </is>
      </c>
      <c r="M439" t="inlineStr">
        <is>
          <t>BTB</t>
        </is>
      </c>
      <c r="N439" t="inlineStr">
        <is>
          <t>CANAL DIRECTO</t>
        </is>
      </c>
    </row>
    <row r="440">
      <c r="A440" t="inlineStr">
        <is>
          <t>08/10/2026</t>
        </is>
      </c>
      <c r="B440" t="inlineStr">
        <is>
          <t>16503508</t>
        </is>
      </c>
      <c r="C440" t="inlineStr">
        <is>
          <t>163140</t>
        </is>
      </c>
      <c r="D440" t="inlineStr">
        <is>
          <t>163140</t>
        </is>
      </c>
      <c r="E440" t="inlineStr">
        <is>
          <t>HALFSIM TIGO</t>
        </is>
      </c>
      <c r="F440" t="n">
        <v>1</v>
      </c>
      <c r="G440" t="n">
        <v>0.69</v>
      </c>
      <c r="H440" t="inlineStr">
        <is>
          <t>0.69</t>
        </is>
      </c>
      <c r="J440" t="inlineStr">
        <is>
          <t>AREVALO TAPIA SONIA PAOLA_AREVALO TAPIA SONIA PAOLA</t>
        </is>
      </c>
      <c r="K440" t="inlineStr">
        <is>
          <t>1714061940001</t>
        </is>
      </c>
      <c r="M440" t="inlineStr">
        <is>
          <t>BTB</t>
        </is>
      </c>
      <c r="N440" t="inlineStr">
        <is>
          <t>CANAL DIRECTO</t>
        </is>
      </c>
    </row>
    <row r="441">
      <c r="A441" t="inlineStr">
        <is>
          <t>08/10/2026</t>
        </is>
      </c>
      <c r="B441" t="inlineStr">
        <is>
          <t>16503518</t>
        </is>
      </c>
      <c r="C441" t="inlineStr">
        <is>
          <t>163140</t>
        </is>
      </c>
      <c r="D441" t="inlineStr">
        <is>
          <t>163140</t>
        </is>
      </c>
      <c r="E441" t="inlineStr">
        <is>
          <t>HALFSIM TIGO</t>
        </is>
      </c>
      <c r="F441" t="n">
        <v>4</v>
      </c>
      <c r="G441" t="n">
        <v>2.76</v>
      </c>
      <c r="H441" t="inlineStr">
        <is>
          <t>0.69</t>
        </is>
      </c>
      <c r="J441" t="inlineStr">
        <is>
          <t>ANDRES FELIPE CAMACHO NOVOA_MODERTEX S A</t>
        </is>
      </c>
      <c r="K441" t="inlineStr">
        <is>
          <t>1792201861001</t>
        </is>
      </c>
      <c r="M441" t="inlineStr">
        <is>
          <t>BTB</t>
        </is>
      </c>
      <c r="N441" t="inlineStr">
        <is>
          <t>CANAL DIRECTO</t>
        </is>
      </c>
    </row>
    <row r="442">
      <c r="A442" t="inlineStr">
        <is>
          <t>08/10/2026</t>
        </is>
      </c>
      <c r="B442" t="inlineStr">
        <is>
          <t>16503518</t>
        </is>
      </c>
      <c r="C442" t="inlineStr">
        <is>
          <t>163141</t>
        </is>
      </c>
      <c r="D442" t="inlineStr">
        <is>
          <t>163141</t>
        </is>
      </c>
      <c r="E442" t="inlineStr">
        <is>
          <t>ESIM TIGO DIGITAL</t>
        </is>
      </c>
      <c r="F442" t="n">
        <v>0</v>
      </c>
      <c r="G442" t="n">
        <v>0</v>
      </c>
      <c r="H442" t="inlineStr">
        <is>
          <t>0.21</t>
        </is>
      </c>
      <c r="J442" t="inlineStr">
        <is>
          <t>ANDRES FELIPE CAMACHO NOVOA_MODERTEX S A</t>
        </is>
      </c>
      <c r="K442" t="inlineStr">
        <is>
          <t>1792201861001</t>
        </is>
      </c>
      <c r="M442" t="inlineStr">
        <is>
          <t>BTB</t>
        </is>
      </c>
      <c r="N442" t="inlineStr">
        <is>
          <t>CANAL DIRECTO</t>
        </is>
      </c>
    </row>
    <row r="443">
      <c r="A443" t="inlineStr">
        <is>
          <t>08/10/2026</t>
        </is>
      </c>
      <c r="B443" t="inlineStr">
        <is>
          <t>16503528</t>
        </is>
      </c>
      <c r="C443" t="inlineStr">
        <is>
          <t>163140</t>
        </is>
      </c>
      <c r="D443" t="inlineStr">
        <is>
          <t>163140</t>
        </is>
      </c>
      <c r="E443" t="inlineStr">
        <is>
          <t>HALFSIM TIGO</t>
        </is>
      </c>
      <c r="F443" t="n">
        <v>1</v>
      </c>
      <c r="G443" t="n">
        <v>0.69</v>
      </c>
      <c r="H443" t="inlineStr">
        <is>
          <t>0.69</t>
        </is>
      </c>
      <c r="J443" t="inlineStr">
        <is>
          <t>JARA LEON JULIO ENRIQUE PATRICIO_JARA LEON JULIO ENRIQUE PATRICIO</t>
        </is>
      </c>
      <c r="K443" t="inlineStr">
        <is>
          <t>0501158539001</t>
        </is>
      </c>
      <c r="M443" t="inlineStr">
        <is>
          <t>BTB</t>
        </is>
      </c>
      <c r="N443" t="inlineStr">
        <is>
          <t>CANAL DIRECTO</t>
        </is>
      </c>
    </row>
    <row r="444">
      <c r="A444" t="inlineStr">
        <is>
          <t>08/10/2026</t>
        </is>
      </c>
      <c r="B444" t="inlineStr">
        <is>
          <t>16503529</t>
        </is>
      </c>
      <c r="C444" t="inlineStr">
        <is>
          <t>163140</t>
        </is>
      </c>
      <c r="D444" t="inlineStr">
        <is>
          <t>163140</t>
        </is>
      </c>
      <c r="E444" t="inlineStr">
        <is>
          <t>HALFSIM TIGO</t>
        </is>
      </c>
      <c r="F444" t="n">
        <v>1</v>
      </c>
      <c r="G444" t="n">
        <v>0.69</v>
      </c>
      <c r="H444" t="inlineStr">
        <is>
          <t>0.69</t>
        </is>
      </c>
      <c r="J444" t="inlineStr">
        <is>
          <t>ANDRADE ANDRADE LUIS ARMANDO_ANDRADE ANDRADE LUIS ARMANDO</t>
        </is>
      </c>
      <c r="K444" t="inlineStr">
        <is>
          <t>0301757712001</t>
        </is>
      </c>
      <c r="M444" t="inlineStr">
        <is>
          <t>BTB</t>
        </is>
      </c>
      <c r="N444" t="inlineStr">
        <is>
          <t>CANAL DIRECTO</t>
        </is>
      </c>
    </row>
    <row r="445">
      <c r="A445" t="inlineStr">
        <is>
          <t>08/10/2026</t>
        </is>
      </c>
      <c r="B445" t="inlineStr">
        <is>
          <t>16503530</t>
        </is>
      </c>
      <c r="C445" t="inlineStr">
        <is>
          <t>163140</t>
        </is>
      </c>
      <c r="D445" t="inlineStr">
        <is>
          <t>163140</t>
        </is>
      </c>
      <c r="E445" t="inlineStr">
        <is>
          <t>HALFSIM TIGO</t>
        </is>
      </c>
      <c r="F445" t="n">
        <v>1</v>
      </c>
      <c r="G445" t="n">
        <v>0.69</v>
      </c>
      <c r="H445" t="inlineStr">
        <is>
          <t>0.69</t>
        </is>
      </c>
      <c r="J445" t="inlineStr">
        <is>
          <t>MOLINA BARAHONA MICHELLE ESTEFANY_MOLINA BARAHONA MICHELLE ESTEFANY</t>
        </is>
      </c>
      <c r="K445" t="inlineStr">
        <is>
          <t>1724764665001</t>
        </is>
      </c>
      <c r="M445" t="inlineStr">
        <is>
          <t>BTB</t>
        </is>
      </c>
      <c r="N445" t="inlineStr">
        <is>
          <t>CANAL DIRECTO</t>
        </is>
      </c>
    </row>
    <row r="446">
      <c r="A446" t="inlineStr">
        <is>
          <t>08/10/2026</t>
        </is>
      </c>
      <c r="B446" t="inlineStr">
        <is>
          <t>16503531</t>
        </is>
      </c>
      <c r="C446" t="inlineStr">
        <is>
          <t>163140</t>
        </is>
      </c>
      <c r="D446" t="inlineStr">
        <is>
          <t>163140</t>
        </is>
      </c>
      <c r="E446" t="inlineStr">
        <is>
          <t>HALFSIM TIGO</t>
        </is>
      </c>
      <c r="F446" t="n">
        <v>2</v>
      </c>
      <c r="G446" t="n">
        <v>1.38</v>
      </c>
      <c r="H446" t="inlineStr">
        <is>
          <t>0.69</t>
        </is>
      </c>
      <c r="J446" t="inlineStr">
        <is>
          <t>SEBASTIAN CORONEL_GONZALEZ GOMEZ JUAN DAVID</t>
        </is>
      </c>
      <c r="K446" t="inlineStr">
        <is>
          <t>1758933004001</t>
        </is>
      </c>
      <c r="M446" t="inlineStr">
        <is>
          <t>BTB</t>
        </is>
      </c>
      <c r="N446" t="inlineStr">
        <is>
          <t>CANAL DIRECTO</t>
        </is>
      </c>
    </row>
    <row r="447">
      <c r="A447" t="inlineStr">
        <is>
          <t>08/10/2026</t>
        </is>
      </c>
      <c r="B447" t="inlineStr">
        <is>
          <t>2026-08221</t>
        </is>
      </c>
      <c r="C447" t="inlineStr">
        <is>
          <t>163140_02</t>
        </is>
      </c>
      <c r="D447" t="inlineStr">
        <is>
          <t>163140</t>
        </is>
      </c>
      <c r="E447" t="inlineStr">
        <is>
          <t>HALFSIM TIGO CHIP PREPAGO $3 WP NUMERADO</t>
        </is>
      </c>
      <c r="F447" t="n">
        <v>1000</v>
      </c>
      <c r="G447" t="n">
        <v>690</v>
      </c>
      <c r="H447" t="inlineStr">
        <is>
          <t>0.69</t>
        </is>
      </c>
      <c r="J447" t="inlineStr">
        <is>
          <t>DKOMUNICACIONES  MOVISTAR CHIMBORAZO_KATHERINE ELIZABETH ALMEIDA GUZMAN</t>
        </is>
      </c>
      <c r="K447" t="inlineStr">
        <is>
          <t>1714944186</t>
        </is>
      </c>
      <c r="M447" t="inlineStr">
        <is>
          <t>INDIRECTO</t>
        </is>
      </c>
      <c r="N447" t="inlineStr">
        <is>
          <t>CANAL INDIRECTO</t>
        </is>
      </c>
    </row>
    <row r="448">
      <c r="A448" t="inlineStr">
        <is>
          <t>08/10/2026</t>
        </is>
      </c>
      <c r="B448" t="inlineStr">
        <is>
          <t>2026-08223</t>
        </is>
      </c>
      <c r="C448" t="inlineStr">
        <is>
          <t>163140_02</t>
        </is>
      </c>
      <c r="D448" t="inlineStr">
        <is>
          <t>163140</t>
        </is>
      </c>
      <c r="E448" t="inlineStr">
        <is>
          <t>HALFSIM TIGO CHIP PREPAGO $3 WP NUMERADO</t>
        </is>
      </c>
      <c r="F448" t="n">
        <v>800</v>
      </c>
      <c r="G448" t="n">
        <v>552</v>
      </c>
      <c r="H448" t="inlineStr">
        <is>
          <t>0.69</t>
        </is>
      </c>
      <c r="J448" t="inlineStr">
        <is>
          <t>SEPMGROUPSEPM S.A.S. - LOJA_JOSE DAVID JARA PESANTEZ</t>
        </is>
      </c>
      <c r="K448" t="inlineStr">
        <is>
          <t>0105108419</t>
        </is>
      </c>
      <c r="M448" t="inlineStr">
        <is>
          <t>INDIRECTO</t>
        </is>
      </c>
      <c r="N448" t="inlineStr">
        <is>
          <t>CANAL INDIRECTO</t>
        </is>
      </c>
    </row>
    <row r="449">
      <c r="A449" t="inlineStr">
        <is>
          <t>08/10/2026</t>
        </is>
      </c>
      <c r="B449" t="inlineStr">
        <is>
          <t>2026-08223</t>
        </is>
      </c>
      <c r="C449" t="inlineStr">
        <is>
          <t>163140_06</t>
        </is>
      </c>
      <c r="D449" t="inlineStr">
        <is>
          <t>163140</t>
        </is>
      </c>
      <c r="E449" t="inlineStr">
        <is>
          <t>HALFSIM TIGO PORTABILIDAD</t>
        </is>
      </c>
      <c r="F449" t="n">
        <v>300</v>
      </c>
      <c r="G449" t="n">
        <v>206.99999999999997</v>
      </c>
      <c r="H449" t="inlineStr">
        <is>
          <t>0.69</t>
        </is>
      </c>
      <c r="J449" t="inlineStr">
        <is>
          <t>SEPMGROUPSEPM S.A.S. - LOJA_JOSE DAVID JARA PESANTEZ</t>
        </is>
      </c>
      <c r="K449" t="inlineStr">
        <is>
          <t>0105108419</t>
        </is>
      </c>
      <c r="M449" t="inlineStr">
        <is>
          <t>INDIRECTO</t>
        </is>
      </c>
      <c r="N449" t="inlineStr">
        <is>
          <t>CANAL INDIRECTO</t>
        </is>
      </c>
    </row>
    <row r="450">
      <c r="A450" t="inlineStr">
        <is>
          <t>08/10/2026</t>
        </is>
      </c>
      <c r="B450" t="inlineStr">
        <is>
          <t>2026-08225</t>
        </is>
      </c>
      <c r="C450" t="inlineStr">
        <is>
          <t>163140_02</t>
        </is>
      </c>
      <c r="D450" t="inlineStr">
        <is>
          <t>163140</t>
        </is>
      </c>
      <c r="E450" t="inlineStr">
        <is>
          <t>HALFSIM TIGO CHIP PREPAGO $3 WP NUMERADO</t>
        </is>
      </c>
      <c r="F450" t="n">
        <v>1000</v>
      </c>
      <c r="G450" t="n">
        <v>690</v>
      </c>
      <c r="H450" t="inlineStr">
        <is>
          <t>0.69</t>
        </is>
      </c>
      <c r="J450" t="inlineStr">
        <is>
          <t>DKOMUNICACIONES MOVISTAR CALLE  TUNGURAHUA_ALMEIDA GUZMAN KATHERINE ELIZABETH</t>
        </is>
      </c>
      <c r="K450" t="inlineStr">
        <is>
          <t>1714944186</t>
        </is>
      </c>
      <c r="M450" t="inlineStr">
        <is>
          <t>INDIRECTO</t>
        </is>
      </c>
      <c r="N450" t="inlineStr">
        <is>
          <t>CANAL INDIRECTO</t>
        </is>
      </c>
    </row>
    <row r="451">
      <c r="A451" t="inlineStr">
        <is>
          <t>08/10/2026</t>
        </is>
      </c>
      <c r="B451" t="inlineStr">
        <is>
          <t>2026-08226</t>
        </is>
      </c>
      <c r="C451" t="inlineStr">
        <is>
          <t>163140_02</t>
        </is>
      </c>
      <c r="D451" t="inlineStr">
        <is>
          <t>163140</t>
        </is>
      </c>
      <c r="E451" t="inlineStr">
        <is>
          <t>HALFSIM TIGO CHIP PREPAGO $3 WP NUMERADO</t>
        </is>
      </c>
      <c r="F451" t="n">
        <v>1000</v>
      </c>
      <c r="G451" t="n">
        <v>690</v>
      </c>
      <c r="H451" t="inlineStr">
        <is>
          <t>0.69</t>
        </is>
      </c>
      <c r="J451" t="inlineStr">
        <is>
          <t>DKOMUNICACIONES MOVISTAR CALLE COTOPAXI_ALMEIDA GUZMAN KATHERINE ELIZABETH</t>
        </is>
      </c>
      <c r="K451" t="inlineStr">
        <is>
          <t>1714944186</t>
        </is>
      </c>
      <c r="M451" t="inlineStr">
        <is>
          <t>INDIRECTO</t>
        </is>
      </c>
      <c r="N451" t="inlineStr">
        <is>
          <t>CANAL INDIRECTO</t>
        </is>
      </c>
    </row>
    <row r="452">
      <c r="A452" t="inlineStr">
        <is>
          <t>08/10/2026</t>
        </is>
      </c>
      <c r="B452" t="inlineStr">
        <is>
          <t>2026-08230</t>
        </is>
      </c>
      <c r="C452" t="inlineStr">
        <is>
          <t>163140_02</t>
        </is>
      </c>
      <c r="D452" t="inlineStr">
        <is>
          <t>163140</t>
        </is>
      </c>
      <c r="E452" t="inlineStr">
        <is>
          <t>HALFSIM TIGO CHIP PREPAGO $3 WP NUMERADO</t>
        </is>
      </c>
      <c r="F452" t="n">
        <v>1000</v>
      </c>
      <c r="G452" t="n">
        <v>690</v>
      </c>
      <c r="H452" t="inlineStr">
        <is>
          <t>0.69</t>
        </is>
      </c>
      <c r="J452" t="inlineStr">
        <is>
          <t>SEPMGROUPSEPM S.A.S. AZUAY_JARA PESANTEZ JOSE DAVID</t>
        </is>
      </c>
      <c r="K452" t="inlineStr">
        <is>
          <t>0105108419</t>
        </is>
      </c>
      <c r="M452" t="inlineStr">
        <is>
          <t>INDIRECTO</t>
        </is>
      </c>
      <c r="N452" t="inlineStr">
        <is>
          <t>CANAL INDIRECTO</t>
        </is>
      </c>
    </row>
    <row r="453">
      <c r="A453" t="inlineStr">
        <is>
          <t>08/10/2026</t>
        </is>
      </c>
      <c r="B453" t="inlineStr">
        <is>
          <t>2026-08230</t>
        </is>
      </c>
      <c r="C453" t="inlineStr">
        <is>
          <t>163140_06</t>
        </is>
      </c>
      <c r="D453" t="inlineStr">
        <is>
          <t>163140</t>
        </is>
      </c>
      <c r="E453" t="inlineStr">
        <is>
          <t>HALFSIM TIGO PORTABILIDAD</t>
        </is>
      </c>
      <c r="F453" t="n">
        <v>300</v>
      </c>
      <c r="G453" t="n">
        <v>206.99999999999997</v>
      </c>
      <c r="H453" t="inlineStr">
        <is>
          <t>0.69</t>
        </is>
      </c>
      <c r="J453" t="inlineStr">
        <is>
          <t>SEPMGROUPSEPM S.A.S. AZUAY_JARA PESANTEZ JOSE DAVID</t>
        </is>
      </c>
      <c r="K453" t="inlineStr">
        <is>
          <t>0105108419</t>
        </is>
      </c>
      <c r="M453" t="inlineStr">
        <is>
          <t>INDIRECTO</t>
        </is>
      </c>
      <c r="N453" t="inlineStr">
        <is>
          <t>CANAL INDIRECTO</t>
        </is>
      </c>
    </row>
    <row r="454">
      <c r="A454" t="inlineStr">
        <is>
          <t>08/10/2026</t>
        </is>
      </c>
      <c r="B454" t="inlineStr">
        <is>
          <t>2026-08232</t>
        </is>
      </c>
      <c r="C454" t="inlineStr">
        <is>
          <t>163140_02</t>
        </is>
      </c>
      <c r="D454" t="inlineStr">
        <is>
          <t>163140</t>
        </is>
      </c>
      <c r="E454" t="inlineStr">
        <is>
          <t>HALFSIM TIGO CHIP PREPAGO $3 WP NUMERADO</t>
        </is>
      </c>
      <c r="F454" t="n">
        <v>2000</v>
      </c>
      <c r="G454" t="n">
        <v>1380</v>
      </c>
      <c r="H454" t="inlineStr">
        <is>
          <t>0.69</t>
        </is>
      </c>
      <c r="J454" t="inlineStr">
        <is>
          <t>TECECAB SIEMBRAS ZONIFICADO PICHINCHA_PAOLA MORETA</t>
        </is>
      </c>
      <c r="K454" t="inlineStr">
        <is>
          <t>1716278575</t>
        </is>
      </c>
      <c r="M454" t="inlineStr">
        <is>
          <t>INDIRECTO</t>
        </is>
      </c>
      <c r="N454" t="inlineStr">
        <is>
          <t>CANAL INDIRECTO</t>
        </is>
      </c>
    </row>
    <row r="455">
      <c r="A455" t="inlineStr">
        <is>
          <t>08/10/2026</t>
        </is>
      </c>
      <c r="B455" t="inlineStr">
        <is>
          <t>2026-08239</t>
        </is>
      </c>
      <c r="C455" t="inlineStr">
        <is>
          <t>163140_02</t>
        </is>
      </c>
      <c r="D455" t="inlineStr">
        <is>
          <t>163140</t>
        </is>
      </c>
      <c r="E455" t="inlineStr">
        <is>
          <t>HALFSIM TIGO CHIP PREPAGO $3 WP NUMERADO</t>
        </is>
      </c>
      <c r="F455" t="n">
        <v>6000</v>
      </c>
      <c r="G455" t="n">
        <v>4140</v>
      </c>
      <c r="H455" t="inlineStr">
        <is>
          <t>0.69</t>
        </is>
      </c>
      <c r="J455" t="inlineStr">
        <is>
          <t>TECECAB CALLE PICHINCHA_ZAIDA MOREIRA</t>
        </is>
      </c>
      <c r="K455" t="inlineStr">
        <is>
          <t>1792306043001</t>
        </is>
      </c>
      <c r="M455" t="inlineStr">
        <is>
          <t>INDIRECTO</t>
        </is>
      </c>
      <c r="N455" t="inlineStr">
        <is>
          <t>CANAL INDIRECTO</t>
        </is>
      </c>
    </row>
    <row r="456">
      <c r="A456" t="inlineStr">
        <is>
          <t>08/10/2026</t>
        </is>
      </c>
      <c r="B456" t="inlineStr">
        <is>
          <t>2026-08240</t>
        </is>
      </c>
      <c r="C456" t="inlineStr">
        <is>
          <t>163140_06</t>
        </is>
      </c>
      <c r="D456" t="inlineStr">
        <is>
          <t>163140</t>
        </is>
      </c>
      <c r="E456" t="inlineStr">
        <is>
          <t>HALFSIM TIGO PORTABILIDAD</t>
        </is>
      </c>
      <c r="F456" t="n">
        <v>500</v>
      </c>
      <c r="G456" t="n">
        <v>345</v>
      </c>
      <c r="H456" t="inlineStr">
        <is>
          <t>0.69</t>
        </is>
      </c>
      <c r="J456" t="inlineStr">
        <is>
          <t>EMPRESA DE DESARROLLO TECNOLÓGICO PRILANTEC CTA. LTDA_OSCAR COELLO</t>
        </is>
      </c>
      <c r="K456" t="inlineStr">
        <is>
          <t>1792412501001</t>
        </is>
      </c>
      <c r="M456" t="inlineStr">
        <is>
          <t>INDIRECTO</t>
        </is>
      </c>
      <c r="N456" t="inlineStr">
        <is>
          <t>CANAL INDIRECTO</t>
        </is>
      </c>
    </row>
    <row r="457">
      <c r="A457" t="inlineStr">
        <is>
          <t>08/10/2026</t>
        </is>
      </c>
      <c r="B457" t="inlineStr">
        <is>
          <t>2026-08242</t>
        </is>
      </c>
      <c r="C457" t="inlineStr">
        <is>
          <t>162593</t>
        </is>
      </c>
      <c r="D457" t="inlineStr">
        <is>
          <t>162593</t>
        </is>
      </c>
      <c r="E457" t="inlineStr">
        <is>
          <t>HALFSIM KITE M2M 3FF DEVICE CONTROL BLANCA</t>
        </is>
      </c>
      <c r="F457" t="n">
        <v>560</v>
      </c>
      <c r="G457" t="n">
        <v>375.20000000000005</v>
      </c>
      <c r="H457" t="inlineStr">
        <is>
          <t>0.67</t>
        </is>
      </c>
      <c r="J457" t="inlineStr">
        <is>
          <t>CONSEJO DE SEGURIDAD MUN ST DMO_DANIEL VEGA</t>
        </is>
      </c>
      <c r="K457" t="inlineStr">
        <is>
          <t>1790819469001</t>
        </is>
      </c>
      <c r="L457" t="inlineStr">
        <is>
          <t>SANTO DOMINGO</t>
        </is>
      </c>
      <c r="M457" t="inlineStr">
        <is>
          <t>INDIRECTO</t>
        </is>
      </c>
      <c r="N457" t="inlineStr">
        <is>
          <t>CANAL INDIRECTO</t>
        </is>
      </c>
    </row>
    <row r="458">
      <c r="A458" t="inlineStr">
        <is>
          <t>08/10/2026</t>
        </is>
      </c>
      <c r="B458" t="inlineStr">
        <is>
          <t>16503602</t>
        </is>
      </c>
      <c r="C458" t="inlineStr">
        <is>
          <t>163140</t>
        </is>
      </c>
      <c r="D458" t="inlineStr">
        <is>
          <t>163140</t>
        </is>
      </c>
      <c r="E458" t="inlineStr">
        <is>
          <t>HALFSIM TIGO</t>
        </is>
      </c>
      <c r="F458" t="n">
        <v>3</v>
      </c>
      <c r="G458" t="n">
        <v>2.0699999999999998</v>
      </c>
      <c r="H458" t="inlineStr">
        <is>
          <t>0.69</t>
        </is>
      </c>
      <c r="J458" t="inlineStr">
        <is>
          <t>MARIA GABRIELA QUISHPE LOPEZ_PRODUCTORA Y COMERCIALIZADORA GUADAPRODUCTS CIA LT</t>
        </is>
      </c>
      <c r="K458" t="inlineStr">
        <is>
          <t>1792734797001</t>
        </is>
      </c>
      <c r="M458" t="inlineStr">
        <is>
          <t>BTB</t>
        </is>
      </c>
      <c r="N458" t="inlineStr">
        <is>
          <t>CANAL DIRECTO</t>
        </is>
      </c>
    </row>
    <row r="459">
      <c r="A459" t="inlineStr">
        <is>
          <t>08/10/2026</t>
        </is>
      </c>
      <c r="B459" t="inlineStr">
        <is>
          <t>16503606</t>
        </is>
      </c>
      <c r="C459" t="inlineStr">
        <is>
          <t>163140</t>
        </is>
      </c>
      <c r="D459" t="inlineStr">
        <is>
          <t>163140</t>
        </is>
      </c>
      <c r="E459" t="inlineStr">
        <is>
          <t>HALFSIM TIGO</t>
        </is>
      </c>
      <c r="F459" t="n">
        <v>1</v>
      </c>
      <c r="G459" t="n">
        <v>0.69</v>
      </c>
      <c r="H459" t="inlineStr">
        <is>
          <t>0.69</t>
        </is>
      </c>
      <c r="J459" t="inlineStr">
        <is>
          <t>MARMOL CRISTINA_ BANCO PICHINCHA CA</t>
        </is>
      </c>
      <c r="K459" t="inlineStr">
        <is>
          <t>1791297121001</t>
        </is>
      </c>
      <c r="M459" t="inlineStr">
        <is>
          <t>BTB</t>
        </is>
      </c>
      <c r="N459" t="inlineStr">
        <is>
          <t>CANAL DIRECTO</t>
        </is>
      </c>
    </row>
    <row r="460">
      <c r="A460" t="inlineStr">
        <is>
          <t>08/10/2026</t>
        </is>
      </c>
      <c r="B460" t="inlineStr">
        <is>
          <t>16503666</t>
        </is>
      </c>
      <c r="C460" t="inlineStr">
        <is>
          <t>163140</t>
        </is>
      </c>
      <c r="D460" t="inlineStr">
        <is>
          <t>163140</t>
        </is>
      </c>
      <c r="E460" t="inlineStr">
        <is>
          <t>HALFSIM TIGO</t>
        </is>
      </c>
      <c r="F460" t="n">
        <v>1</v>
      </c>
      <c r="G460" t="n">
        <v>0.69</v>
      </c>
      <c r="H460" t="inlineStr">
        <is>
          <t>0.69</t>
        </is>
      </c>
      <c r="J460" t="inlineStr">
        <is>
          <t>GUILLERMINA CAICEDO_FIDEVAL S A ADMINISTRADORA DE FONDOS Y FIDEICOMISOS</t>
        </is>
      </c>
      <c r="K460" t="inlineStr">
        <is>
          <t>1791275101001</t>
        </is>
      </c>
      <c r="M460" t="inlineStr">
        <is>
          <t>BTB</t>
        </is>
      </c>
      <c r="N460" t="inlineStr">
        <is>
          <t>CANAL DIRECTO</t>
        </is>
      </c>
    </row>
    <row r="461">
      <c r="A461" t="inlineStr">
        <is>
          <t>08/10/2026</t>
        </is>
      </c>
      <c r="B461" t="inlineStr">
        <is>
          <t>16503684</t>
        </is>
      </c>
      <c r="C461" t="inlineStr">
        <is>
          <t>163140</t>
        </is>
      </c>
      <c r="D461" t="inlineStr">
        <is>
          <t>163140</t>
        </is>
      </c>
      <c r="E461" t="inlineStr">
        <is>
          <t>HALFSIM TIGO</t>
        </is>
      </c>
      <c r="F461" t="n">
        <v>1</v>
      </c>
      <c r="G461" t="n">
        <v>0.69</v>
      </c>
      <c r="H461" t="inlineStr">
        <is>
          <t>0.69</t>
        </is>
      </c>
      <c r="J461" t="inlineStr">
        <is>
          <t>PATRICIA ENCALADA_ENTIDAD COLABORADORA DE PROYECTOS CAE P</t>
        </is>
      </c>
      <c r="K461" t="inlineStr">
        <is>
          <t>1792428580001</t>
        </is>
      </c>
      <c r="M461" t="inlineStr">
        <is>
          <t>BTB</t>
        </is>
      </c>
      <c r="N461" t="inlineStr">
        <is>
          <t>CANAL DIRECTO</t>
        </is>
      </c>
    </row>
    <row r="462">
      <c r="A462" t="inlineStr">
        <is>
          <t>08/10/2026</t>
        </is>
      </c>
      <c r="B462" t="inlineStr">
        <is>
          <t>16503685</t>
        </is>
      </c>
      <c r="C462" t="inlineStr">
        <is>
          <t>163140</t>
        </is>
      </c>
      <c r="D462" t="inlineStr">
        <is>
          <t>163140</t>
        </is>
      </c>
      <c r="E462" t="inlineStr">
        <is>
          <t>HALFSIM TIGO</t>
        </is>
      </c>
      <c r="F462" t="n">
        <v>1</v>
      </c>
      <c r="G462" t="n">
        <v>0.69</v>
      </c>
      <c r="H462" t="inlineStr">
        <is>
          <t>0.69</t>
        </is>
      </c>
      <c r="J462" t="inlineStr">
        <is>
          <t>QUEVEDO VALVERDE FREDDY CARLOS_QUEVEDO VALVERDE FREDDY CARLOS</t>
        </is>
      </c>
      <c r="K462" t="inlineStr">
        <is>
          <t>1726834680001</t>
        </is>
      </c>
      <c r="M462" t="inlineStr">
        <is>
          <t>BTB</t>
        </is>
      </c>
      <c r="N462" t="inlineStr">
        <is>
          <t>CANAL DIRECTO</t>
        </is>
      </c>
    </row>
    <row r="463">
      <c r="A463" t="inlineStr">
        <is>
          <t>09/10/2026</t>
        </is>
      </c>
      <c r="B463" t="inlineStr">
        <is>
          <t>2026-07686</t>
        </is>
      </c>
      <c r="C463" t="inlineStr">
        <is>
          <t>163140_01</t>
        </is>
      </c>
      <c r="D463" t="inlineStr">
        <is>
          <t>163140</t>
        </is>
      </c>
      <c r="E463" t="inlineStr">
        <is>
          <t>HALFSIM TIGO REPOSICIÓN</t>
        </is>
      </c>
      <c r="F463" t="n">
        <v>500</v>
      </c>
      <c r="G463" t="n">
        <v>345</v>
      </c>
      <c r="H463" t="inlineStr">
        <is>
          <t>0.69</t>
        </is>
      </c>
      <c r="J463" t="inlineStr">
        <is>
          <t>CAVS 9 DE OCTUBRE_MAYBE BETSABE / ANGELES AZUCENA</t>
        </is>
      </c>
      <c r="K463" t="inlineStr">
        <is>
          <t>0930470596 / 0953821196</t>
        </is>
      </c>
      <c r="M463" t="inlineStr">
        <is>
          <t>INDIRECTO</t>
        </is>
      </c>
      <c r="N463" t="inlineStr">
        <is>
          <t>CANAL INDIRECTO</t>
        </is>
      </c>
    </row>
    <row r="464">
      <c r="A464" t="inlineStr">
        <is>
          <t>09/10/2026</t>
        </is>
      </c>
      <c r="B464" t="inlineStr">
        <is>
          <t>2026-07921</t>
        </is>
      </c>
      <c r="C464" t="inlineStr">
        <is>
          <t>163140</t>
        </is>
      </c>
      <c r="D464" t="inlineStr">
        <is>
          <t>163140</t>
        </is>
      </c>
      <c r="E464" t="inlineStr">
        <is>
          <t>HALFSIM TIGO</t>
        </is>
      </c>
      <c r="F464" t="n">
        <v>400</v>
      </c>
      <c r="G464" t="n">
        <v>276</v>
      </c>
      <c r="H464" t="inlineStr">
        <is>
          <t>0.69</t>
        </is>
      </c>
      <c r="J464" t="inlineStr">
        <is>
          <t>CAVS 9 DE OCTUBRE_MAYBE BETSABE / ANGELES AZUCENA</t>
        </is>
      </c>
      <c r="K464" t="inlineStr">
        <is>
          <t>0930470596 / 0953821196</t>
        </is>
      </c>
      <c r="M464" t="inlineStr">
        <is>
          <t>INDIRECTO</t>
        </is>
      </c>
      <c r="N464" t="inlineStr">
        <is>
          <t>CANAL INDIRECTO</t>
        </is>
      </c>
    </row>
    <row r="465">
      <c r="A465" t="inlineStr">
        <is>
          <t>12/10/2026</t>
        </is>
      </c>
      <c r="B465" t="inlineStr">
        <is>
          <t>16500664</t>
        </is>
      </c>
      <c r="C465" t="inlineStr">
        <is>
          <t>163140</t>
        </is>
      </c>
      <c r="D465" t="inlineStr">
        <is>
          <t>163140</t>
        </is>
      </c>
      <c r="E465" t="inlineStr">
        <is>
          <t>HALFSIM TIGO</t>
        </is>
      </c>
      <c r="F465" t="n">
        <v>1</v>
      </c>
      <c r="G465" t="n">
        <v>0.69</v>
      </c>
      <c r="H465" t="inlineStr">
        <is>
          <t>0.69</t>
        </is>
      </c>
      <c r="J465" t="inlineStr">
        <is>
          <t>INTRIAGO PEREZ CRISTHIAN CESAR_INTRIAGO PEREZ CRISTHIAN CESAR</t>
        </is>
      </c>
      <c r="K465" t="inlineStr">
        <is>
          <t>1720093754001</t>
        </is>
      </c>
      <c r="M465" t="inlineStr">
        <is>
          <t>BTB</t>
        </is>
      </c>
      <c r="N465" t="inlineStr">
        <is>
          <t>CANAL DIRECTO</t>
        </is>
      </c>
    </row>
    <row r="466">
      <c r="A466" t="inlineStr">
        <is>
          <t>12/10/2026</t>
        </is>
      </c>
      <c r="B466" t="inlineStr">
        <is>
          <t>16500664</t>
        </is>
      </c>
      <c r="C466" t="inlineStr">
        <is>
          <t>163140</t>
        </is>
      </c>
      <c r="D466" t="inlineStr">
        <is>
          <t>163140</t>
        </is>
      </c>
      <c r="E466" t="inlineStr">
        <is>
          <t>HALFSIM TIGO</t>
        </is>
      </c>
      <c r="F466" t="n">
        <v>1</v>
      </c>
      <c r="G466" t="n">
        <v>0.69</v>
      </c>
      <c r="H466" t="inlineStr">
        <is>
          <t>0.69</t>
        </is>
      </c>
      <c r="J466" t="inlineStr">
        <is>
          <t>INTRIAGO PEREZ CRISTHIAN CESAR_INTRIAGO PEREZ CRISTHIAN CESAR</t>
        </is>
      </c>
      <c r="K466" t="inlineStr">
        <is>
          <t>1720093754001</t>
        </is>
      </c>
      <c r="M466" t="inlineStr">
        <is>
          <t>BTB</t>
        </is>
      </c>
      <c r="N466" t="inlineStr">
        <is>
          <t>CANAL DIRECTO</t>
        </is>
      </c>
    </row>
    <row r="467">
      <c r="A467" t="inlineStr">
        <is>
          <t>12/10/2026</t>
        </is>
      </c>
      <c r="B467" t="inlineStr">
        <is>
          <t>16502396</t>
        </is>
      </c>
      <c r="C467" t="inlineStr">
        <is>
          <t>163140</t>
        </is>
      </c>
      <c r="D467" t="inlineStr">
        <is>
          <t>163140</t>
        </is>
      </c>
      <c r="E467" t="inlineStr">
        <is>
          <t>HALFSIM TIGO</t>
        </is>
      </c>
      <c r="F467" t="n">
        <v>1</v>
      </c>
      <c r="G467" t="n">
        <v>0.69</v>
      </c>
      <c r="H467" t="inlineStr">
        <is>
          <t>0.69</t>
        </is>
      </c>
      <c r="J467" t="inlineStr">
        <is>
          <t>CAIZA CAIZA EDWIN PATRICIO_CAIZA CAIZA EDWIN PATRICIO</t>
        </is>
      </c>
      <c r="K467" t="inlineStr">
        <is>
          <t>1713305843001</t>
        </is>
      </c>
      <c r="M467" t="inlineStr">
        <is>
          <t>BTB</t>
        </is>
      </c>
      <c r="N467" t="inlineStr">
        <is>
          <t>CANAL DIRECTO</t>
        </is>
      </c>
    </row>
    <row r="468">
      <c r="A468" t="inlineStr">
        <is>
          <t>12/10/2026</t>
        </is>
      </c>
      <c r="B468" t="inlineStr">
        <is>
          <t>16502463</t>
        </is>
      </c>
      <c r="C468" t="inlineStr">
        <is>
          <t>163140</t>
        </is>
      </c>
      <c r="D468" t="inlineStr">
        <is>
          <t>163140</t>
        </is>
      </c>
      <c r="E468" t="inlineStr">
        <is>
          <t>HALFSIM TIGO</t>
        </is>
      </c>
      <c r="F468" t="n">
        <v>1</v>
      </c>
      <c r="G468" t="n">
        <v>0.69</v>
      </c>
      <c r="H468" t="inlineStr">
        <is>
          <t>0.69</t>
        </is>
      </c>
      <c r="J468" t="inlineStr">
        <is>
          <t>VERA MENESES CARLOS SANTIAGO_VERA MENESES CARLOS SANTIAGO</t>
        </is>
      </c>
      <c r="K468" t="inlineStr">
        <is>
          <t>1711140598001</t>
        </is>
      </c>
      <c r="M468" t="inlineStr">
        <is>
          <t>BTB</t>
        </is>
      </c>
      <c r="N468" t="inlineStr">
        <is>
          <t>CANAL DIRECTO</t>
        </is>
      </c>
    </row>
    <row r="469">
      <c r="A469" t="inlineStr">
        <is>
          <t>12/10/2026</t>
        </is>
      </c>
      <c r="B469" t="inlineStr">
        <is>
          <t>16502963</t>
        </is>
      </c>
      <c r="C469" t="inlineStr">
        <is>
          <t>163140</t>
        </is>
      </c>
      <c r="D469" t="inlineStr">
        <is>
          <t>163140</t>
        </is>
      </c>
      <c r="E469" t="inlineStr">
        <is>
          <t>HALFSIM TIGO</t>
        </is>
      </c>
      <c r="F469" t="n">
        <v>1</v>
      </c>
      <c r="G469" t="n">
        <v>0.69</v>
      </c>
      <c r="H469" t="inlineStr">
        <is>
          <t>0.69</t>
        </is>
      </c>
      <c r="J469" t="inlineStr">
        <is>
          <t>DANIEL HERIBERTO CEDENO RODRIGUEZ_DANIEL HERIBERTO CEDENO RODRIGUEZ</t>
        </is>
      </c>
      <c r="K469" t="inlineStr">
        <is>
          <t>1312647652001</t>
        </is>
      </c>
      <c r="L469" t="inlineStr">
        <is>
          <t>MANTA</t>
        </is>
      </c>
      <c r="M469" t="inlineStr">
        <is>
          <t>BTB</t>
        </is>
      </c>
      <c r="N469" t="inlineStr">
        <is>
          <t>CANAL DIRECTO</t>
        </is>
      </c>
    </row>
    <row r="470">
      <c r="A470" t="inlineStr">
        <is>
          <t>12/10/2026</t>
        </is>
      </c>
      <c r="B470" t="inlineStr">
        <is>
          <t>16503099</t>
        </is>
      </c>
      <c r="C470" t="inlineStr">
        <is>
          <t>163140</t>
        </is>
      </c>
      <c r="D470" t="inlineStr">
        <is>
          <t>163140</t>
        </is>
      </c>
      <c r="E470" t="inlineStr">
        <is>
          <t>HALFSIM TIGO</t>
        </is>
      </c>
      <c r="F470" t="n">
        <v>1</v>
      </c>
      <c r="G470" t="n">
        <v>0.69</v>
      </c>
      <c r="H470" t="inlineStr">
        <is>
          <t>0.69</t>
        </is>
      </c>
      <c r="J470" t="inlineStr">
        <is>
          <t>JORDAN BRIONES_PRODUCTOS INNOVADORES PROALMEX CIA LTDA</t>
        </is>
      </c>
      <c r="K470" t="inlineStr">
        <is>
          <t>0190393712001</t>
        </is>
      </c>
      <c r="M470" t="inlineStr">
        <is>
          <t>BTB</t>
        </is>
      </c>
      <c r="N470" t="inlineStr">
        <is>
          <t>CANAL DIRECTO</t>
        </is>
      </c>
    </row>
    <row r="471">
      <c r="A471" t="inlineStr">
        <is>
          <t>12/10/2026</t>
        </is>
      </c>
      <c r="B471" t="inlineStr">
        <is>
          <t>16503146</t>
        </is>
      </c>
      <c r="C471" t="inlineStr">
        <is>
          <t>163140</t>
        </is>
      </c>
      <c r="D471" t="inlineStr">
        <is>
          <t>163140</t>
        </is>
      </c>
      <c r="E471" t="inlineStr">
        <is>
          <t>HALFSIM TIGO</t>
        </is>
      </c>
      <c r="F471" t="n">
        <v>1</v>
      </c>
      <c r="G471" t="n">
        <v>0.69</v>
      </c>
      <c r="H471" t="inlineStr">
        <is>
          <t>0.69</t>
        </is>
      </c>
      <c r="J471" t="inlineStr">
        <is>
          <t>CHRISTIAN GUZMAN_VIASSEN C A</t>
        </is>
      </c>
      <c r="K471" t="inlineStr">
        <is>
          <t>1792852315001</t>
        </is>
      </c>
      <c r="M471" t="inlineStr">
        <is>
          <t>BTB</t>
        </is>
      </c>
      <c r="N471" t="inlineStr">
        <is>
          <t>CANAL DIRECTO</t>
        </is>
      </c>
    </row>
    <row r="472">
      <c r="A472" t="inlineStr">
        <is>
          <t>12/10/2026</t>
        </is>
      </c>
      <c r="B472" t="inlineStr">
        <is>
          <t>16503177</t>
        </is>
      </c>
      <c r="C472" t="inlineStr">
        <is>
          <t>163140</t>
        </is>
      </c>
      <c r="D472" t="inlineStr">
        <is>
          <t>163140</t>
        </is>
      </c>
      <c r="E472" t="inlineStr">
        <is>
          <t>HALFSIM TIGO</t>
        </is>
      </c>
      <c r="F472" t="n">
        <v>1</v>
      </c>
      <c r="G472" t="n">
        <v>0.69</v>
      </c>
      <c r="H472" t="inlineStr">
        <is>
          <t>0.69</t>
        </is>
      </c>
      <c r="J472" t="inlineStr">
        <is>
          <t>CANAR LIGNA STALIN MARTIN_CANAR LIGNA STALIN MARTIN</t>
        </is>
      </c>
      <c r="K472" t="inlineStr">
        <is>
          <t>1714354493001</t>
        </is>
      </c>
      <c r="M472" t="inlineStr">
        <is>
          <t>BTB</t>
        </is>
      </c>
      <c r="N472" t="inlineStr">
        <is>
          <t>CANAL DIRECTO</t>
        </is>
      </c>
    </row>
    <row r="473">
      <c r="A473" t="inlineStr">
        <is>
          <t>12/10/2026</t>
        </is>
      </c>
      <c r="B473" t="inlineStr">
        <is>
          <t>16503180</t>
        </is>
      </c>
      <c r="C473" t="inlineStr">
        <is>
          <t>163140</t>
        </is>
      </c>
      <c r="D473" t="inlineStr">
        <is>
          <t>163140</t>
        </is>
      </c>
      <c r="E473" t="inlineStr">
        <is>
          <t>HALFSIM TIGO</t>
        </is>
      </c>
      <c r="F473" t="n">
        <v>1</v>
      </c>
      <c r="G473" t="n">
        <v>0.69</v>
      </c>
      <c r="H473" t="inlineStr">
        <is>
          <t>0.69</t>
        </is>
      </c>
      <c r="J473" t="inlineStr">
        <is>
          <t>GABRIELA LLANGARI_PLASTISUR JGMV S A S</t>
        </is>
      </c>
      <c r="K473" t="inlineStr">
        <is>
          <t>1793215057001</t>
        </is>
      </c>
      <c r="M473" t="inlineStr">
        <is>
          <t>BTB</t>
        </is>
      </c>
      <c r="N473" t="inlineStr">
        <is>
          <t>CANAL DIRECTO</t>
        </is>
      </c>
    </row>
    <row r="474">
      <c r="A474" t="inlineStr">
        <is>
          <t>12/10/2026</t>
        </is>
      </c>
      <c r="B474" t="inlineStr">
        <is>
          <t>16503481</t>
        </is>
      </c>
      <c r="C474" t="inlineStr">
        <is>
          <t>163140</t>
        </is>
      </c>
      <c r="D474" t="inlineStr">
        <is>
          <t>163140</t>
        </is>
      </c>
      <c r="E474" t="inlineStr">
        <is>
          <t>HALFSIM TIGO</t>
        </is>
      </c>
      <c r="F474" t="n">
        <v>1</v>
      </c>
      <c r="G474" t="n">
        <v>0.69</v>
      </c>
      <c r="H474" t="inlineStr">
        <is>
          <t>0.69</t>
        </is>
      </c>
      <c r="J474" t="inlineStr">
        <is>
          <t>DIEGO FERNANDO PONCE PEREZ_DIEGO FERNANDO PONCE PEREZ</t>
        </is>
      </c>
      <c r="K474" t="inlineStr">
        <is>
          <t>1712650983001</t>
        </is>
      </c>
      <c r="M474" t="inlineStr">
        <is>
          <t>BTB</t>
        </is>
      </c>
      <c r="N474" t="inlineStr">
        <is>
          <t>CANAL DIRECTO</t>
        </is>
      </c>
    </row>
    <row r="475">
      <c r="A475" t="inlineStr">
        <is>
          <t>12/10/2026</t>
        </is>
      </c>
      <c r="B475" t="inlineStr">
        <is>
          <t>16503508</t>
        </is>
      </c>
      <c r="C475" t="inlineStr">
        <is>
          <t>163140</t>
        </is>
      </c>
      <c r="D475" t="inlineStr">
        <is>
          <t>163140</t>
        </is>
      </c>
      <c r="E475" t="inlineStr">
        <is>
          <t>HALFSIM TIGO</t>
        </is>
      </c>
      <c r="F475" t="n">
        <v>1</v>
      </c>
      <c r="G475" t="n">
        <v>0.69</v>
      </c>
      <c r="H475" t="inlineStr">
        <is>
          <t>0.69</t>
        </is>
      </c>
      <c r="J475" t="inlineStr">
        <is>
          <t>AREVALO TAPIA SONIA PAOLA_AREVALO TAPIA SONIA PAOLA</t>
        </is>
      </c>
      <c r="K475" t="inlineStr">
        <is>
          <t>1714061940001</t>
        </is>
      </c>
      <c r="M475" t="inlineStr">
        <is>
          <t>BTB</t>
        </is>
      </c>
      <c r="N475" t="inlineStr">
        <is>
          <t>CANAL DIRECTO</t>
        </is>
      </c>
    </row>
    <row r="476">
      <c r="A476" t="inlineStr">
        <is>
          <t>12/10/2026</t>
        </is>
      </c>
      <c r="B476" t="inlineStr">
        <is>
          <t>16503529</t>
        </is>
      </c>
      <c r="C476" t="inlineStr">
        <is>
          <t>163140</t>
        </is>
      </c>
      <c r="D476" t="inlineStr">
        <is>
          <t>163140</t>
        </is>
      </c>
      <c r="E476" t="inlineStr">
        <is>
          <t>HALFSIM TIGO</t>
        </is>
      </c>
      <c r="F476" t="n">
        <v>1</v>
      </c>
      <c r="G476" t="n">
        <v>0.69</v>
      </c>
      <c r="H476" t="inlineStr">
        <is>
          <t>0.69</t>
        </is>
      </c>
      <c r="J476" t="inlineStr">
        <is>
          <t>ANDRADE ANDRADE LUIS ARMANDO_ANDRADE ANDRADE LUIS ARMANDO</t>
        </is>
      </c>
      <c r="K476" t="inlineStr">
        <is>
          <t>0301757712001</t>
        </is>
      </c>
      <c r="M476" t="inlineStr">
        <is>
          <t>BTB</t>
        </is>
      </c>
      <c r="N476" t="inlineStr">
        <is>
          <t>CANAL DIRECTO</t>
        </is>
      </c>
    </row>
    <row r="477">
      <c r="A477" t="inlineStr">
        <is>
          <t>12/10/2026</t>
        </is>
      </c>
      <c r="B477" t="inlineStr">
        <is>
          <t>16503538</t>
        </is>
      </c>
      <c r="C477" t="inlineStr">
        <is>
          <t>163140</t>
        </is>
      </c>
      <c r="D477" t="inlineStr">
        <is>
          <t>163140</t>
        </is>
      </c>
      <c r="E477" t="inlineStr">
        <is>
          <t>HALFSIM TIGO</t>
        </is>
      </c>
      <c r="F477" t="n">
        <v>1</v>
      </c>
      <c r="G477" t="n">
        <v>0.69</v>
      </c>
      <c r="H477" t="inlineStr">
        <is>
          <t>0.69</t>
        </is>
      </c>
      <c r="J477" t="inlineStr">
        <is>
          <t>BARRE MUNIZ ERICK JOSUE_BARRE MUNIZ ERICK JOSUE</t>
        </is>
      </c>
      <c r="K477" t="inlineStr">
        <is>
          <t>0950750083001</t>
        </is>
      </c>
      <c r="M477" t="inlineStr">
        <is>
          <t>BTB</t>
        </is>
      </c>
      <c r="N477" t="inlineStr">
        <is>
          <t>CANAL DIRECTO</t>
        </is>
      </c>
    </row>
    <row r="478">
      <c r="A478" t="inlineStr">
        <is>
          <t>12/10/2026</t>
        </is>
      </c>
      <c r="B478" t="inlineStr">
        <is>
          <t>16503541</t>
        </is>
      </c>
      <c r="C478" t="inlineStr">
        <is>
          <t>163140</t>
        </is>
      </c>
      <c r="D478" t="inlineStr">
        <is>
          <t>163140</t>
        </is>
      </c>
      <c r="E478" t="inlineStr">
        <is>
          <t>HALFSIM TIGO</t>
        </is>
      </c>
      <c r="F478" t="n">
        <v>1</v>
      </c>
      <c r="G478" t="n">
        <v>0.69</v>
      </c>
      <c r="H478" t="inlineStr">
        <is>
          <t>0.69</t>
        </is>
      </c>
      <c r="J478" t="inlineStr">
        <is>
          <t>BONE BONE ROVER JOEL_BONE BONE ROVER JOEL</t>
        </is>
      </c>
      <c r="K478" t="inlineStr">
        <is>
          <t>0801049503001</t>
        </is>
      </c>
      <c r="M478" t="inlineStr">
        <is>
          <t>BTB</t>
        </is>
      </c>
      <c r="N478" t="inlineStr">
        <is>
          <t>CANAL DIRECTO</t>
        </is>
      </c>
    </row>
    <row r="479">
      <c r="A479" t="inlineStr">
        <is>
          <t>12/10/2026</t>
        </is>
      </c>
      <c r="B479" t="inlineStr">
        <is>
          <t>16503542</t>
        </is>
      </c>
      <c r="C479" t="inlineStr">
        <is>
          <t>163140</t>
        </is>
      </c>
      <c r="D479" t="inlineStr">
        <is>
          <t>163140</t>
        </is>
      </c>
      <c r="E479" t="inlineStr">
        <is>
          <t>HALFSIM TIGO</t>
        </is>
      </c>
      <c r="F479" t="n">
        <v>1</v>
      </c>
      <c r="G479" t="n">
        <v>0.69</v>
      </c>
      <c r="H479" t="inlineStr">
        <is>
          <t>0.69</t>
        </is>
      </c>
      <c r="J479" t="inlineStr">
        <is>
          <t>FIGUEROA TUMBACO WILMER OMAR_FIGUEROA TUMBACO WILMER OMAR</t>
        </is>
      </c>
      <c r="K479" t="inlineStr">
        <is>
          <t>1003770011001</t>
        </is>
      </c>
      <c r="M479" t="inlineStr">
        <is>
          <t>BTB</t>
        </is>
      </c>
      <c r="N479" t="inlineStr">
        <is>
          <t>CANAL DIRECTO</t>
        </is>
      </c>
    </row>
    <row r="480">
      <c r="A480" t="inlineStr">
        <is>
          <t>12/10/2026</t>
        </is>
      </c>
      <c r="B480" t="inlineStr">
        <is>
          <t>16503543</t>
        </is>
      </c>
      <c r="C480" t="inlineStr">
        <is>
          <t>163140</t>
        </is>
      </c>
      <c r="D480" t="inlineStr">
        <is>
          <t>163140</t>
        </is>
      </c>
      <c r="E480" t="inlineStr">
        <is>
          <t>HALFSIM TIGO</t>
        </is>
      </c>
      <c r="F480" t="n">
        <v>1</v>
      </c>
      <c r="G480" t="n">
        <v>0.69</v>
      </c>
      <c r="H480" t="inlineStr">
        <is>
          <t>0.69</t>
        </is>
      </c>
      <c r="J480" t="inlineStr">
        <is>
          <t>DIAZ MENESES JORGE ANTONIO_DIAZ MENESES JORGE ANTONIO</t>
        </is>
      </c>
      <c r="K480" t="inlineStr">
        <is>
          <t>0916782212001</t>
        </is>
      </c>
      <c r="M480" t="inlineStr">
        <is>
          <t>BTB</t>
        </is>
      </c>
      <c r="N480" t="inlineStr">
        <is>
          <t>CANAL DIRECTO</t>
        </is>
      </c>
    </row>
    <row r="481">
      <c r="A481" t="inlineStr">
        <is>
          <t>12/10/2026</t>
        </is>
      </c>
      <c r="B481" t="inlineStr">
        <is>
          <t>16503598</t>
        </is>
      </c>
      <c r="C481" t="inlineStr">
        <is>
          <t>163140</t>
        </is>
      </c>
      <c r="D481" t="inlineStr">
        <is>
          <t>163140</t>
        </is>
      </c>
      <c r="E481" t="inlineStr">
        <is>
          <t>HALFSIM TIGO</t>
        </is>
      </c>
      <c r="F481" t="n">
        <v>1</v>
      </c>
      <c r="G481" t="n">
        <v>0.69</v>
      </c>
      <c r="H481" t="inlineStr">
        <is>
          <t>0.69</t>
        </is>
      </c>
      <c r="J481" t="inlineStr">
        <is>
          <t>LLORE SOLORZANO JUAN LUIS_LLORE SOLORZANO JUAN LUIS</t>
        </is>
      </c>
      <c r="K481" t="inlineStr">
        <is>
          <t>0702045493001</t>
        </is>
      </c>
      <c r="M481" t="inlineStr">
        <is>
          <t>BTB</t>
        </is>
      </c>
      <c r="N481" t="inlineStr">
        <is>
          <t>CANAL DIRECTO</t>
        </is>
      </c>
    </row>
    <row r="482">
      <c r="A482" t="inlineStr">
        <is>
          <t>12/10/2026</t>
        </is>
      </c>
      <c r="B482" t="inlineStr">
        <is>
          <t>16503605</t>
        </is>
      </c>
      <c r="C482" t="inlineStr">
        <is>
          <t>163140</t>
        </is>
      </c>
      <c r="D482" t="inlineStr">
        <is>
          <t>163140</t>
        </is>
      </c>
      <c r="E482" t="inlineStr">
        <is>
          <t>HALFSIM TIGO</t>
        </is>
      </c>
      <c r="F482" t="n">
        <v>1</v>
      </c>
      <c r="G482" t="n">
        <v>0.69</v>
      </c>
      <c r="H482" t="inlineStr">
        <is>
          <t>0.69</t>
        </is>
      </c>
      <c r="J482" t="inlineStr">
        <is>
          <t>CAJAS MONTALVAN LUIS GIOVANNY_CAJAS MONTALVAN LUIS GIOVANNY</t>
        </is>
      </c>
      <c r="K482" t="inlineStr">
        <is>
          <t>1716889710001</t>
        </is>
      </c>
      <c r="M482" t="inlineStr">
        <is>
          <t>BTB</t>
        </is>
      </c>
      <c r="N482" t="inlineStr">
        <is>
          <t>CANAL DIRECTO</t>
        </is>
      </c>
    </row>
    <row r="483">
      <c r="A483" t="inlineStr">
        <is>
          <t>12/10/2026</t>
        </is>
      </c>
      <c r="B483" t="inlineStr">
        <is>
          <t>16503537</t>
        </is>
      </c>
      <c r="C483" t="inlineStr">
        <is>
          <t>163140</t>
        </is>
      </c>
      <c r="D483" t="inlineStr">
        <is>
          <t>163140</t>
        </is>
      </c>
      <c r="E483" t="inlineStr">
        <is>
          <t>HALFSIM TIGO</t>
        </is>
      </c>
      <c r="F483" t="n">
        <v>1</v>
      </c>
      <c r="G483" t="n">
        <v>0.69</v>
      </c>
      <c r="H483" t="inlineStr">
        <is>
          <t>0.69</t>
        </is>
      </c>
      <c r="J483" t="inlineStr">
        <is>
          <t>LILIANA ARICO_FLEXNET</t>
        </is>
      </c>
      <c r="K483" t="inlineStr">
        <is>
          <t>1791890663001</t>
        </is>
      </c>
      <c r="M483" t="inlineStr">
        <is>
          <t>BTB</t>
        </is>
      </c>
      <c r="N483" t="inlineStr">
        <is>
          <t>CANAL DIRECTO</t>
        </is>
      </c>
    </row>
    <row r="484">
      <c r="A484" t="inlineStr">
        <is>
          <t>12/10/2026</t>
        </is>
      </c>
      <c r="B484" t="inlineStr">
        <is>
          <t>16503544</t>
        </is>
      </c>
      <c r="C484" t="inlineStr">
        <is>
          <t>163140</t>
        </is>
      </c>
      <c r="D484" t="inlineStr">
        <is>
          <t>163140</t>
        </is>
      </c>
      <c r="E484" t="inlineStr">
        <is>
          <t>HALFSIM TIGO</t>
        </is>
      </c>
      <c r="F484" t="n">
        <v>1</v>
      </c>
      <c r="G484" t="n">
        <v>0.69</v>
      </c>
      <c r="H484" t="inlineStr">
        <is>
          <t>0.69</t>
        </is>
      </c>
      <c r="J484" t="inlineStr">
        <is>
          <t>JESSENIA RIVERA_CONTROLPLAGX S A</t>
        </is>
      </c>
      <c r="K484" t="inlineStr">
        <is>
          <t>1792810027001</t>
        </is>
      </c>
      <c r="M484" t="inlineStr">
        <is>
          <t>BTB</t>
        </is>
      </c>
      <c r="N484" t="inlineStr">
        <is>
          <t>CANAL DIRECTO</t>
        </is>
      </c>
    </row>
    <row r="485">
      <c r="A485" t="inlineStr">
        <is>
          <t>12/10/2026</t>
        </is>
      </c>
      <c r="B485" t="inlineStr">
        <is>
          <t>16503546</t>
        </is>
      </c>
      <c r="C485" t="inlineStr">
        <is>
          <t>163140</t>
        </is>
      </c>
      <c r="D485" t="inlineStr">
        <is>
          <t>163140</t>
        </is>
      </c>
      <c r="E485" t="inlineStr">
        <is>
          <t>HALFSIM TIGO</t>
        </is>
      </c>
      <c r="F485" t="n">
        <v>1</v>
      </c>
      <c r="G485" t="n">
        <v>0.69</v>
      </c>
      <c r="H485" t="inlineStr">
        <is>
          <t>0.69</t>
        </is>
      </c>
      <c r="J485" t="inlineStr">
        <is>
          <t>ELIZABETH HIDALGO_ASOCIACION DE EMPLEADOS DE PETROAMAZONAS EP</t>
        </is>
      </c>
      <c r="K485" t="inlineStr">
        <is>
          <t>1792376041001</t>
        </is>
      </c>
      <c r="M485" t="inlineStr">
        <is>
          <t>BTB</t>
        </is>
      </c>
      <c r="N485" t="inlineStr">
        <is>
          <t>CANAL DIRECTO</t>
        </is>
      </c>
    </row>
    <row r="486">
      <c r="A486" t="inlineStr">
        <is>
          <t>12/10/2026</t>
        </is>
      </c>
      <c r="B486" t="inlineStr">
        <is>
          <t>16503548</t>
        </is>
      </c>
      <c r="C486" t="inlineStr">
        <is>
          <t>163140</t>
        </is>
      </c>
      <c r="D486" t="inlineStr">
        <is>
          <t>163140</t>
        </is>
      </c>
      <c r="E486" t="inlineStr">
        <is>
          <t>HALFSIM TIGO</t>
        </is>
      </c>
      <c r="F486" t="n">
        <v>12</v>
      </c>
      <c r="G486" t="n">
        <v>8.2799999999999994</v>
      </c>
      <c r="H486" t="inlineStr">
        <is>
          <t>0.69</t>
        </is>
      </c>
      <c r="J486" t="inlineStr">
        <is>
          <t>ALVARO PENA_EMPAGOURMET CIA LTDA</t>
        </is>
      </c>
      <c r="K486" t="inlineStr">
        <is>
          <t>1792721830001</t>
        </is>
      </c>
      <c r="M486" t="inlineStr">
        <is>
          <t>BTB</t>
        </is>
      </c>
      <c r="N486" t="inlineStr">
        <is>
          <t>CANAL DIRECTO</t>
        </is>
      </c>
    </row>
    <row r="487">
      <c r="A487" t="inlineStr">
        <is>
          <t>12/10/2026</t>
        </is>
      </c>
      <c r="B487" t="inlineStr">
        <is>
          <t>16503560</t>
        </is>
      </c>
      <c r="C487" t="inlineStr">
        <is>
          <t>163140</t>
        </is>
      </c>
      <c r="D487" t="inlineStr">
        <is>
          <t>163140</t>
        </is>
      </c>
      <c r="E487" t="inlineStr">
        <is>
          <t>HALFSIM TIGO</t>
        </is>
      </c>
      <c r="F487" t="n">
        <v>25</v>
      </c>
      <c r="G487" t="n">
        <v>17.25</v>
      </c>
      <c r="H487" t="inlineStr">
        <is>
          <t>0.69</t>
        </is>
      </c>
      <c r="J487" t="inlineStr">
        <is>
          <t>JUAN JACOME_SUNSHINEAT CIA LTDA</t>
        </is>
      </c>
      <c r="K487" t="inlineStr">
        <is>
          <t>1792071801001</t>
        </is>
      </c>
      <c r="M487" t="inlineStr">
        <is>
          <t>BTB</t>
        </is>
      </c>
      <c r="N487" t="inlineStr">
        <is>
          <t>CANAL DIRECTO</t>
        </is>
      </c>
    </row>
    <row r="488">
      <c r="A488" t="inlineStr">
        <is>
          <t>12/10/2026</t>
        </is>
      </c>
      <c r="B488" t="inlineStr">
        <is>
          <t>16503585</t>
        </is>
      </c>
      <c r="C488" t="inlineStr">
        <is>
          <t>163140</t>
        </is>
      </c>
      <c r="D488" t="inlineStr">
        <is>
          <t>163140</t>
        </is>
      </c>
      <c r="E488" t="inlineStr">
        <is>
          <t>HALFSIM TIGO</t>
        </is>
      </c>
      <c r="F488" t="n">
        <v>2</v>
      </c>
      <c r="G488" t="n">
        <v>1.38</v>
      </c>
      <c r="H488" t="inlineStr">
        <is>
          <t>0.69</t>
        </is>
      </c>
      <c r="J488" t="inlineStr">
        <is>
          <t>JULIO BAQUERIZO _BAQUERIZO TAPIA JULIO WLADIMIR</t>
        </is>
      </c>
      <c r="K488" t="inlineStr">
        <is>
          <t>1711731370001</t>
        </is>
      </c>
      <c r="M488" t="inlineStr">
        <is>
          <t>BTB</t>
        </is>
      </c>
      <c r="N488" t="inlineStr">
        <is>
          <t>CANAL DIRECTO</t>
        </is>
      </c>
    </row>
    <row r="489">
      <c r="A489" t="inlineStr">
        <is>
          <t>12/10/2026</t>
        </is>
      </c>
      <c r="B489" t="inlineStr">
        <is>
          <t>16503585</t>
        </is>
      </c>
      <c r="C489" t="inlineStr">
        <is>
          <t>163141</t>
        </is>
      </c>
      <c r="D489" t="inlineStr">
        <is>
          <t>163141</t>
        </is>
      </c>
      <c r="E489" t="inlineStr">
        <is>
          <t>ESIM TIGO DIGITAL</t>
        </is>
      </c>
      <c r="F489" t="n">
        <v>0</v>
      </c>
      <c r="G489" t="n">
        <v>0</v>
      </c>
      <c r="H489" t="inlineStr">
        <is>
          <t>0.21</t>
        </is>
      </c>
      <c r="J489" t="inlineStr">
        <is>
          <t>JULIO BAQUERIZO _BAQUERIZO TAPIA JULIO WLADIMIR</t>
        </is>
      </c>
      <c r="K489" t="inlineStr">
        <is>
          <t>1711731370001</t>
        </is>
      </c>
      <c r="M489" t="inlineStr">
        <is>
          <t>BTB</t>
        </is>
      </c>
      <c r="N489" t="inlineStr">
        <is>
          <t>CANAL DIRECTO</t>
        </is>
      </c>
    </row>
    <row r="490">
      <c r="A490" t="inlineStr">
        <is>
          <t>12/10/2026</t>
        </is>
      </c>
      <c r="B490" t="inlineStr">
        <is>
          <t>16503589</t>
        </is>
      </c>
      <c r="C490" t="inlineStr">
        <is>
          <t>163140</t>
        </is>
      </c>
      <c r="D490" t="inlineStr">
        <is>
          <t>163140</t>
        </is>
      </c>
      <c r="E490" t="inlineStr">
        <is>
          <t>HALFSIM TIGO</t>
        </is>
      </c>
      <c r="F490" t="n">
        <v>2</v>
      </c>
      <c r="G490" t="n">
        <v>1.38</v>
      </c>
      <c r="H490" t="inlineStr">
        <is>
          <t>0.69</t>
        </is>
      </c>
      <c r="J490" t="inlineStr">
        <is>
          <t>OSCAR BOLANOS_OSCAR AUDELO RAMIREZ BOLANOS</t>
        </is>
      </c>
      <c r="K490" t="inlineStr">
        <is>
          <t>1714939509001</t>
        </is>
      </c>
      <c r="M490" t="inlineStr">
        <is>
          <t>BTB</t>
        </is>
      </c>
      <c r="N490" t="inlineStr">
        <is>
          <t>CANAL DIRECTO</t>
        </is>
      </c>
    </row>
    <row r="491">
      <c r="A491" t="inlineStr">
        <is>
          <t>12/10/2026</t>
        </is>
      </c>
      <c r="B491" t="inlineStr">
        <is>
          <t>16503589</t>
        </is>
      </c>
      <c r="C491" t="inlineStr">
        <is>
          <t>163141</t>
        </is>
      </c>
      <c r="D491" t="inlineStr">
        <is>
          <t>163141</t>
        </is>
      </c>
      <c r="E491" t="inlineStr">
        <is>
          <t>ESIM TIGO DIGITAL</t>
        </is>
      </c>
      <c r="F491" t="n">
        <v>0</v>
      </c>
      <c r="G491" t="n">
        <v>0</v>
      </c>
      <c r="H491" t="inlineStr">
        <is>
          <t>0.21</t>
        </is>
      </c>
      <c r="J491" t="inlineStr">
        <is>
          <t>OSCAR BOLANOS_OSCAR AUDELO RAMIREZ BOLANOS</t>
        </is>
      </c>
      <c r="K491" t="inlineStr">
        <is>
          <t>1714939509001</t>
        </is>
      </c>
      <c r="M491" t="inlineStr">
        <is>
          <t>BTB</t>
        </is>
      </c>
      <c r="N491" t="inlineStr">
        <is>
          <t>CANAL DIRECTO</t>
        </is>
      </c>
    </row>
    <row r="492">
      <c r="A492" t="inlineStr">
        <is>
          <t>12/10/2026</t>
        </is>
      </c>
      <c r="B492" t="inlineStr">
        <is>
          <t>16503596</t>
        </is>
      </c>
      <c r="C492" t="inlineStr">
        <is>
          <t>163140</t>
        </is>
      </c>
      <c r="D492" t="inlineStr">
        <is>
          <t>163140</t>
        </is>
      </c>
      <c r="E492" t="inlineStr">
        <is>
          <t>HALFSIM TIGO</t>
        </is>
      </c>
      <c r="F492" t="n">
        <v>1</v>
      </c>
      <c r="G492" t="n">
        <v>0.69</v>
      </c>
      <c r="H492" t="inlineStr">
        <is>
          <t>0.69</t>
        </is>
      </c>
      <c r="J492" t="inlineStr">
        <is>
          <t>WENDY PILAPEAXI_PROFAFOR LATINOAMERICA S A</t>
        </is>
      </c>
      <c r="K492" t="inlineStr">
        <is>
          <t>1791251849001</t>
        </is>
      </c>
      <c r="M492" t="inlineStr">
        <is>
          <t>BTB</t>
        </is>
      </c>
      <c r="N492" t="inlineStr">
        <is>
          <t>CANAL DIRECTO</t>
        </is>
      </c>
    </row>
    <row r="493">
      <c r="A493" t="inlineStr">
        <is>
          <t>12/10/2026</t>
        </is>
      </c>
      <c r="B493" t="inlineStr">
        <is>
          <t>16503597</t>
        </is>
      </c>
      <c r="C493" t="inlineStr">
        <is>
          <t>163140</t>
        </is>
      </c>
      <c r="D493" t="inlineStr">
        <is>
          <t>163140</t>
        </is>
      </c>
      <c r="E493" t="inlineStr">
        <is>
          <t>HALFSIM TIGO</t>
        </is>
      </c>
      <c r="F493" t="n">
        <v>1</v>
      </c>
      <c r="G493" t="n">
        <v>0.69</v>
      </c>
      <c r="H493" t="inlineStr">
        <is>
          <t>0.69</t>
        </is>
      </c>
      <c r="J493" t="inlineStr">
        <is>
          <t>CELI TERAN VIVIANA CUMANDA_CELI TERAN VIVIANA CUMANDA</t>
        </is>
      </c>
      <c r="K493" t="inlineStr">
        <is>
          <t>1001549508001</t>
        </is>
      </c>
      <c r="M493" t="inlineStr">
        <is>
          <t>BTB</t>
        </is>
      </c>
      <c r="N493" t="inlineStr">
        <is>
          <t>CANAL DIRECTO</t>
        </is>
      </c>
    </row>
    <row r="494">
      <c r="A494" t="inlineStr">
        <is>
          <t>12/10/2026</t>
        </is>
      </c>
      <c r="B494" t="inlineStr">
        <is>
          <t>16503601</t>
        </is>
      </c>
      <c r="C494" t="inlineStr">
        <is>
          <t>163140</t>
        </is>
      </c>
      <c r="D494" t="inlineStr">
        <is>
          <t>163140</t>
        </is>
      </c>
      <c r="E494" t="inlineStr">
        <is>
          <t>HALFSIM TIGO</t>
        </is>
      </c>
      <c r="F494" t="n">
        <v>1</v>
      </c>
      <c r="G494" t="n">
        <v>0.69</v>
      </c>
      <c r="H494" t="inlineStr">
        <is>
          <t>0.69</t>
        </is>
      </c>
      <c r="J494" t="inlineStr">
        <is>
          <t>VANESSA CHICAIZA_EL CONTACTOR EC S A S</t>
        </is>
      </c>
      <c r="K494" t="inlineStr">
        <is>
          <t>0591762705001</t>
        </is>
      </c>
      <c r="M494" t="inlineStr">
        <is>
          <t>BTB</t>
        </is>
      </c>
      <c r="N494" t="inlineStr">
        <is>
          <t>CANAL DIRECTO</t>
        </is>
      </c>
    </row>
    <row r="495">
      <c r="A495" t="inlineStr">
        <is>
          <t>12/10/2026</t>
        </is>
      </c>
      <c r="B495" t="inlineStr">
        <is>
          <t>16503610</t>
        </is>
      </c>
      <c r="C495" t="inlineStr">
        <is>
          <t>163140</t>
        </is>
      </c>
      <c r="D495" t="inlineStr">
        <is>
          <t>163140</t>
        </is>
      </c>
      <c r="E495" t="inlineStr">
        <is>
          <t>HALFSIM TIGO</t>
        </is>
      </c>
      <c r="F495" t="n">
        <v>1</v>
      </c>
      <c r="G495" t="n">
        <v>0.69</v>
      </c>
      <c r="H495" t="inlineStr">
        <is>
          <t>0.69</t>
        </is>
      </c>
      <c r="J495" t="inlineStr">
        <is>
          <t>ROGER ORLANDO LEMUS VERA_ROGER LEMUS</t>
        </is>
      </c>
      <c r="K495" t="inlineStr">
        <is>
          <t>0993389178001</t>
        </is>
      </c>
      <c r="M495" t="inlineStr">
        <is>
          <t>BTB</t>
        </is>
      </c>
      <c r="N495" t="inlineStr">
        <is>
          <t>CANAL DIRECTO</t>
        </is>
      </c>
    </row>
    <row r="496">
      <c r="A496" t="inlineStr">
        <is>
          <t>12/10/2026</t>
        </is>
      </c>
      <c r="B496" t="inlineStr">
        <is>
          <t>16503611</t>
        </is>
      </c>
      <c r="C496" t="inlineStr">
        <is>
          <t>163140</t>
        </is>
      </c>
      <c r="D496" t="inlineStr">
        <is>
          <t>163140</t>
        </is>
      </c>
      <c r="E496" t="inlineStr">
        <is>
          <t>HALFSIM TIGO</t>
        </is>
      </c>
      <c r="F496" t="n">
        <v>25</v>
      </c>
      <c r="G496" t="n">
        <v>17.25</v>
      </c>
      <c r="H496" t="inlineStr">
        <is>
          <t>0.69</t>
        </is>
      </c>
      <c r="J496" t="inlineStr">
        <is>
          <t>DANNY PUENTE_MEDICAMENTA ECUATORIANA S A</t>
        </is>
      </c>
      <c r="K496" t="inlineStr">
        <is>
          <t>1790775941001</t>
        </is>
      </c>
      <c r="M496" t="inlineStr">
        <is>
          <t>BTB</t>
        </is>
      </c>
      <c r="N496" t="inlineStr">
        <is>
          <t>CANAL DIRECTO</t>
        </is>
      </c>
    </row>
    <row r="497">
      <c r="A497" t="inlineStr">
        <is>
          <t>12/10/2026</t>
        </is>
      </c>
      <c r="B497" t="inlineStr">
        <is>
          <t>16503650</t>
        </is>
      </c>
      <c r="C497" t="inlineStr">
        <is>
          <t>163140</t>
        </is>
      </c>
      <c r="D497" t="inlineStr">
        <is>
          <t>163140</t>
        </is>
      </c>
      <c r="E497" t="inlineStr">
        <is>
          <t>HALFSIM TIGO</t>
        </is>
      </c>
      <c r="F497" t="n">
        <v>2</v>
      </c>
      <c r="G497" t="n">
        <v>1.38</v>
      </c>
      <c r="H497" t="inlineStr">
        <is>
          <t>0.69</t>
        </is>
      </c>
      <c r="J497" t="inlineStr">
        <is>
          <t>LUCIA ALVEAR_ALMACENES JUAN ELJURI CIA LTDA</t>
        </is>
      </c>
      <c r="K497" t="inlineStr">
        <is>
          <t>0190007510001</t>
        </is>
      </c>
      <c r="M497" t="inlineStr">
        <is>
          <t>BTB</t>
        </is>
      </c>
      <c r="N497" t="inlineStr">
        <is>
          <t>CANAL DIRECTO</t>
        </is>
      </c>
    </row>
    <row r="498">
      <c r="A498" t="inlineStr">
        <is>
          <t>12/10/2026</t>
        </is>
      </c>
      <c r="B498" t="inlineStr">
        <is>
          <t>16503654</t>
        </is>
      </c>
      <c r="C498" t="inlineStr">
        <is>
          <t>163140</t>
        </is>
      </c>
      <c r="D498" t="inlineStr">
        <is>
          <t>163140</t>
        </is>
      </c>
      <c r="E498" t="inlineStr">
        <is>
          <t>HALFSIM TIGO</t>
        </is>
      </c>
      <c r="F498" t="n">
        <v>2</v>
      </c>
      <c r="G498" t="n">
        <v>1.38</v>
      </c>
      <c r="H498" t="inlineStr">
        <is>
          <t>0.69</t>
        </is>
      </c>
      <c r="J498" t="inlineStr">
        <is>
          <t>ROSERO VENEGAS MONICA MARICELA_ROSERO VENEGAS MONICA MARICELA</t>
        </is>
      </c>
      <c r="K498" t="inlineStr">
        <is>
          <t>1710934363001</t>
        </is>
      </c>
      <c r="M498" t="inlineStr">
        <is>
          <t>BTB</t>
        </is>
      </c>
      <c r="N498" t="inlineStr">
        <is>
          <t>CANAL DIRECTO</t>
        </is>
      </c>
    </row>
    <row r="499">
      <c r="A499" t="inlineStr">
        <is>
          <t>12/10/2026</t>
        </is>
      </c>
      <c r="B499" t="inlineStr">
        <is>
          <t>16503672</t>
        </is>
      </c>
      <c r="C499" t="inlineStr">
        <is>
          <t>163140</t>
        </is>
      </c>
      <c r="D499" t="inlineStr">
        <is>
          <t>163140</t>
        </is>
      </c>
      <c r="E499" t="inlineStr">
        <is>
          <t>HALFSIM TIGO</t>
        </is>
      </c>
      <c r="F499" t="n">
        <v>1</v>
      </c>
      <c r="G499" t="n">
        <v>0.69</v>
      </c>
      <c r="H499" t="inlineStr">
        <is>
          <t>0.69</t>
        </is>
      </c>
      <c r="J499" t="inlineStr">
        <is>
          <t>HARO HARO LUIS FERNANDO_HARO HARO LUIS FERNANDO</t>
        </is>
      </c>
      <c r="K499" t="inlineStr">
        <is>
          <t>1002670477001</t>
        </is>
      </c>
      <c r="M499" t="inlineStr">
        <is>
          <t>BTB</t>
        </is>
      </c>
      <c r="N499" t="inlineStr">
        <is>
          <t>CANAL DIRECTO</t>
        </is>
      </c>
    </row>
    <row r="500">
      <c r="A500" t="inlineStr">
        <is>
          <t>12/10/2026</t>
        </is>
      </c>
      <c r="B500" t="inlineStr">
        <is>
          <t>16503673</t>
        </is>
      </c>
      <c r="C500" t="inlineStr">
        <is>
          <t>163140</t>
        </is>
      </c>
      <c r="D500" t="inlineStr">
        <is>
          <t>163140</t>
        </is>
      </c>
      <c r="E500" t="inlineStr">
        <is>
          <t>HALFSIM TIGO</t>
        </is>
      </c>
      <c r="F500" t="n">
        <v>2</v>
      </c>
      <c r="G500" t="n">
        <v>1.38</v>
      </c>
      <c r="H500" t="inlineStr">
        <is>
          <t>0.69</t>
        </is>
      </c>
      <c r="J500" t="inlineStr">
        <is>
          <t>ERICKA MORA_ IGLESIA UNIVERSAL DEL REINO DE DIOS</t>
        </is>
      </c>
      <c r="K500" t="inlineStr">
        <is>
          <t>1791293266001</t>
        </is>
      </c>
      <c r="M500" t="inlineStr">
        <is>
          <t>BTB</t>
        </is>
      </c>
      <c r="N500" t="inlineStr">
        <is>
          <t>CANAL DIRECTO</t>
        </is>
      </c>
    </row>
    <row r="501">
      <c r="A501" t="inlineStr">
        <is>
          <t>12/10/2026</t>
        </is>
      </c>
      <c r="B501" t="inlineStr">
        <is>
          <t>16503677</t>
        </is>
      </c>
      <c r="C501" t="inlineStr">
        <is>
          <t>163140</t>
        </is>
      </c>
      <c r="D501" t="inlineStr">
        <is>
          <t>163140</t>
        </is>
      </c>
      <c r="E501" t="inlineStr">
        <is>
          <t>HALFSIM TIGO</t>
        </is>
      </c>
      <c r="F501" t="n">
        <v>1</v>
      </c>
      <c r="G501" t="n">
        <v>0.69</v>
      </c>
      <c r="H501" t="inlineStr">
        <is>
          <t>0.69</t>
        </is>
      </c>
      <c r="J501" t="inlineStr">
        <is>
          <t>JORGE NUNEZ_KEELGAS CIA LTDA</t>
        </is>
      </c>
      <c r="K501" t="inlineStr">
        <is>
          <t>1792256127001</t>
        </is>
      </c>
      <c r="M501" t="inlineStr">
        <is>
          <t>BTB</t>
        </is>
      </c>
      <c r="N501" t="inlineStr">
        <is>
          <t>CANAL DIRECTO</t>
        </is>
      </c>
    </row>
    <row r="502">
      <c r="A502" t="inlineStr">
        <is>
          <t>12/10/2026</t>
        </is>
      </c>
      <c r="B502" t="inlineStr">
        <is>
          <t>16503683</t>
        </is>
      </c>
      <c r="C502" t="inlineStr">
        <is>
          <t>163140</t>
        </is>
      </c>
      <c r="D502" t="inlineStr">
        <is>
          <t>163140</t>
        </is>
      </c>
      <c r="E502" t="inlineStr">
        <is>
          <t>HALFSIM TIGO</t>
        </is>
      </c>
      <c r="F502" t="n">
        <v>1</v>
      </c>
      <c r="G502" t="n">
        <v>0.69</v>
      </c>
      <c r="H502" t="inlineStr">
        <is>
          <t>0.69</t>
        </is>
      </c>
      <c r="J502" t="inlineStr">
        <is>
          <t>MERA VALENCIA GEOVANNY NOVALDO_MERA VALENCIA GEOVANNY NOVALDO</t>
        </is>
      </c>
      <c r="K502" t="inlineStr">
        <is>
          <t>1307347086001</t>
        </is>
      </c>
      <c r="M502" t="inlineStr">
        <is>
          <t>BTB</t>
        </is>
      </c>
      <c r="N502" t="inlineStr">
        <is>
          <t>CANAL DIRECTO</t>
        </is>
      </c>
    </row>
    <row r="503">
      <c r="A503" t="inlineStr">
        <is>
          <t>12/10/2026</t>
        </is>
      </c>
      <c r="B503" t="inlineStr">
        <is>
          <t>16503686</t>
        </is>
      </c>
      <c r="C503" t="inlineStr">
        <is>
          <t>163140</t>
        </is>
      </c>
      <c r="D503" t="inlineStr">
        <is>
          <t>163140</t>
        </is>
      </c>
      <c r="E503" t="inlineStr">
        <is>
          <t>HALFSIM TIGO</t>
        </is>
      </c>
      <c r="F503" t="n">
        <v>1</v>
      </c>
      <c r="G503" t="n">
        <v>0.69</v>
      </c>
      <c r="H503" t="inlineStr">
        <is>
          <t>0.69</t>
        </is>
      </c>
      <c r="J503" t="inlineStr">
        <is>
          <t>ANDREA MAYORGA _MOTOSMTM Y SERVICIOS S A</t>
        </is>
      </c>
      <c r="K503" t="inlineStr">
        <is>
          <t>1792375355001</t>
        </is>
      </c>
      <c r="M503" t="inlineStr">
        <is>
          <t>BTB</t>
        </is>
      </c>
      <c r="N503" t="inlineStr">
        <is>
          <t>CANAL DIRECTO</t>
        </is>
      </c>
    </row>
    <row r="504">
      <c r="A504" t="inlineStr">
        <is>
          <t>12/10/2026</t>
        </is>
      </c>
      <c r="B504" t="inlineStr">
        <is>
          <t>16503688</t>
        </is>
      </c>
      <c r="C504" t="inlineStr">
        <is>
          <t>163140</t>
        </is>
      </c>
      <c r="D504" t="inlineStr">
        <is>
          <t>163140</t>
        </is>
      </c>
      <c r="E504" t="inlineStr">
        <is>
          <t>HALFSIM TIGO</t>
        </is>
      </c>
      <c r="F504" t="n">
        <v>1</v>
      </c>
      <c r="G504" t="n">
        <v>0.69</v>
      </c>
      <c r="H504" t="inlineStr">
        <is>
          <t>0.69</t>
        </is>
      </c>
      <c r="J504" t="inlineStr">
        <is>
          <t>CHRISTIAN STIVEN AGREDA PRIETO_ASOCIACION NACIONAL DE SERVIDORES PUBLICOS DE LA CONTRALORIA</t>
        </is>
      </c>
      <c r="K504" t="inlineStr">
        <is>
          <t>1791294467001</t>
        </is>
      </c>
      <c r="M504" t="inlineStr">
        <is>
          <t>BTB</t>
        </is>
      </c>
      <c r="N504" t="inlineStr">
        <is>
          <t>CANAL DIRECTO</t>
        </is>
      </c>
    </row>
    <row r="505">
      <c r="A505" t="inlineStr">
        <is>
          <t>12/10/2026</t>
        </is>
      </c>
      <c r="B505" t="inlineStr">
        <is>
          <t>16503689</t>
        </is>
      </c>
      <c r="C505" t="inlineStr">
        <is>
          <t>163140</t>
        </is>
      </c>
      <c r="D505" t="inlineStr">
        <is>
          <t>163140</t>
        </is>
      </c>
      <c r="E505" t="inlineStr">
        <is>
          <t>HALFSIM TIGO</t>
        </is>
      </c>
      <c r="F505" t="n">
        <v>1</v>
      </c>
      <c r="G505" t="n">
        <v>0.69</v>
      </c>
      <c r="H505" t="inlineStr">
        <is>
          <t>0.69</t>
        </is>
      </c>
      <c r="J505" t="inlineStr">
        <is>
          <t>PAMELA OLIVA_SERVICIOS DE ALIMENTACION INDUSTRIAL CATEREXPRESS</t>
        </is>
      </c>
      <c r="K505" t="inlineStr">
        <is>
          <t>1791435249001</t>
        </is>
      </c>
      <c r="M505" t="inlineStr">
        <is>
          <t>BTB</t>
        </is>
      </c>
      <c r="N505" t="inlineStr">
        <is>
          <t>CANAL DIRECTO</t>
        </is>
      </c>
    </row>
    <row r="506">
      <c r="A506" t="inlineStr">
        <is>
          <t>12/10/2026</t>
        </is>
      </c>
      <c r="B506" t="inlineStr">
        <is>
          <t>2026-08245</t>
        </is>
      </c>
      <c r="C506" t="inlineStr">
        <is>
          <t>163140_02</t>
        </is>
      </c>
      <c r="D506" t="inlineStr">
        <is>
          <t>163140</t>
        </is>
      </c>
      <c r="E506" t="inlineStr">
        <is>
          <t>HALFSIM TIGO CHIP PREPAGO $3 WP NUMERADO</t>
        </is>
      </c>
      <c r="F506" t="n">
        <v>9600</v>
      </c>
      <c r="G506" t="n">
        <v>6623.9999999999991</v>
      </c>
      <c r="H506" t="inlineStr">
        <is>
          <t>0.69</t>
        </is>
      </c>
      <c r="J506" t="inlineStr">
        <is>
          <t>BLUE CHIP PDA_PAOLA MARICELA MORAN</t>
        </is>
      </c>
      <c r="K506" t="inlineStr">
        <is>
          <t>1703799922</t>
        </is>
      </c>
      <c r="M506" t="inlineStr">
        <is>
          <t>INDIRECTO</t>
        </is>
      </c>
      <c r="N506" t="inlineStr">
        <is>
          <t>CANAL INDIRECTO</t>
        </is>
      </c>
    </row>
    <row r="507">
      <c r="A507" t="inlineStr">
        <is>
          <t>12/10/2026</t>
        </is>
      </c>
      <c r="B507" t="inlineStr">
        <is>
          <t>2026-08246</t>
        </is>
      </c>
      <c r="C507" t="inlineStr">
        <is>
          <t>163140_02</t>
        </is>
      </c>
      <c r="D507" t="inlineStr">
        <is>
          <t>163140</t>
        </is>
      </c>
      <c r="E507" t="inlineStr">
        <is>
          <t>HALFSIM TIGO CHIP PREPAGO $3 WP NUMERADO</t>
        </is>
      </c>
      <c r="F507" t="n">
        <v>2000</v>
      </c>
      <c r="G507" t="n">
        <v>1380</v>
      </c>
      <c r="H507" t="inlineStr">
        <is>
          <t>0.69</t>
        </is>
      </c>
      <c r="J507" t="inlineStr">
        <is>
          <t>NORPHONE ZONIFICACION IMBABURA _LOURDES BRAVO</t>
        </is>
      </c>
      <c r="K507" t="inlineStr">
        <is>
          <t>1091717898001</t>
        </is>
      </c>
      <c r="M507" t="inlineStr">
        <is>
          <t>INDIRECTO</t>
        </is>
      </c>
      <c r="N507" t="inlineStr">
        <is>
          <t>CANAL INDIRECTO</t>
        </is>
      </c>
    </row>
    <row r="508">
      <c r="A508" t="inlineStr">
        <is>
          <t>12/10/2026</t>
        </is>
      </c>
      <c r="B508" t="inlineStr">
        <is>
          <t>2026-08247</t>
        </is>
      </c>
      <c r="C508" t="inlineStr">
        <is>
          <t>163140_02</t>
        </is>
      </c>
      <c r="D508" t="inlineStr">
        <is>
          <t>163140</t>
        </is>
      </c>
      <c r="E508" t="inlineStr">
        <is>
          <t>HALFSIM TIGO CHIP PREPAGO $3 WP NUMERADO</t>
        </is>
      </c>
      <c r="F508" t="n">
        <v>1200</v>
      </c>
      <c r="G508" t="n">
        <v>827.99999999999989</v>
      </c>
      <c r="H508" t="inlineStr">
        <is>
          <t>0.69</t>
        </is>
      </c>
      <c r="J508" t="inlineStr">
        <is>
          <t>NORPHONE IMBABURA PDA_IVAN ROMERO</t>
        </is>
      </c>
      <c r="K508" t="inlineStr">
        <is>
          <t>1703799922</t>
        </is>
      </c>
      <c r="M508" t="inlineStr">
        <is>
          <t>INDIRECTO</t>
        </is>
      </c>
      <c r="N508" t="inlineStr">
        <is>
          <t>CANAL INDIRECTO</t>
        </is>
      </c>
    </row>
    <row r="509">
      <c r="A509" t="inlineStr">
        <is>
          <t>12/10/2026</t>
        </is>
      </c>
      <c r="B509" t="inlineStr">
        <is>
          <t>2026-08248</t>
        </is>
      </c>
      <c r="C509" t="inlineStr">
        <is>
          <t>163140_02</t>
        </is>
      </c>
      <c r="D509" t="inlineStr">
        <is>
          <t>163140</t>
        </is>
      </c>
      <c r="E509" t="inlineStr">
        <is>
          <t>HALFSIM TIGO CHIP PREPAGO $3 WP NUMERADO</t>
        </is>
      </c>
      <c r="F509" t="n">
        <v>6000</v>
      </c>
      <c r="G509" t="n">
        <v>4140</v>
      </c>
      <c r="H509" t="inlineStr">
        <is>
          <t>0.69</t>
        </is>
      </c>
      <c r="J509" t="inlineStr">
        <is>
          <t>BLUECHIP ZONIFICACION GUAYAS_SILVIA ALVAREZ / PAOLA MORAN</t>
        </is>
      </c>
      <c r="K509" t="inlineStr">
        <is>
          <t>0927781807</t>
        </is>
      </c>
      <c r="M509" t="inlineStr">
        <is>
          <t>INDIRECTO</t>
        </is>
      </c>
      <c r="N509" t="inlineStr">
        <is>
          <t>CANAL INDIRECTO</t>
        </is>
      </c>
    </row>
    <row r="510">
      <c r="A510" t="inlineStr">
        <is>
          <t>12/10/2026</t>
        </is>
      </c>
      <c r="B510" t="inlineStr">
        <is>
          <t>2026-08249</t>
        </is>
      </c>
      <c r="C510" t="inlineStr">
        <is>
          <t>163140_02</t>
        </is>
      </c>
      <c r="D510" t="inlineStr">
        <is>
          <t>163140</t>
        </is>
      </c>
      <c r="E510" t="inlineStr">
        <is>
          <t>HALFSIM TIGO CHIP PREPAGO $3 WP NUMERADO</t>
        </is>
      </c>
      <c r="F510" t="n">
        <v>600</v>
      </c>
      <c r="G510" t="n">
        <v>413.99999999999994</v>
      </c>
      <c r="H510" t="inlineStr">
        <is>
          <t>0.69</t>
        </is>
      </c>
      <c r="J510" t="inlineStr">
        <is>
          <t>NORPHONE CARCHI PDA_IVAN ROMERO</t>
        </is>
      </c>
      <c r="K510" t="inlineStr">
        <is>
          <t>1703799922</t>
        </is>
      </c>
      <c r="M510" t="inlineStr">
        <is>
          <t>INDIRECTO</t>
        </is>
      </c>
      <c r="N510" t="inlineStr">
        <is>
          <t>CANAL INDIRECTO</t>
        </is>
      </c>
    </row>
    <row r="511">
      <c r="A511" t="inlineStr">
        <is>
          <t>12/10/2026</t>
        </is>
      </c>
      <c r="B511" t="inlineStr">
        <is>
          <t>2026-08250</t>
        </is>
      </c>
      <c r="C511" t="inlineStr">
        <is>
          <t>163140_02</t>
        </is>
      </c>
      <c r="D511" t="inlineStr">
        <is>
          <t>163140</t>
        </is>
      </c>
      <c r="E511" t="inlineStr">
        <is>
          <t>HALFSIM TIGO CHIP PREPAGO $3 WP NUMERADO</t>
        </is>
      </c>
      <c r="F511" t="n">
        <v>600</v>
      </c>
      <c r="G511" t="n">
        <v>413.99999999999994</v>
      </c>
      <c r="H511" t="inlineStr">
        <is>
          <t>0.69</t>
        </is>
      </c>
      <c r="J511" t="inlineStr">
        <is>
          <t>BLUECHIP ZONIFICACION SANTA ELENA_SILVIA ALVAREZ / PAOLA MORAN</t>
        </is>
      </c>
      <c r="K511" t="inlineStr">
        <is>
          <t>0927781807</t>
        </is>
      </c>
      <c r="M511" t="inlineStr">
        <is>
          <t>INDIRECTO</t>
        </is>
      </c>
      <c r="N511" t="inlineStr">
        <is>
          <t>CANAL INDIRECTO</t>
        </is>
      </c>
    </row>
    <row r="512">
      <c r="A512" t="inlineStr">
        <is>
          <t>12/10/2026</t>
        </is>
      </c>
      <c r="B512" t="inlineStr">
        <is>
          <t>2026-08251</t>
        </is>
      </c>
      <c r="C512" t="inlineStr">
        <is>
          <t>163140_02</t>
        </is>
      </c>
      <c r="D512" t="inlineStr">
        <is>
          <t>163140</t>
        </is>
      </c>
      <c r="E512" t="inlineStr">
        <is>
          <t>HALFSIM TIGO CHIP PREPAGO $3 WP NUMERADO</t>
        </is>
      </c>
      <c r="F512" t="n">
        <v>1200</v>
      </c>
      <c r="G512" t="n">
        <v>827.99999999999989</v>
      </c>
      <c r="H512" t="inlineStr">
        <is>
          <t>0.69</t>
        </is>
      </c>
      <c r="J512" t="inlineStr">
        <is>
          <t>BLUECHIP ZONIFICACION LOS RIOS_SILVIA ALVAREZ / PAOLA MORAN</t>
        </is>
      </c>
      <c r="K512" t="inlineStr">
        <is>
          <t>0927781807</t>
        </is>
      </c>
      <c r="M512" t="inlineStr">
        <is>
          <t>INDIRECTO</t>
        </is>
      </c>
      <c r="N512" t="inlineStr">
        <is>
          <t>CANAL INDIRECTO</t>
        </is>
      </c>
    </row>
    <row r="513">
      <c r="A513" t="inlineStr">
        <is>
          <t>12/10/2026</t>
        </is>
      </c>
      <c r="B513" t="inlineStr">
        <is>
          <t>2026-08252</t>
        </is>
      </c>
      <c r="C513" t="inlineStr">
        <is>
          <t>163140_02</t>
        </is>
      </c>
      <c r="D513" t="inlineStr">
        <is>
          <t>163140</t>
        </is>
      </c>
      <c r="E513" t="inlineStr">
        <is>
          <t>HALFSIM TIGO CHIP PREPAGO $3 WP NUMERADO</t>
        </is>
      </c>
      <c r="F513" t="n">
        <v>8000</v>
      </c>
      <c r="G513" t="n">
        <v>5520</v>
      </c>
      <c r="H513" t="inlineStr">
        <is>
          <t>0.69</t>
        </is>
      </c>
      <c r="J513" t="inlineStr">
        <is>
          <t>NORPHONE ZONIFICACION PICHINCHA _FERNANDO BONILLA</t>
        </is>
      </c>
      <c r="K513" t="inlineStr">
        <is>
          <t>1091717898001</t>
        </is>
      </c>
      <c r="M513" t="inlineStr">
        <is>
          <t>INDIRECTO</t>
        </is>
      </c>
      <c r="N513" t="inlineStr">
        <is>
          <t>CANAL INDIRECTO</t>
        </is>
      </c>
    </row>
    <row r="514">
      <c r="A514" t="inlineStr">
        <is>
          <t>12/10/2026</t>
        </is>
      </c>
      <c r="B514" t="inlineStr">
        <is>
          <t>2026-08253</t>
        </is>
      </c>
      <c r="C514" t="inlineStr">
        <is>
          <t>163140_02</t>
        </is>
      </c>
      <c r="D514" t="inlineStr">
        <is>
          <t>163140</t>
        </is>
      </c>
      <c r="E514" t="inlineStr">
        <is>
          <t>HALFSIM TIGO CHIP PREPAGO $3 WP NUMERADO</t>
        </is>
      </c>
      <c r="F514" t="n">
        <v>2000</v>
      </c>
      <c r="G514" t="n">
        <v>1380</v>
      </c>
      <c r="H514" t="inlineStr">
        <is>
          <t>0.69</t>
        </is>
      </c>
      <c r="J514" t="inlineStr">
        <is>
          <t>NORPHONE ZONIFICACION CARCHI 2_CARLOS JOSE CAMPOVERDE BERRU</t>
        </is>
      </c>
      <c r="K514" t="inlineStr">
        <is>
          <t>1001472958</t>
        </is>
      </c>
      <c r="M514" t="inlineStr">
        <is>
          <t>INDIRECTO</t>
        </is>
      </c>
      <c r="N514" t="inlineStr">
        <is>
          <t>CANAL INDIRECTO</t>
        </is>
      </c>
    </row>
    <row r="515">
      <c r="A515" t="inlineStr">
        <is>
          <t>12/10/2026</t>
        </is>
      </c>
      <c r="B515" t="inlineStr">
        <is>
          <t>2026-08254</t>
        </is>
      </c>
      <c r="C515" t="inlineStr">
        <is>
          <t>163140_02</t>
        </is>
      </c>
      <c r="D515" t="inlineStr">
        <is>
          <t>163140</t>
        </is>
      </c>
      <c r="E515" t="inlineStr">
        <is>
          <t>HALFSIM TIGO CHIP PREPAGO $3 WP NUMERADO</t>
        </is>
      </c>
      <c r="F515" t="n">
        <v>12000</v>
      </c>
      <c r="G515" t="n">
        <v>8280</v>
      </c>
      <c r="H515" t="inlineStr">
        <is>
          <t>0.69</t>
        </is>
      </c>
      <c r="J515" t="inlineStr">
        <is>
          <t>NORPHONE PICHINCHA PDA_MIGUELANGEL MICHILENA QUINTANA</t>
        </is>
      </c>
      <c r="K515" t="inlineStr">
        <is>
          <t>0916791601</t>
        </is>
      </c>
      <c r="M515" t="inlineStr">
        <is>
          <t>INDIRECTO</t>
        </is>
      </c>
      <c r="N515" t="inlineStr">
        <is>
          <t>CANAL INDIRECTO</t>
        </is>
      </c>
    </row>
    <row r="516">
      <c r="A516" t="inlineStr">
        <is>
          <t>12/10/2026</t>
        </is>
      </c>
      <c r="B516" t="inlineStr">
        <is>
          <t>2026-08255</t>
        </is>
      </c>
      <c r="C516" t="inlineStr">
        <is>
          <t>163140</t>
        </is>
      </c>
      <c r="D516" t="inlineStr">
        <is>
          <t>163140</t>
        </is>
      </c>
      <c r="E516" t="inlineStr">
        <is>
          <t>HALFSIM TIGO</t>
        </is>
      </c>
      <c r="F516" t="n">
        <v>400</v>
      </c>
      <c r="G516" t="n">
        <v>276</v>
      </c>
      <c r="H516" t="inlineStr">
        <is>
          <t>0.69</t>
        </is>
      </c>
      <c r="J516" t="inlineStr">
        <is>
          <t>CAV CITY MALL_MARIA GONZALEZ / MARIA BUENANO</t>
        </is>
      </c>
      <c r="K516" t="inlineStr">
        <is>
          <t>0951321975 / 0926089665</t>
        </is>
      </c>
      <c r="L516" t="inlineStr">
        <is>
          <t>GUAYAQUIL</t>
        </is>
      </c>
      <c r="M516" t="inlineStr">
        <is>
          <t>INDIRECTO</t>
        </is>
      </c>
      <c r="N516" t="inlineStr">
        <is>
          <t>CANAL INDIRECTO</t>
        </is>
      </c>
    </row>
    <row r="517">
      <c r="A517" t="inlineStr">
        <is>
          <t>12/10/2026</t>
        </is>
      </c>
      <c r="B517" t="inlineStr">
        <is>
          <t>2026-08255</t>
        </is>
      </c>
      <c r="C517" t="inlineStr">
        <is>
          <t>163141</t>
        </is>
      </c>
      <c r="D517" t="inlineStr">
        <is>
          <t>163141</t>
        </is>
      </c>
      <c r="E517" t="inlineStr">
        <is>
          <t>ESIM TIGO DIGITAL</t>
        </is>
      </c>
      <c r="F517" t="n">
        <v>400</v>
      </c>
      <c r="G517" t="n">
        <v>84</v>
      </c>
      <c r="H517" t="inlineStr">
        <is>
          <t>0.21</t>
        </is>
      </c>
      <c r="J517" t="inlineStr">
        <is>
          <t>CAV CITY MALL_MARIA GONZALEZ / MARIA BUENANO</t>
        </is>
      </c>
      <c r="K517" t="inlineStr">
        <is>
          <t>0951321975 / 0926089665</t>
        </is>
      </c>
      <c r="L517" t="inlineStr">
        <is>
          <t>GUAYAQUIL</t>
        </is>
      </c>
      <c r="M517" t="inlineStr">
        <is>
          <t>INDIRECTO</t>
        </is>
      </c>
      <c r="N517" t="inlineStr">
        <is>
          <t>CANAL INDIRECTO</t>
        </is>
      </c>
    </row>
    <row r="518">
      <c r="A518" t="inlineStr">
        <is>
          <t>12/10/2026</t>
        </is>
      </c>
      <c r="B518" t="inlineStr">
        <is>
          <t>16503697</t>
        </is>
      </c>
      <c r="C518" t="inlineStr">
        <is>
          <t>163140</t>
        </is>
      </c>
      <c r="D518" t="inlineStr">
        <is>
          <t>163140</t>
        </is>
      </c>
      <c r="E518" t="inlineStr">
        <is>
          <t>HALFSIM TIGO</t>
        </is>
      </c>
      <c r="F518" t="n">
        <v>2</v>
      </c>
      <c r="G518" t="n">
        <v>1.38</v>
      </c>
      <c r="H518" t="inlineStr">
        <is>
          <t>0.69</t>
        </is>
      </c>
      <c r="J518" t="inlineStr">
        <is>
          <t>CARLOS OMAR TAMAYO COSTABALO_SWISSOIL DEL ECUADOR S A SWISSOIL</t>
        </is>
      </c>
      <c r="K518" t="inlineStr">
        <is>
          <t>0992634839001</t>
        </is>
      </c>
      <c r="M518" t="inlineStr">
        <is>
          <t>BTB</t>
        </is>
      </c>
      <c r="N518" t="inlineStr">
        <is>
          <t>CANAL DIRECTO</t>
        </is>
      </c>
    </row>
    <row r="519">
      <c r="A519" t="inlineStr">
        <is>
          <t>12/10/2026</t>
        </is>
      </c>
      <c r="B519" t="inlineStr">
        <is>
          <t>2026-08257</t>
        </is>
      </c>
      <c r="C519" t="inlineStr">
        <is>
          <t>163140</t>
        </is>
      </c>
      <c r="D519" t="inlineStr">
        <is>
          <t>163140</t>
        </is>
      </c>
      <c r="E519" t="inlineStr">
        <is>
          <t>HALFSIM TIGO</t>
        </is>
      </c>
      <c r="F519" t="n">
        <v>200</v>
      </c>
      <c r="G519" t="n">
        <v>138</v>
      </c>
      <c r="H519" t="inlineStr">
        <is>
          <t>0.69</t>
        </is>
      </c>
      <c r="J519" t="inlineStr">
        <is>
          <t>CAVS MALL DE LOS ANDES_HERRERA BAYAS PAMELA ALEJANDRA / PALOMO GADVAY DORIAN DANILO</t>
        </is>
      </c>
      <c r="K519" t="inlineStr">
        <is>
          <t>1850061399 / 1804889739</t>
        </is>
      </c>
      <c r="M519" t="inlineStr">
        <is>
          <t>INDIRECTO</t>
        </is>
      </c>
      <c r="N519" t="inlineStr">
        <is>
          <t>CANAL INDIRECTO</t>
        </is>
      </c>
    </row>
    <row r="520">
      <c r="A520" t="inlineStr">
        <is>
          <t>12/10/2026</t>
        </is>
      </c>
      <c r="B520" t="inlineStr">
        <is>
          <t>2026-08257</t>
        </is>
      </c>
      <c r="C520" t="inlineStr">
        <is>
          <t>163141</t>
        </is>
      </c>
      <c r="D520" t="inlineStr">
        <is>
          <t>163141</t>
        </is>
      </c>
      <c r="E520" t="inlineStr">
        <is>
          <t>ESIM TIGO DIGITAL</t>
        </is>
      </c>
      <c r="F520" t="n">
        <v>200</v>
      </c>
      <c r="G520" t="n">
        <v>42</v>
      </c>
      <c r="H520" t="inlineStr">
        <is>
          <t>0.21</t>
        </is>
      </c>
      <c r="J520" t="inlineStr">
        <is>
          <t>CAVS MALL DE LOS ANDES_HERRERA BAYAS PAMELA ALEJANDRA / PALOMO GADVAY DORIAN DANILO</t>
        </is>
      </c>
      <c r="K520" t="inlineStr">
        <is>
          <t>1850061399 / 1804889739</t>
        </is>
      </c>
      <c r="M520" t="inlineStr">
        <is>
          <t>INDIRECTO</t>
        </is>
      </c>
      <c r="N520" t="inlineStr">
        <is>
          <t>CANAL INDIRECTO</t>
        </is>
      </c>
    </row>
    <row r="521">
      <c r="A521" t="inlineStr">
        <is>
          <t>12/10/2026</t>
        </is>
      </c>
      <c r="B521" t="inlineStr">
        <is>
          <t>2026-08258</t>
        </is>
      </c>
      <c r="C521" t="inlineStr">
        <is>
          <t>163140</t>
        </is>
      </c>
      <c r="D521" t="inlineStr">
        <is>
          <t>163140</t>
        </is>
      </c>
      <c r="E521" t="inlineStr">
        <is>
          <t>HALFSIM TIGO</t>
        </is>
      </c>
      <c r="F521" t="n">
        <v>200</v>
      </c>
      <c r="G521" t="n">
        <v>138</v>
      </c>
      <c r="H521" t="inlineStr">
        <is>
          <t>0.69</t>
        </is>
      </c>
      <c r="J521" t="inlineStr">
        <is>
          <t>CAVS MALL DEL PACIFICO_HEIDY DENISSE PLÚA RIVERA / MAYRA CAROLINA GOMEZ GOMEZ</t>
        </is>
      </c>
      <c r="K521" t="inlineStr">
        <is>
          <t>0944025337 / 0953538329</t>
        </is>
      </c>
      <c r="M521" t="inlineStr">
        <is>
          <t>INDIRECTO</t>
        </is>
      </c>
      <c r="N521" t="inlineStr">
        <is>
          <t>CANAL INDIRECTO</t>
        </is>
      </c>
    </row>
    <row r="522">
      <c r="A522" t="inlineStr">
        <is>
          <t>12/10/2026</t>
        </is>
      </c>
      <c r="B522" t="inlineStr">
        <is>
          <t>2026-08260</t>
        </is>
      </c>
      <c r="C522" t="inlineStr">
        <is>
          <t>163141</t>
        </is>
      </c>
      <c r="D522" t="inlineStr">
        <is>
          <t>163141</t>
        </is>
      </c>
      <c r="E522" t="inlineStr">
        <is>
          <t>ESIM TIGO DIGITAL</t>
        </is>
      </c>
      <c r="F522" t="n">
        <v>300</v>
      </c>
      <c r="G522" t="n">
        <v>63</v>
      </c>
      <c r="H522" t="inlineStr">
        <is>
          <t>0.21</t>
        </is>
      </c>
      <c r="J522" t="inlineStr">
        <is>
          <t>CAVS MALL DEL RIO_MARCO SEBASTIAN FAJARDO / ANDREA ESTEFANIA TIGRE / ALBERTO QUINTERO CORREA</t>
        </is>
      </c>
      <c r="K522" t="inlineStr">
        <is>
          <t>0106434541 / 0104840426 / 1521</t>
        </is>
      </c>
      <c r="M522" t="inlineStr">
        <is>
          <t>INDIRECTO</t>
        </is>
      </c>
      <c r="N522" t="inlineStr">
        <is>
          <t>CANAL INDIRECTO</t>
        </is>
      </c>
    </row>
    <row r="523">
      <c r="A523" t="inlineStr">
        <is>
          <t>12/10/2026</t>
        </is>
      </c>
      <c r="B523" t="inlineStr">
        <is>
          <t>2026-08263</t>
        </is>
      </c>
      <c r="C523" t="inlineStr">
        <is>
          <t>163140</t>
        </is>
      </c>
      <c r="D523" t="inlineStr">
        <is>
          <t>163140</t>
        </is>
      </c>
      <c r="E523" t="inlineStr">
        <is>
          <t>HALFSIM TIGO</t>
        </is>
      </c>
      <c r="F523" t="n">
        <v>200</v>
      </c>
      <c r="G523" t="n">
        <v>138</v>
      </c>
      <c r="H523" t="inlineStr">
        <is>
          <t>0.69</t>
        </is>
      </c>
      <c r="J523" t="inlineStr">
        <is>
          <t>CAV MALL DEL SOL_FREDDY ALFREDO PLUAS MIRANDA / EDITA DANIELA MORAN ORRALA</t>
        </is>
      </c>
      <c r="K523" t="inlineStr">
        <is>
          <t>0941448565 / 0921268066</t>
        </is>
      </c>
      <c r="M523" t="inlineStr">
        <is>
          <t>INDIRECTO</t>
        </is>
      </c>
      <c r="N523" t="inlineStr">
        <is>
          <t>CANAL INDIRECTO</t>
        </is>
      </c>
    </row>
    <row r="524">
      <c r="A524" t="inlineStr">
        <is>
          <t>12/10/2026</t>
        </is>
      </c>
      <c r="B524" t="inlineStr">
        <is>
          <t>2026-08263</t>
        </is>
      </c>
      <c r="C524" t="inlineStr">
        <is>
          <t>163141</t>
        </is>
      </c>
      <c r="D524" t="inlineStr">
        <is>
          <t>163141</t>
        </is>
      </c>
      <c r="E524" t="inlineStr">
        <is>
          <t>ESIM TIGO DIGITAL</t>
        </is>
      </c>
      <c r="F524" t="n">
        <v>200</v>
      </c>
      <c r="G524" t="n">
        <v>42</v>
      </c>
      <c r="H524" t="inlineStr">
        <is>
          <t>0.21</t>
        </is>
      </c>
      <c r="J524" t="inlineStr">
        <is>
          <t>CAV MALL DEL SOL_FREDDY ALFREDO PLUAS MIRANDA / EDITA DANIELA MORAN ORRALA</t>
        </is>
      </c>
      <c r="K524" t="inlineStr">
        <is>
          <t>0941448565 / 0921268066</t>
        </is>
      </c>
      <c r="M524" t="inlineStr">
        <is>
          <t>INDIRECTO</t>
        </is>
      </c>
      <c r="N524" t="inlineStr">
        <is>
          <t>CANAL INDIRECTO</t>
        </is>
      </c>
    </row>
    <row r="525">
      <c r="A525" t="inlineStr">
        <is>
          <t>12/10/2026</t>
        </is>
      </c>
      <c r="B525" t="inlineStr">
        <is>
          <t>2026-08264</t>
        </is>
      </c>
      <c r="C525" t="inlineStr">
        <is>
          <t>163140</t>
        </is>
      </c>
      <c r="D525" t="inlineStr">
        <is>
          <t>163140</t>
        </is>
      </c>
      <c r="E525" t="inlineStr">
        <is>
          <t>HALFSIM TIGO</t>
        </is>
      </c>
      <c r="F525" t="n">
        <v>200</v>
      </c>
      <c r="G525" t="n">
        <v>138</v>
      </c>
      <c r="H525" t="inlineStr">
        <is>
          <t>0.69</t>
        </is>
      </c>
      <c r="J525" t="inlineStr">
        <is>
          <t>CAVS SAN MARINO_TUAREZ TRIVIÑO MARIA LISBETH / LLANGARI CAICEDO ORBIN FERNANDO</t>
        </is>
      </c>
      <c r="K525" t="inlineStr">
        <is>
          <t>0</t>
        </is>
      </c>
      <c r="M525" t="inlineStr">
        <is>
          <t>INDIRECTO</t>
        </is>
      </c>
      <c r="N525" t="inlineStr">
        <is>
          <t>CANAL INDIRECTO</t>
        </is>
      </c>
    </row>
    <row r="526">
      <c r="A526" t="inlineStr">
        <is>
          <t>12/10/2026</t>
        </is>
      </c>
      <c r="B526" t="inlineStr">
        <is>
          <t>2026-08264</t>
        </is>
      </c>
      <c r="C526" t="inlineStr">
        <is>
          <t>163141</t>
        </is>
      </c>
      <c r="D526" t="inlineStr">
        <is>
          <t>163141</t>
        </is>
      </c>
      <c r="E526" t="inlineStr">
        <is>
          <t>ESIM TIGO DIGITAL</t>
        </is>
      </c>
      <c r="F526" t="n">
        <v>200</v>
      </c>
      <c r="G526" t="n">
        <v>42</v>
      </c>
      <c r="H526" t="inlineStr">
        <is>
          <t>0.21</t>
        </is>
      </c>
      <c r="J526" t="inlineStr">
        <is>
          <t>CAVS SAN MARINO_TUAREZ TRIVIÑO MARIA LISBETH / LLANGARI CAICEDO ORBIN FERNANDO</t>
        </is>
      </c>
      <c r="K526" t="inlineStr">
        <is>
          <t>0</t>
        </is>
      </c>
      <c r="M526" t="inlineStr">
        <is>
          <t>INDIRECTO</t>
        </is>
      </c>
      <c r="N526" t="inlineStr">
        <is>
          <t>CANAL INDIRECTO</t>
        </is>
      </c>
    </row>
    <row r="527">
      <c r="A527" t="inlineStr">
        <is>
          <t>12/10/2026</t>
        </is>
      </c>
      <c r="B527" t="inlineStr">
        <is>
          <t>2026-08265</t>
        </is>
      </c>
      <c r="C527" t="inlineStr">
        <is>
          <t>163141</t>
        </is>
      </c>
      <c r="D527" t="inlineStr">
        <is>
          <t>163141</t>
        </is>
      </c>
      <c r="E527" t="inlineStr">
        <is>
          <t>ESIM TIGO DIGITAL</t>
        </is>
      </c>
      <c r="F527" t="n">
        <v>300</v>
      </c>
      <c r="G527" t="n">
        <v>63</v>
      </c>
      <c r="H527" t="inlineStr">
        <is>
          <t>0.21</t>
        </is>
      </c>
      <c r="J527" t="inlineStr">
        <is>
          <t>CAVS QUICENTRO_MENDOZA GUEVARA STALIN FERNANDO / JEFFERSON CEDEÑO</t>
        </is>
      </c>
      <c r="K527" t="inlineStr">
        <is>
          <t>1720258282</t>
        </is>
      </c>
      <c r="M527" t="inlineStr">
        <is>
          <t>INDIRECTO</t>
        </is>
      </c>
      <c r="N527" t="inlineStr">
        <is>
          <t>CANAL INDIRECTO</t>
        </is>
      </c>
    </row>
    <row r="528">
      <c r="A528" t="inlineStr">
        <is>
          <t>12/10/2026</t>
        </is>
      </c>
      <c r="B528" t="inlineStr">
        <is>
          <t>2026-08267</t>
        </is>
      </c>
      <c r="C528" t="inlineStr">
        <is>
          <t>163140_06</t>
        </is>
      </c>
      <c r="D528" t="inlineStr">
        <is>
          <t>163140</t>
        </is>
      </c>
      <c r="E528" t="inlineStr">
        <is>
          <t>HALFSIM TIGO PORTABILIDAD</t>
        </is>
      </c>
      <c r="F528" t="n">
        <v>100</v>
      </c>
      <c r="G528" t="n">
        <v>69</v>
      </c>
      <c r="H528" t="inlineStr">
        <is>
          <t>0.69</t>
        </is>
      </c>
      <c r="J528" t="inlineStr">
        <is>
          <t>KIOSKO SMARTPHONELANDIA CITY MALL_ROMERO RODRIGUEZ CESAR BERNABE</t>
        </is>
      </c>
      <c r="K528" t="inlineStr">
        <is>
          <t>0918930660</t>
        </is>
      </c>
      <c r="M528" t="inlineStr">
        <is>
          <t>INDIRECTO</t>
        </is>
      </c>
      <c r="N528" t="inlineStr">
        <is>
          <t>CANAL INDIRECTO</t>
        </is>
      </c>
    </row>
    <row r="529">
      <c r="A529" t="inlineStr">
        <is>
          <t>12/10/2026</t>
        </is>
      </c>
      <c r="B529" t="inlineStr">
        <is>
          <t>2026-08268</t>
        </is>
      </c>
      <c r="C529" t="inlineStr">
        <is>
          <t>163140_06</t>
        </is>
      </c>
      <c r="D529" t="inlineStr">
        <is>
          <t>163140</t>
        </is>
      </c>
      <c r="E529" t="inlineStr">
        <is>
          <t>HALFSIM TIGO PORTABILIDAD</t>
        </is>
      </c>
      <c r="F529" t="n">
        <v>100</v>
      </c>
      <c r="G529" t="n">
        <v>69</v>
      </c>
      <c r="H529" t="inlineStr">
        <is>
          <t>0.69</t>
        </is>
      </c>
      <c r="J529" t="inlineStr">
        <is>
          <t>BOPACORP S.A._JOSE MARIO BOHORQUEZ LEON</t>
        </is>
      </c>
      <c r="K529" t="inlineStr">
        <is>
          <t>0925690901</t>
        </is>
      </c>
      <c r="M529" t="inlineStr">
        <is>
          <t>INDIRECTO</t>
        </is>
      </c>
      <c r="N529" t="inlineStr">
        <is>
          <t>CANAL INDIRECTO</t>
        </is>
      </c>
    </row>
    <row r="530">
      <c r="A530" t="inlineStr">
        <is>
          <t>12/10/2026</t>
        </is>
      </c>
      <c r="B530" t="inlineStr">
        <is>
          <t>16503694</t>
        </is>
      </c>
      <c r="C530" t="inlineStr">
        <is>
          <t>163140</t>
        </is>
      </c>
      <c r="D530" t="inlineStr">
        <is>
          <t>163140</t>
        </is>
      </c>
      <c r="E530" t="inlineStr">
        <is>
          <t>HALFSIM TIGO</t>
        </is>
      </c>
      <c r="F530" t="n">
        <v>1</v>
      </c>
      <c r="G530" t="n">
        <v>0.69</v>
      </c>
      <c r="H530" t="inlineStr">
        <is>
          <t>0.69</t>
        </is>
      </c>
      <c r="J530" t="inlineStr">
        <is>
          <t>GOROZABEL CARRANZA MARTHA ALEXANDRA_GOROZABEL CARRANZA MARTHA ALEXANDRA</t>
        </is>
      </c>
      <c r="K530" t="inlineStr">
        <is>
          <t>1307640241001</t>
        </is>
      </c>
      <c r="M530" t="inlineStr">
        <is>
          <t>BTB</t>
        </is>
      </c>
      <c r="N530" t="inlineStr">
        <is>
          <t>CANAL DIRECTO</t>
        </is>
      </c>
    </row>
    <row r="531">
      <c r="A531" t="inlineStr">
        <is>
          <t>12/10/2026</t>
        </is>
      </c>
      <c r="B531" t="inlineStr">
        <is>
          <t>16503695</t>
        </is>
      </c>
      <c r="C531" t="inlineStr">
        <is>
          <t>163140</t>
        </is>
      </c>
      <c r="D531" t="inlineStr">
        <is>
          <t>163140</t>
        </is>
      </c>
      <c r="E531" t="inlineStr">
        <is>
          <t>HALFSIM TIGO</t>
        </is>
      </c>
      <c r="F531" t="n">
        <v>1</v>
      </c>
      <c r="G531" t="n">
        <v>0.69</v>
      </c>
      <c r="H531" t="inlineStr">
        <is>
          <t>0.69</t>
        </is>
      </c>
      <c r="J531" t="inlineStr">
        <is>
          <t>PAUCAR TAPIA JOHN EDISON_PAUCAR TAPIA JOHN EDISON</t>
        </is>
      </c>
      <c r="K531" t="inlineStr">
        <is>
          <t>0930487368001</t>
        </is>
      </c>
      <c r="M531" t="inlineStr">
        <is>
          <t>BTB</t>
        </is>
      </c>
      <c r="N531" t="inlineStr">
        <is>
          <t>CANAL DIRECTO</t>
        </is>
      </c>
    </row>
    <row r="532">
      <c r="A532" t="inlineStr">
        <is>
          <t>12/10/2026</t>
        </is>
      </c>
      <c r="B532" t="inlineStr">
        <is>
          <t>16503696</t>
        </is>
      </c>
      <c r="C532" t="inlineStr">
        <is>
          <t>163140</t>
        </is>
      </c>
      <c r="D532" t="inlineStr">
        <is>
          <t>163140</t>
        </is>
      </c>
      <c r="E532" t="inlineStr">
        <is>
          <t>HALFSIM TIGO</t>
        </is>
      </c>
      <c r="F532" t="n">
        <v>1</v>
      </c>
      <c r="G532" t="n">
        <v>0.69</v>
      </c>
      <c r="H532" t="inlineStr">
        <is>
          <t>0.69</t>
        </is>
      </c>
      <c r="J532" t="inlineStr">
        <is>
          <t>AVILA CARRANZA RUBEN DARIO_AVILA CARRANZA RUBEN DARIO</t>
        </is>
      </c>
      <c r="K532" t="inlineStr">
        <is>
          <t>0804196111001</t>
        </is>
      </c>
      <c r="M532" t="inlineStr">
        <is>
          <t>BTB</t>
        </is>
      </c>
      <c r="N532" t="inlineStr">
        <is>
          <t>CANAL DIRECTO</t>
        </is>
      </c>
    </row>
    <row r="533">
      <c r="A533" t="inlineStr">
        <is>
          <t>12/10/2026</t>
        </is>
      </c>
      <c r="B533" t="inlineStr">
        <is>
          <t>16503699</t>
        </is>
      </c>
      <c r="C533" t="inlineStr">
        <is>
          <t>163140</t>
        </is>
      </c>
      <c r="D533" t="inlineStr">
        <is>
          <t>163140</t>
        </is>
      </c>
      <c r="E533" t="inlineStr">
        <is>
          <t>HALFSIM TIGO</t>
        </is>
      </c>
      <c r="F533" t="n">
        <v>1</v>
      </c>
      <c r="G533" t="n">
        <v>0.69</v>
      </c>
      <c r="H533" t="inlineStr">
        <is>
          <t>0.69</t>
        </is>
      </c>
      <c r="J533" t="inlineStr">
        <is>
          <t>AGUILA VERA LILIANA GRIMANEZA_AGUILA VERA LILIANA GRIMANEZA</t>
        </is>
      </c>
      <c r="K533" t="inlineStr">
        <is>
          <t>1205855461001</t>
        </is>
      </c>
      <c r="M533" t="inlineStr">
        <is>
          <t>BTB</t>
        </is>
      </c>
      <c r="N533" t="inlineStr">
        <is>
          <t>CANAL DIRECTO</t>
        </is>
      </c>
    </row>
    <row r="534">
      <c r="A534" t="inlineStr">
        <is>
          <t>12/10/2026</t>
        </is>
      </c>
      <c r="B534" t="inlineStr">
        <is>
          <t>16503702</t>
        </is>
      </c>
      <c r="C534" t="inlineStr">
        <is>
          <t>163140</t>
        </is>
      </c>
      <c r="D534" t="inlineStr">
        <is>
          <t>163140</t>
        </is>
      </c>
      <c r="E534" t="inlineStr">
        <is>
          <t>HALFSIM TIGO</t>
        </is>
      </c>
      <c r="F534" t="n">
        <v>2</v>
      </c>
      <c r="G534" t="n">
        <v>1.38</v>
      </c>
      <c r="H534" t="inlineStr">
        <is>
          <t>0.69</t>
        </is>
      </c>
      <c r="J534" t="inlineStr">
        <is>
          <t>TV CABLE SANTA ANA TVCABSA S A _TV CABLE SANTA ANA TVCABSA S A</t>
        </is>
      </c>
      <c r="K534" t="inlineStr">
        <is>
          <t>1391827164001</t>
        </is>
      </c>
      <c r="M534" t="inlineStr">
        <is>
          <t>BTB</t>
        </is>
      </c>
      <c r="N534" t="inlineStr">
        <is>
          <t>CANAL DIRECTO</t>
        </is>
      </c>
    </row>
    <row r="535">
      <c r="A535" t="inlineStr">
        <is>
          <t>12/10/2026</t>
        </is>
      </c>
      <c r="B535" t="inlineStr">
        <is>
          <t>16503705</t>
        </is>
      </c>
      <c r="C535" t="inlineStr">
        <is>
          <t>163140</t>
        </is>
      </c>
      <c r="D535" t="inlineStr">
        <is>
          <t>163140</t>
        </is>
      </c>
      <c r="E535" t="inlineStr">
        <is>
          <t>HALFSIM TIGO</t>
        </is>
      </c>
      <c r="F535" t="n">
        <v>1</v>
      </c>
      <c r="G535" t="n">
        <v>0.69</v>
      </c>
      <c r="H535" t="inlineStr">
        <is>
          <t>0.69</t>
        </is>
      </c>
      <c r="J535" t="inlineStr">
        <is>
          <t>LUCAS SERRANO LUIS JORDANO_LUCAS SERRANO LUIS JORDANO</t>
        </is>
      </c>
      <c r="K535" t="inlineStr">
        <is>
          <t>1208049229001</t>
        </is>
      </c>
      <c r="M535" t="inlineStr">
        <is>
          <t>BTB</t>
        </is>
      </c>
      <c r="N535" t="inlineStr">
        <is>
          <t>CANAL DIRECTO</t>
        </is>
      </c>
    </row>
    <row r="536">
      <c r="A536" t="inlineStr">
        <is>
          <t>12/10/2026</t>
        </is>
      </c>
      <c r="B536" t="inlineStr">
        <is>
          <t>16503710</t>
        </is>
      </c>
      <c r="C536" t="inlineStr">
        <is>
          <t>163140</t>
        </is>
      </c>
      <c r="D536" t="inlineStr">
        <is>
          <t>163140</t>
        </is>
      </c>
      <c r="E536" t="inlineStr">
        <is>
          <t>HALFSIM TIGO</t>
        </is>
      </c>
      <c r="F536" t="n">
        <v>1</v>
      </c>
      <c r="G536" t="n">
        <v>0.69</v>
      </c>
      <c r="H536" t="inlineStr">
        <is>
          <t>0.69</t>
        </is>
      </c>
      <c r="J536" t="inlineStr">
        <is>
          <t>ORTIZ AYOVI DAYANNE AIMERITH_ORTIZ AYOVI DAYANNE AIMERITH</t>
        </is>
      </c>
      <c r="K536" t="inlineStr">
        <is>
          <t>0803980358001</t>
        </is>
      </c>
      <c r="M536" t="inlineStr">
        <is>
          <t>BTB</t>
        </is>
      </c>
      <c r="N536" t="inlineStr">
        <is>
          <t>CANAL DIRECTO</t>
        </is>
      </c>
    </row>
    <row r="537">
      <c r="A537" t="inlineStr">
        <is>
          <t>12/10/2026</t>
        </is>
      </c>
      <c r="B537" t="inlineStr">
        <is>
          <t>16503700</t>
        </is>
      </c>
      <c r="C537" t="inlineStr">
        <is>
          <t>163140</t>
        </is>
      </c>
      <c r="D537" t="inlineStr">
        <is>
          <t>163140</t>
        </is>
      </c>
      <c r="E537" t="inlineStr">
        <is>
          <t>HALFSIM TIGO</t>
        </is>
      </c>
      <c r="F537" t="n">
        <v>2</v>
      </c>
      <c r="G537" t="n">
        <v>1.38</v>
      </c>
      <c r="H537" t="inlineStr">
        <is>
          <t>0.69</t>
        </is>
      </c>
      <c r="J537" t="inlineStr">
        <is>
          <t>WILLIAM ARTIEDA_MOLINA ROJAS MOLINARO CIA LTDA</t>
        </is>
      </c>
      <c r="K537" t="inlineStr">
        <is>
          <t>1791767756001</t>
        </is>
      </c>
      <c r="M537" t="inlineStr">
        <is>
          <t>BTB</t>
        </is>
      </c>
      <c r="N537" t="inlineStr">
        <is>
          <t>CANAL DIRECTO</t>
        </is>
      </c>
    </row>
    <row r="538">
      <c r="A538" t="inlineStr">
        <is>
          <t>12/10/2026</t>
        </is>
      </c>
      <c r="B538" t="inlineStr">
        <is>
          <t>16503704</t>
        </is>
      </c>
      <c r="C538" t="inlineStr">
        <is>
          <t>163140</t>
        </is>
      </c>
      <c r="D538" t="inlineStr">
        <is>
          <t>163140</t>
        </is>
      </c>
      <c r="E538" t="inlineStr">
        <is>
          <t>HALFSIM TIGO</t>
        </is>
      </c>
      <c r="F538" t="n">
        <v>1</v>
      </c>
      <c r="G538" t="n">
        <v>0.69</v>
      </c>
      <c r="H538" t="inlineStr">
        <is>
          <t>0.69</t>
        </is>
      </c>
      <c r="J538" t="inlineStr">
        <is>
          <t>TORRES ONATE FRANCISCO ABSALON_TORRES PALLASCO JEAN PIERRE</t>
        </is>
      </c>
      <c r="K538" t="inlineStr">
        <is>
          <t>0958535536001</t>
        </is>
      </c>
      <c r="M538" t="inlineStr">
        <is>
          <t>BTB</t>
        </is>
      </c>
      <c r="N538" t="inlineStr">
        <is>
          <t>CANAL DIRECTO</t>
        </is>
      </c>
    </row>
    <row r="539">
      <c r="A539" t="inlineStr">
        <is>
          <t>12/10/2026</t>
        </is>
      </c>
      <c r="B539" t="inlineStr">
        <is>
          <t>16503706</t>
        </is>
      </c>
      <c r="C539" t="inlineStr">
        <is>
          <t>163140</t>
        </is>
      </c>
      <c r="D539" t="inlineStr">
        <is>
          <t>163140</t>
        </is>
      </c>
      <c r="E539" t="inlineStr">
        <is>
          <t>HALFSIM TIGO</t>
        </is>
      </c>
      <c r="F539" t="n">
        <v>4</v>
      </c>
      <c r="G539" t="n">
        <v>2.76</v>
      </c>
      <c r="H539" t="inlineStr">
        <is>
          <t>0.69</t>
        </is>
      </c>
      <c r="J539" t="inlineStr">
        <is>
          <t>ISABELLA DILLON_BEAUTYBANANA S A</t>
        </is>
      </c>
      <c r="K539" t="inlineStr">
        <is>
          <t>0993398250001</t>
        </is>
      </c>
      <c r="M539" t="inlineStr">
        <is>
          <t>BTB</t>
        </is>
      </c>
      <c r="N539" t="inlineStr">
        <is>
          <t>CANAL DIRECTO</t>
        </is>
      </c>
    </row>
    <row r="540">
      <c r="A540" t="inlineStr">
        <is>
          <t>12/10/2026</t>
        </is>
      </c>
      <c r="B540" t="inlineStr">
        <is>
          <t>16503711</t>
        </is>
      </c>
      <c r="C540" t="inlineStr">
        <is>
          <t>163140</t>
        </is>
      </c>
      <c r="D540" t="inlineStr">
        <is>
          <t>163140</t>
        </is>
      </c>
      <c r="E540" t="inlineStr">
        <is>
          <t>HALFSIM TIGO</t>
        </is>
      </c>
      <c r="F540" t="n">
        <v>2</v>
      </c>
      <c r="G540" t="n">
        <v>1.38</v>
      </c>
      <c r="H540" t="inlineStr">
        <is>
          <t>0.69</t>
        </is>
      </c>
      <c r="J540" t="inlineStr">
        <is>
          <t>LORENA GUERRERO_HYDRIAPAC S A</t>
        </is>
      </c>
      <c r="K540" t="inlineStr">
        <is>
          <t>0992316519001</t>
        </is>
      </c>
      <c r="M540" t="inlineStr">
        <is>
          <t>BTB</t>
        </is>
      </c>
      <c r="N540" t="inlineStr">
        <is>
          <t>CANAL DIRECTO</t>
        </is>
      </c>
    </row>
    <row r="541">
      <c r="A541" t="inlineStr">
        <is>
          <t>12/10/2026</t>
        </is>
      </c>
      <c r="B541" t="inlineStr">
        <is>
          <t>16503713</t>
        </is>
      </c>
      <c r="C541" t="inlineStr">
        <is>
          <t>163140</t>
        </is>
      </c>
      <c r="D541" t="inlineStr">
        <is>
          <t>163140</t>
        </is>
      </c>
      <c r="E541" t="inlineStr">
        <is>
          <t>HALFSIM TIGO</t>
        </is>
      </c>
      <c r="F541" t="n">
        <v>1</v>
      </c>
      <c r="G541" t="n">
        <v>0.69</v>
      </c>
      <c r="H541" t="inlineStr">
        <is>
          <t>0.69</t>
        </is>
      </c>
      <c r="J541" t="inlineStr">
        <is>
          <t>SERRANO OJEDA NORMA GABRIELA_SERRANO OJEDA NORMA GABRIELA</t>
        </is>
      </c>
      <c r="K541" t="inlineStr">
        <is>
          <t>1710019892001</t>
        </is>
      </c>
      <c r="M541" t="inlineStr">
        <is>
          <t>BTB</t>
        </is>
      </c>
      <c r="N541" t="inlineStr">
        <is>
          <t>CANAL DIRECTO</t>
        </is>
      </c>
    </row>
    <row r="542">
      <c r="A542" t="inlineStr">
        <is>
          <t>12/10/2026</t>
        </is>
      </c>
      <c r="B542" t="inlineStr">
        <is>
          <t>16503714</t>
        </is>
      </c>
      <c r="C542" t="inlineStr">
        <is>
          <t>163140</t>
        </is>
      </c>
      <c r="D542" t="inlineStr">
        <is>
          <t>163140</t>
        </is>
      </c>
      <c r="E542" t="inlineStr">
        <is>
          <t>HALFSIM TIGO</t>
        </is>
      </c>
      <c r="F542" t="n">
        <v>3</v>
      </c>
      <c r="G542" t="n">
        <v>2.0699999999999998</v>
      </c>
      <c r="H542" t="inlineStr">
        <is>
          <t>0.69</t>
        </is>
      </c>
      <c r="J542" t="inlineStr">
        <is>
          <t>GUERRERO BONILLA NELSON HUMBERTO_GUERRERO BONILLA NELSON HUMBERTO</t>
        </is>
      </c>
      <c r="K542" t="inlineStr">
        <is>
          <t>1801998350001</t>
        </is>
      </c>
      <c r="M542" t="inlineStr">
        <is>
          <t>BTB</t>
        </is>
      </c>
      <c r="N542" t="inlineStr">
        <is>
          <t>CANAL DIRECTO</t>
        </is>
      </c>
    </row>
    <row r="543">
      <c r="A543" t="inlineStr">
        <is>
          <t>12/10/2026</t>
        </is>
      </c>
      <c r="B543" t="inlineStr">
        <is>
          <t>16503717</t>
        </is>
      </c>
      <c r="C543" t="inlineStr">
        <is>
          <t>163140</t>
        </is>
      </c>
      <c r="D543" t="inlineStr">
        <is>
          <t>163140</t>
        </is>
      </c>
      <c r="E543" t="inlineStr">
        <is>
          <t>HALFSIM TIGO</t>
        </is>
      </c>
      <c r="F543" t="n">
        <v>1</v>
      </c>
      <c r="G543" t="n">
        <v>0.69</v>
      </c>
      <c r="H543" t="inlineStr">
        <is>
          <t>0.69</t>
        </is>
      </c>
      <c r="J543" t="inlineStr">
        <is>
          <t>ARAUJO SALVADOR RAUL ESTUARDO_ARAUJO SALVADOR RAUL ESTUARDO</t>
        </is>
      </c>
      <c r="K543" t="inlineStr">
        <is>
          <t>1703468098001</t>
        </is>
      </c>
      <c r="M543" t="inlineStr">
        <is>
          <t>BTB</t>
        </is>
      </c>
      <c r="N543" t="inlineStr">
        <is>
          <t>CANAL DIRECTO</t>
        </is>
      </c>
    </row>
    <row r="544">
      <c r="A544" t="inlineStr">
        <is>
          <t>12/10/2026</t>
        </is>
      </c>
      <c r="B544" t="inlineStr">
        <is>
          <t>16503718</t>
        </is>
      </c>
      <c r="C544" t="inlineStr">
        <is>
          <t>163140</t>
        </is>
      </c>
      <c r="D544" t="inlineStr">
        <is>
          <t>163140</t>
        </is>
      </c>
      <c r="E544" t="inlineStr">
        <is>
          <t>HALFSIM TIGO</t>
        </is>
      </c>
      <c r="F544" t="n">
        <v>2</v>
      </c>
      <c r="G544" t="n">
        <v>1.38</v>
      </c>
      <c r="H544" t="inlineStr">
        <is>
          <t>0.69</t>
        </is>
      </c>
      <c r="J544" t="inlineStr">
        <is>
          <t>FABIAN GUERRERO MARIA SOL GUERRER_UNIDAD ONCOLOGICA DE TUNGURAHUA</t>
        </is>
      </c>
      <c r="K544" t="inlineStr">
        <is>
          <t>1890139414001</t>
        </is>
      </c>
      <c r="M544" t="inlineStr">
        <is>
          <t>BTB</t>
        </is>
      </c>
      <c r="N544" t="inlineStr">
        <is>
          <t>CANAL DIRECTO</t>
        </is>
      </c>
    </row>
    <row r="545">
      <c r="A545" t="inlineStr">
        <is>
          <t>12/10/2026</t>
        </is>
      </c>
      <c r="B545" t="inlineStr">
        <is>
          <t>2026-08269</t>
        </is>
      </c>
      <c r="C545" t="inlineStr">
        <is>
          <t>163141</t>
        </is>
      </c>
      <c r="D545" t="inlineStr">
        <is>
          <t>163141</t>
        </is>
      </c>
      <c r="E545" t="inlineStr">
        <is>
          <t>ESIM TIGO DIGITAL</t>
        </is>
      </c>
      <c r="F545" t="n">
        <v>30</v>
      </c>
      <c r="G545" t="n">
        <v>6.3</v>
      </c>
      <c r="H545" t="inlineStr">
        <is>
          <t>0.21</t>
        </is>
      </c>
      <c r="J545" t="inlineStr">
        <is>
          <t>AE CELISTICS CCI_WALTER TAMAYO</t>
        </is>
      </c>
      <c r="K545" t="inlineStr">
        <is>
          <t>1792161037001</t>
        </is>
      </c>
      <c r="M545" t="inlineStr">
        <is>
          <t>INDIRECTO</t>
        </is>
      </c>
      <c r="N545" t="inlineStr">
        <is>
          <t>CANAL INDIRECTO</t>
        </is>
      </c>
    </row>
    <row r="546">
      <c r="A546" t="inlineStr">
        <is>
          <t>12/10/2026</t>
        </is>
      </c>
      <c r="B546" t="inlineStr">
        <is>
          <t>2026-08271</t>
        </is>
      </c>
      <c r="C546" t="inlineStr">
        <is>
          <t>163140</t>
        </is>
      </c>
      <c r="D546" t="inlineStr">
        <is>
          <t>163140</t>
        </is>
      </c>
      <c r="E546" t="inlineStr">
        <is>
          <t>HALFSIM TIGO</t>
        </is>
      </c>
      <c r="F546" t="n">
        <v>100</v>
      </c>
      <c r="G546" t="n">
        <v>69</v>
      </c>
      <c r="H546" t="inlineStr">
        <is>
          <t>0.69</t>
        </is>
      </c>
      <c r="J546" t="inlineStr">
        <is>
          <t>CAVS POLICENTRO_DIANA CAROLINA VANEGAS CERCADO / KENNY ELIAN VITERI MENDEZ</t>
        </is>
      </c>
      <c r="K546" t="inlineStr">
        <is>
          <t>0982825784 / 0943990549</t>
        </is>
      </c>
      <c r="M546" t="inlineStr">
        <is>
          <t>INDIRECTO</t>
        </is>
      </c>
      <c r="N546" t="inlineStr">
        <is>
          <t>CANAL INDIRECTO</t>
        </is>
      </c>
    </row>
    <row r="547">
      <c r="A547" t="inlineStr">
        <is>
          <t>12/10/2026</t>
        </is>
      </c>
      <c r="B547" t="inlineStr">
        <is>
          <t>2026-08271</t>
        </is>
      </c>
      <c r="C547" t="inlineStr">
        <is>
          <t>163141</t>
        </is>
      </c>
      <c r="D547" t="inlineStr">
        <is>
          <t>163141</t>
        </is>
      </c>
      <c r="E547" t="inlineStr">
        <is>
          <t>ESIM TIGO DIGITAL</t>
        </is>
      </c>
      <c r="F547" t="n">
        <v>100</v>
      </c>
      <c r="G547" t="n">
        <v>21</v>
      </c>
      <c r="H547" t="inlineStr">
        <is>
          <t>0.21</t>
        </is>
      </c>
      <c r="J547" t="inlineStr">
        <is>
          <t>CAVS POLICENTRO_DIANA CAROLINA VANEGAS CERCADO / KENNY ELIAN VITERI MENDEZ</t>
        </is>
      </c>
      <c r="K547" t="inlineStr">
        <is>
          <t>0982825784 / 0943990549</t>
        </is>
      </c>
      <c r="M547" t="inlineStr">
        <is>
          <t>INDIRECTO</t>
        </is>
      </c>
      <c r="N547" t="inlineStr">
        <is>
          <t>CANAL INDIRECTO</t>
        </is>
      </c>
    </row>
    <row r="548">
      <c r="A548" t="inlineStr">
        <is>
          <t>12/10/2026</t>
        </is>
      </c>
      <c r="B548" t="inlineStr">
        <is>
          <t>2026-08272</t>
        </is>
      </c>
      <c r="C548" t="inlineStr">
        <is>
          <t>163140</t>
        </is>
      </c>
      <c r="D548" t="inlineStr">
        <is>
          <t>163140</t>
        </is>
      </c>
      <c r="E548" t="inlineStr">
        <is>
          <t>HALFSIM TIGO</t>
        </is>
      </c>
      <c r="F548" t="n">
        <v>300</v>
      </c>
      <c r="G548" t="n">
        <v>206.99999999999997</v>
      </c>
      <c r="H548" t="inlineStr">
        <is>
          <t>0.69</t>
        </is>
      </c>
      <c r="J548" t="inlineStr">
        <is>
          <t>CAVS MALL DEL RIO_MARCO SEBASTIAN FAJARDO / ANDREA ESTEFANIA TIGRE / ALBERTO QUINTERO CORREA</t>
        </is>
      </c>
      <c r="K548" t="inlineStr">
        <is>
          <t>0106434541 / 0104840426 / 1521</t>
        </is>
      </c>
      <c r="M548" t="inlineStr">
        <is>
          <t>INDIRECTO</t>
        </is>
      </c>
      <c r="N548" t="inlineStr">
        <is>
          <t>CANAL INDIRECTO</t>
        </is>
      </c>
    </row>
    <row r="549">
      <c r="A549" t="inlineStr">
        <is>
          <t>12/10/2026</t>
        </is>
      </c>
      <c r="B549" t="inlineStr">
        <is>
          <t>2026-08272</t>
        </is>
      </c>
      <c r="C549" t="inlineStr">
        <is>
          <t>163141</t>
        </is>
      </c>
      <c r="D549" t="inlineStr">
        <is>
          <t>163141</t>
        </is>
      </c>
      <c r="E549" t="inlineStr">
        <is>
          <t>ESIM TIGO DIGITAL</t>
        </is>
      </c>
      <c r="F549" t="n">
        <v>200</v>
      </c>
      <c r="G549" t="n">
        <v>42</v>
      </c>
      <c r="H549" t="inlineStr">
        <is>
          <t>0.21</t>
        </is>
      </c>
      <c r="J549" t="inlineStr">
        <is>
          <t>CAVS MALL DEL RIO_MARCO SEBASTIAN FAJARDO / ANDREA ESTEFANIA TIGRE / ALBERTO QUINTERO CORREA</t>
        </is>
      </c>
      <c r="K549" t="inlineStr">
        <is>
          <t>0106434541 / 0104840426 / 1521</t>
        </is>
      </c>
      <c r="M549" t="inlineStr">
        <is>
          <t>INDIRECTO</t>
        </is>
      </c>
      <c r="N549" t="inlineStr">
        <is>
          <t>CANAL INDIRECTO</t>
        </is>
      </c>
    </row>
    <row r="550">
      <c r="A550" t="inlineStr">
        <is>
          <t>12/10/2026</t>
        </is>
      </c>
      <c r="B550" t="inlineStr">
        <is>
          <t>2026-08273</t>
        </is>
      </c>
      <c r="C550" t="inlineStr">
        <is>
          <t>163141</t>
        </is>
      </c>
      <c r="D550" t="inlineStr">
        <is>
          <t>163141</t>
        </is>
      </c>
      <c r="E550" t="inlineStr">
        <is>
          <t>ESIM TIGO DIGITAL</t>
        </is>
      </c>
      <c r="F550" t="n">
        <v>100</v>
      </c>
      <c r="G550" t="n">
        <v>21</v>
      </c>
      <c r="H550" t="inlineStr">
        <is>
          <t>0.21</t>
        </is>
      </c>
      <c r="J550" t="inlineStr">
        <is>
          <t>CAVS AE NORPHONE EL JARDIN_PAOLA MORAN</t>
        </is>
      </c>
      <c r="K550" t="inlineStr">
        <is>
          <t>1091717898001</t>
        </is>
      </c>
      <c r="M550" t="inlineStr">
        <is>
          <t>INDIRECTO</t>
        </is>
      </c>
      <c r="N550" t="inlineStr">
        <is>
          <t>CANAL INDIRECTO</t>
        </is>
      </c>
    </row>
    <row r="551">
      <c r="A551" t="inlineStr">
        <is>
          <t>12/10/2026</t>
        </is>
      </c>
      <c r="B551" t="inlineStr">
        <is>
          <t>2026-08280</t>
        </is>
      </c>
      <c r="C551" t="inlineStr">
        <is>
          <t>163140_02</t>
        </is>
      </c>
      <c r="D551" t="inlineStr">
        <is>
          <t>163140</t>
        </is>
      </c>
      <c r="E551" t="inlineStr">
        <is>
          <t>HALFSIM TIGO CHIP PREPAGO $3 WP NUMERADO</t>
        </is>
      </c>
      <c r="F551" t="n">
        <v>8000</v>
      </c>
      <c r="G551" t="n">
        <v>5520</v>
      </c>
      <c r="H551" t="inlineStr">
        <is>
          <t>0.69</t>
        </is>
      </c>
      <c r="J551" t="inlineStr">
        <is>
          <t>TECECAB PICHINCHA ZONIFICACION_BELEN JARAMILLO</t>
        </is>
      </c>
      <c r="K551" t="inlineStr">
        <is>
          <t>1792306043001</t>
        </is>
      </c>
      <c r="M551" t="inlineStr">
        <is>
          <t>INDIRECTO</t>
        </is>
      </c>
      <c r="N551" t="inlineStr">
        <is>
          <t>CANAL INDIRECTO</t>
        </is>
      </c>
    </row>
    <row r="552">
      <c r="A552" t="inlineStr">
        <is>
          <t>12/10/2026</t>
        </is>
      </c>
      <c r="B552" t="inlineStr">
        <is>
          <t>2026-08282</t>
        </is>
      </c>
      <c r="C552" t="inlineStr">
        <is>
          <t>163141</t>
        </is>
      </c>
      <c r="D552" t="inlineStr">
        <is>
          <t>163141</t>
        </is>
      </c>
      <c r="E552" t="inlineStr">
        <is>
          <t>ESIM TIGO DIGITAL</t>
        </is>
      </c>
      <c r="F552" t="n">
        <v>50</v>
      </c>
      <c r="G552" t="n">
        <v>10.5</v>
      </c>
      <c r="H552" t="inlineStr">
        <is>
          <t>0.21</t>
        </is>
      </c>
      <c r="J552" t="inlineStr">
        <is>
          <t>AE CELISTIC PASEO SHOPPING RIOBAMBA_WALTER TAMAYO</t>
        </is>
      </c>
      <c r="K552" t="inlineStr">
        <is>
          <t>1306571512</t>
        </is>
      </c>
      <c r="M552" t="inlineStr">
        <is>
          <t>INDIRECTO</t>
        </is>
      </c>
      <c r="N552" t="inlineStr">
        <is>
          <t>CANAL INDIRECTO</t>
        </is>
      </c>
    </row>
    <row r="553">
      <c r="A553" t="inlineStr">
        <is>
          <t>12/10/2026</t>
        </is>
      </c>
      <c r="B553" t="inlineStr">
        <is>
          <t>2026-08284</t>
        </is>
      </c>
      <c r="C553" t="inlineStr">
        <is>
          <t>163141</t>
        </is>
      </c>
      <c r="D553" t="inlineStr">
        <is>
          <t>163141</t>
        </is>
      </c>
      <c r="E553" t="inlineStr">
        <is>
          <t>ESIM TIGO DIGITAL</t>
        </is>
      </c>
      <c r="F553" t="n">
        <v>90</v>
      </c>
      <c r="G553" t="n">
        <v>18.899999999999999</v>
      </c>
      <c r="H553" t="inlineStr">
        <is>
          <t>0.21</t>
        </is>
      </c>
      <c r="J553" t="inlineStr">
        <is>
          <t>AE CELISTICS QUICENTRO SUR_WALTER TAMAYO</t>
        </is>
      </c>
      <c r="K553" t="inlineStr">
        <is>
          <t>1792161037001</t>
        </is>
      </c>
      <c r="M553" t="inlineStr">
        <is>
          <t>INDIRECTO</t>
        </is>
      </c>
      <c r="N553" t="inlineStr">
        <is>
          <t>CANAL INDIRECTO</t>
        </is>
      </c>
    </row>
    <row r="554">
      <c r="A554" t="inlineStr">
        <is>
          <t>12/10/2026</t>
        </is>
      </c>
      <c r="B554" t="inlineStr">
        <is>
          <t>2026-08285</t>
        </is>
      </c>
      <c r="C554" t="inlineStr">
        <is>
          <t>163141</t>
        </is>
      </c>
      <c r="D554" t="inlineStr">
        <is>
          <t>163141</t>
        </is>
      </c>
      <c r="E554" t="inlineStr">
        <is>
          <t>ESIM TIGO DIGITAL</t>
        </is>
      </c>
      <c r="F554" t="n">
        <v>30</v>
      </c>
      <c r="G554" t="n">
        <v>6.3</v>
      </c>
      <c r="H554" t="inlineStr">
        <is>
          <t>0.21</t>
        </is>
      </c>
      <c r="J554" t="inlineStr">
        <is>
          <t>AGENTE AE CELISTICS EL RECREO QUITO_WALTER TAMAYO</t>
        </is>
      </c>
      <c r="K554" t="inlineStr">
        <is>
          <t>1792161037001</t>
        </is>
      </c>
      <c r="M554" t="inlineStr">
        <is>
          <t>INDIRECTO</t>
        </is>
      </c>
      <c r="N554" t="inlineStr">
        <is>
          <t>CANAL INDIRECTO</t>
        </is>
      </c>
    </row>
    <row r="555">
      <c r="A555" t="inlineStr">
        <is>
          <t>12/10/2026</t>
        </is>
      </c>
      <c r="B555" t="inlineStr">
        <is>
          <t>2026-08286</t>
        </is>
      </c>
      <c r="C555" t="inlineStr">
        <is>
          <t>163140</t>
        </is>
      </c>
      <c r="D555" t="inlineStr">
        <is>
          <t>163140</t>
        </is>
      </c>
      <c r="E555" t="inlineStr">
        <is>
          <t>HALFSIM TIGO</t>
        </is>
      </c>
      <c r="F555" t="n">
        <v>100</v>
      </c>
      <c r="G555" t="n">
        <v>69</v>
      </c>
      <c r="H555" t="inlineStr">
        <is>
          <t>0.69</t>
        </is>
      </c>
      <c r="J555" t="inlineStr">
        <is>
          <t>AE NORPHONE SANTO DOMINGO_PAOLA MORAN</t>
        </is>
      </c>
      <c r="K555" t="inlineStr">
        <is>
          <t>1091717898001</t>
        </is>
      </c>
      <c r="M555" t="inlineStr">
        <is>
          <t>INDIRECTO</t>
        </is>
      </c>
      <c r="N555" t="inlineStr">
        <is>
          <t>CANAL INDIRECTO</t>
        </is>
      </c>
    </row>
    <row r="556">
      <c r="A556" t="inlineStr">
        <is>
          <t>12/10/2026</t>
        </is>
      </c>
      <c r="B556" t="inlineStr">
        <is>
          <t>2026-08286</t>
        </is>
      </c>
      <c r="C556" t="inlineStr">
        <is>
          <t>163141</t>
        </is>
      </c>
      <c r="D556" t="inlineStr">
        <is>
          <t>163141</t>
        </is>
      </c>
      <c r="E556" t="inlineStr">
        <is>
          <t>ESIM TIGO DIGITAL</t>
        </is>
      </c>
      <c r="F556" t="n">
        <v>100</v>
      </c>
      <c r="G556" t="n">
        <v>21</v>
      </c>
      <c r="H556" t="inlineStr">
        <is>
          <t>0.21</t>
        </is>
      </c>
      <c r="J556" t="inlineStr">
        <is>
          <t>AE NORPHONE SANTO DOMINGO_PAOLA MORAN</t>
        </is>
      </c>
      <c r="K556" t="inlineStr">
        <is>
          <t>1091717898001</t>
        </is>
      </c>
      <c r="M556" t="inlineStr">
        <is>
          <t>INDIRECTO</t>
        </is>
      </c>
      <c r="N556" t="inlineStr">
        <is>
          <t>CANAL INDIRECTO</t>
        </is>
      </c>
    </row>
    <row r="557">
      <c r="A557" t="inlineStr">
        <is>
          <t>12/10/2026</t>
        </is>
      </c>
      <c r="B557" t="inlineStr">
        <is>
          <t>2026-08287</t>
        </is>
      </c>
      <c r="C557" t="inlineStr">
        <is>
          <t>163140</t>
        </is>
      </c>
      <c r="D557" t="inlineStr">
        <is>
          <t>163140</t>
        </is>
      </c>
      <c r="E557" t="inlineStr">
        <is>
          <t>HALFSIM TIGO</t>
        </is>
      </c>
      <c r="F557" t="n">
        <v>100</v>
      </c>
      <c r="G557" t="n">
        <v>69</v>
      </c>
      <c r="H557" t="inlineStr">
        <is>
          <t>0.69</t>
        </is>
      </c>
      <c r="J557" t="inlineStr">
        <is>
          <t>AE NORPHONE SANTO DOMINGO BOMBOLI_PAOLA MORAN</t>
        </is>
      </c>
      <c r="K557" t="inlineStr">
        <is>
          <t>1001472958</t>
        </is>
      </c>
      <c r="M557" t="inlineStr">
        <is>
          <t>INDIRECTO</t>
        </is>
      </c>
      <c r="N557" t="inlineStr">
        <is>
          <t>CANAL INDIRECTO</t>
        </is>
      </c>
    </row>
    <row r="558">
      <c r="A558" t="inlineStr">
        <is>
          <t>12/10/2026</t>
        </is>
      </c>
      <c r="B558" t="inlineStr">
        <is>
          <t>2026-08287</t>
        </is>
      </c>
      <c r="C558" t="inlineStr">
        <is>
          <t>163141</t>
        </is>
      </c>
      <c r="D558" t="inlineStr">
        <is>
          <t>163141</t>
        </is>
      </c>
      <c r="E558" t="inlineStr">
        <is>
          <t>ESIM TIGO DIGITAL</t>
        </is>
      </c>
      <c r="F558" t="n">
        <v>50</v>
      </c>
      <c r="G558" t="n">
        <v>10.5</v>
      </c>
      <c r="H558" t="inlineStr">
        <is>
          <t>0.21</t>
        </is>
      </c>
      <c r="J558" t="inlineStr">
        <is>
          <t>AE NORPHONE SANTO DOMINGO BOMBOLI_PAOLA MORAN</t>
        </is>
      </c>
      <c r="K558" t="inlineStr">
        <is>
          <t>1001472958</t>
        </is>
      </c>
      <c r="M558" t="inlineStr">
        <is>
          <t>INDIRECTO</t>
        </is>
      </c>
      <c r="N558" t="inlineStr">
        <is>
          <t>CANAL INDIRECTO</t>
        </is>
      </c>
    </row>
    <row r="559">
      <c r="A559" t="inlineStr">
        <is>
          <t>12/10/2026</t>
        </is>
      </c>
      <c r="B559" t="inlineStr">
        <is>
          <t>2026-08288</t>
        </is>
      </c>
      <c r="C559" t="inlineStr">
        <is>
          <t>163141</t>
        </is>
      </c>
      <c r="D559" t="inlineStr">
        <is>
          <t>163141</t>
        </is>
      </c>
      <c r="E559" t="inlineStr">
        <is>
          <t>ESIM TIGO DIGITAL</t>
        </is>
      </c>
      <c r="F559" t="n">
        <v>100</v>
      </c>
      <c r="G559" t="n">
        <v>21</v>
      </c>
      <c r="H559" t="inlineStr">
        <is>
          <t>0.21</t>
        </is>
      </c>
      <c r="J559" t="inlineStr">
        <is>
          <t>AGENTE AE CELISTICS SAN LUIS_WALTER TAMAYO</t>
        </is>
      </c>
      <c r="K559" t="inlineStr">
        <is>
          <t>1792161037001</t>
        </is>
      </c>
      <c r="M559" t="inlineStr">
        <is>
          <t>INDIRECTO</t>
        </is>
      </c>
      <c r="N559" t="inlineStr">
        <is>
          <t>CANAL INDIRECTO</t>
        </is>
      </c>
    </row>
    <row r="560">
      <c r="A560" t="inlineStr">
        <is>
          <t>12/10/2026</t>
        </is>
      </c>
      <c r="B560" t="inlineStr">
        <is>
          <t>2026-08289</t>
        </is>
      </c>
      <c r="C560" t="inlineStr">
        <is>
          <t>163141</t>
        </is>
      </c>
      <c r="D560" t="inlineStr">
        <is>
          <t>163141</t>
        </is>
      </c>
      <c r="E560" t="inlineStr">
        <is>
          <t>ESIM TIGO DIGITAL</t>
        </is>
      </c>
      <c r="F560" t="n">
        <v>50</v>
      </c>
      <c r="G560" t="n">
        <v>10.5</v>
      </c>
      <c r="H560" t="inlineStr">
        <is>
          <t>0.21</t>
        </is>
      </c>
      <c r="J560" t="inlineStr">
        <is>
          <t>NORPHONE CAYAMBE_PAOLA MORAN</t>
        </is>
      </c>
      <c r="K560" t="inlineStr">
        <is>
          <t>1091717898001</t>
        </is>
      </c>
      <c r="M560" t="inlineStr">
        <is>
          <t>INDIRECTO</t>
        </is>
      </c>
      <c r="N560" t="inlineStr">
        <is>
          <t>CANAL INDIRECTO</t>
        </is>
      </c>
    </row>
    <row r="561">
      <c r="A561" t="inlineStr">
        <is>
          <t>12/10/2026</t>
        </is>
      </c>
      <c r="B561" t="inlineStr">
        <is>
          <t>2026-08290</t>
        </is>
      </c>
      <c r="C561" t="inlineStr">
        <is>
          <t>163140</t>
        </is>
      </c>
      <c r="D561" t="inlineStr">
        <is>
          <t>163140</t>
        </is>
      </c>
      <c r="E561" t="inlineStr">
        <is>
          <t>HALFSIM TIGO</t>
        </is>
      </c>
      <c r="F561" t="n">
        <v>100</v>
      </c>
      <c r="G561" t="n">
        <v>69</v>
      </c>
      <c r="H561" t="inlineStr">
        <is>
          <t>0.69</t>
        </is>
      </c>
      <c r="J561" t="inlineStr">
        <is>
          <t>AE NORPHONE AMBATO_PAOLA MORAN</t>
        </is>
      </c>
      <c r="K561" t="inlineStr">
        <is>
          <t>1001472958</t>
        </is>
      </c>
      <c r="M561" t="inlineStr">
        <is>
          <t>INDIRECTO</t>
        </is>
      </c>
      <c r="N561" t="inlineStr">
        <is>
          <t>CANAL INDIRECTO</t>
        </is>
      </c>
    </row>
    <row r="562">
      <c r="A562" t="inlineStr">
        <is>
          <t>12/10/2026</t>
        </is>
      </c>
      <c r="B562" t="inlineStr">
        <is>
          <t>2026-08290</t>
        </is>
      </c>
      <c r="C562" t="inlineStr">
        <is>
          <t>163141</t>
        </is>
      </c>
      <c r="D562" t="inlineStr">
        <is>
          <t>163141</t>
        </is>
      </c>
      <c r="E562" t="inlineStr">
        <is>
          <t>ESIM TIGO DIGITAL</t>
        </is>
      </c>
      <c r="F562" t="n">
        <v>100</v>
      </c>
      <c r="G562" t="n">
        <v>21</v>
      </c>
      <c r="H562" t="inlineStr">
        <is>
          <t>0.21</t>
        </is>
      </c>
      <c r="J562" t="inlineStr">
        <is>
          <t>AE NORPHONE AMBATO_PAOLA MORAN</t>
        </is>
      </c>
      <c r="K562" t="inlineStr">
        <is>
          <t>1001472958</t>
        </is>
      </c>
      <c r="M562" t="inlineStr">
        <is>
          <t>INDIRECTO</t>
        </is>
      </c>
      <c r="N562" t="inlineStr">
        <is>
          <t>CANAL INDIRECTO</t>
        </is>
      </c>
    </row>
    <row r="563">
      <c r="A563" t="inlineStr">
        <is>
          <t>12/10/2026</t>
        </is>
      </c>
      <c r="B563" t="inlineStr">
        <is>
          <t>2026-08293</t>
        </is>
      </c>
      <c r="C563" t="inlineStr">
        <is>
          <t>163140</t>
        </is>
      </c>
      <c r="D563" t="inlineStr">
        <is>
          <t>163140</t>
        </is>
      </c>
      <c r="E563" t="inlineStr">
        <is>
          <t>HALFSIM TIGO</t>
        </is>
      </c>
      <c r="F563" t="n">
        <v>300</v>
      </c>
      <c r="G563" t="n">
        <v>206.99999999999997</v>
      </c>
      <c r="H563" t="inlineStr">
        <is>
          <t>0.69</t>
        </is>
      </c>
      <c r="J563" t="inlineStr">
        <is>
          <t>CAVS QUICENTRO_MENDOZA GUEVARA STALIN FERNANDO / JEFFERSON CEDEÑO</t>
        </is>
      </c>
      <c r="K563" t="inlineStr">
        <is>
          <t>1720258282</t>
        </is>
      </c>
      <c r="M563" t="inlineStr">
        <is>
          <t>INDIRECTO</t>
        </is>
      </c>
      <c r="N563" t="inlineStr">
        <is>
          <t>CANAL INDIRECTO</t>
        </is>
      </c>
    </row>
    <row r="564">
      <c r="A564" t="inlineStr">
        <is>
          <t>12/10/2026</t>
        </is>
      </c>
      <c r="B564" t="inlineStr">
        <is>
          <t>2026-08293</t>
        </is>
      </c>
      <c r="C564" t="inlineStr">
        <is>
          <t>163141</t>
        </is>
      </c>
      <c r="D564" t="inlineStr">
        <is>
          <t>163141</t>
        </is>
      </c>
      <c r="E564" t="inlineStr">
        <is>
          <t>ESIM TIGO DIGITAL</t>
        </is>
      </c>
      <c r="F564" t="n">
        <v>300</v>
      </c>
      <c r="G564" t="n">
        <v>63</v>
      </c>
      <c r="H564" t="inlineStr">
        <is>
          <t>0.21</t>
        </is>
      </c>
      <c r="J564" t="inlineStr">
        <is>
          <t>CAVS QUICENTRO_MENDOZA GUEVARA STALIN FERNANDO / JEFFERSON CEDEÑO</t>
        </is>
      </c>
      <c r="K564" t="inlineStr">
        <is>
          <t>1720258282</t>
        </is>
      </c>
      <c r="M564" t="inlineStr">
        <is>
          <t>INDIRECTO</t>
        </is>
      </c>
      <c r="N564" t="inlineStr">
        <is>
          <t>CANAL INDIRECTO</t>
        </is>
      </c>
    </row>
    <row r="565">
      <c r="A565" t="inlineStr">
        <is>
          <t>12/10/2026</t>
        </is>
      </c>
      <c r="B565" t="inlineStr">
        <is>
          <t>2026-08294</t>
        </is>
      </c>
      <c r="C565" t="inlineStr">
        <is>
          <t>163141</t>
        </is>
      </c>
      <c r="D565" t="inlineStr">
        <is>
          <t>163141</t>
        </is>
      </c>
      <c r="E565" t="inlineStr">
        <is>
          <t>ESIM TIGO DIGITAL</t>
        </is>
      </c>
      <c r="F565" t="n">
        <v>40</v>
      </c>
      <c r="G565" t="n">
        <v>8.4</v>
      </c>
      <c r="H565" t="inlineStr">
        <is>
          <t>0.21</t>
        </is>
      </c>
      <c r="J565" t="inlineStr">
        <is>
          <t>CELISTICS CAVS DAS AMBATO CENTRO_WALTER TAMAYO</t>
        </is>
      </c>
      <c r="K565" t="inlineStr">
        <is>
          <t>1792161037001</t>
        </is>
      </c>
      <c r="M565" t="inlineStr">
        <is>
          <t>INDIRECTO</t>
        </is>
      </c>
      <c r="N565" t="inlineStr">
        <is>
          <t>CANAL INDIRECTO</t>
        </is>
      </c>
    </row>
    <row r="566">
      <c r="A566" t="inlineStr">
        <is>
          <t>12/10/2026</t>
        </is>
      </c>
      <c r="B566" t="inlineStr">
        <is>
          <t>2026-08295</t>
        </is>
      </c>
      <c r="C566" t="inlineStr">
        <is>
          <t>163140_06</t>
        </is>
      </c>
      <c r="D566" t="inlineStr">
        <is>
          <t>163140</t>
        </is>
      </c>
      <c r="E566" t="inlineStr">
        <is>
          <t>HALFSIM TIGO PORTABILIDAD</t>
        </is>
      </c>
      <c r="F566" t="n">
        <v>100</v>
      </c>
      <c r="G566" t="n">
        <v>69</v>
      </c>
      <c r="H566" t="inlineStr">
        <is>
          <t>0.69</t>
        </is>
      </c>
      <c r="J566" t="inlineStr">
        <is>
          <t>SKYCELL CALLCENTER B2C_JUAN SEBASTIÁN GONZÁLEZ RODRIGUEZ</t>
        </is>
      </c>
      <c r="K566" t="inlineStr">
        <is>
          <t>0917961625</t>
        </is>
      </c>
      <c r="M566" t="inlineStr">
        <is>
          <t>INDIRECTO</t>
        </is>
      </c>
      <c r="N566" t="inlineStr">
        <is>
          <t>CANAL INDIRECTO</t>
        </is>
      </c>
    </row>
    <row r="567">
      <c r="A567" t="inlineStr">
        <is>
          <t>12/10/2026</t>
        </is>
      </c>
      <c r="B567" t="inlineStr">
        <is>
          <t>2026-08296</t>
        </is>
      </c>
      <c r="C567" t="inlineStr">
        <is>
          <t>163140</t>
        </is>
      </c>
      <c r="D567" t="inlineStr">
        <is>
          <t>163140</t>
        </is>
      </c>
      <c r="E567" t="inlineStr">
        <is>
          <t>HALFSIM TIGO</t>
        </is>
      </c>
      <c r="F567" t="n">
        <v>300</v>
      </c>
      <c r="G567" t="n">
        <v>206.99999999999997</v>
      </c>
      <c r="H567" t="inlineStr">
        <is>
          <t>0.69</t>
        </is>
      </c>
      <c r="J567" t="inlineStr">
        <is>
          <t>CAVS RECREO_RODRIGUEZ CELI CARMEN JACQUELIN / FAICAN QUINCHE ROSARIO NADEZDA</t>
        </is>
      </c>
      <c r="K567" t="inlineStr">
        <is>
          <t>1712117678 / 1104457054</t>
        </is>
      </c>
      <c r="M567" t="inlineStr">
        <is>
          <t>INDIRECTO</t>
        </is>
      </c>
      <c r="N567" t="inlineStr">
        <is>
          <t>CANAL INDIRECTO</t>
        </is>
      </c>
    </row>
    <row r="568">
      <c r="A568" t="inlineStr">
        <is>
          <t>12/10/2026</t>
        </is>
      </c>
      <c r="B568" t="inlineStr">
        <is>
          <t>2026-08296</t>
        </is>
      </c>
      <c r="C568" t="inlineStr">
        <is>
          <t>163141</t>
        </is>
      </c>
      <c r="D568" t="inlineStr">
        <is>
          <t>163141</t>
        </is>
      </c>
      <c r="E568" t="inlineStr">
        <is>
          <t>ESIM TIGO DIGITAL</t>
        </is>
      </c>
      <c r="F568" t="n">
        <v>200</v>
      </c>
      <c r="G568" t="n">
        <v>42</v>
      </c>
      <c r="H568" t="inlineStr">
        <is>
          <t>0.21</t>
        </is>
      </c>
      <c r="J568" t="inlineStr">
        <is>
          <t>CAVS RECREO_RODRIGUEZ CELI CARMEN JACQUELIN / FAICAN QUINCHE ROSARIO NADEZDA</t>
        </is>
      </c>
      <c r="K568" t="inlineStr">
        <is>
          <t>1712117678 / 1104457054</t>
        </is>
      </c>
      <c r="M568" t="inlineStr">
        <is>
          <t>INDIRECTO</t>
        </is>
      </c>
      <c r="N568" t="inlineStr">
        <is>
          <t>CANAL INDIRECTO</t>
        </is>
      </c>
    </row>
    <row r="569">
      <c r="A569" t="inlineStr">
        <is>
          <t>12/10/2026</t>
        </is>
      </c>
      <c r="B569" t="inlineStr">
        <is>
          <t>2026-08297</t>
        </is>
      </c>
      <c r="C569" t="inlineStr">
        <is>
          <t>163140_06</t>
        </is>
      </c>
      <c r="D569" t="inlineStr">
        <is>
          <t>163140</t>
        </is>
      </c>
      <c r="E569" t="inlineStr">
        <is>
          <t>HALFSIM TIGO PORTABILIDAD</t>
        </is>
      </c>
      <c r="F569" t="n">
        <v>200</v>
      </c>
      <c r="G569" t="n">
        <v>138</v>
      </c>
      <c r="H569" t="inlineStr">
        <is>
          <t>0.69</t>
        </is>
      </c>
      <c r="J569" t="inlineStr">
        <is>
          <t>KIOSKO CELISTICS PORTAL SHOPPING_TOBAR ZAMBRANO MARIA JOSE</t>
        </is>
      </c>
      <c r="K569" t="inlineStr">
        <is>
          <t>1306571512</t>
        </is>
      </c>
      <c r="M569" t="inlineStr">
        <is>
          <t>INDIRECTO</t>
        </is>
      </c>
      <c r="N569" t="inlineStr">
        <is>
          <t>CANAL INDIRECTO</t>
        </is>
      </c>
    </row>
    <row r="570">
      <c r="A570" t="inlineStr">
        <is>
          <t>12/10/2026</t>
        </is>
      </c>
      <c r="B570" t="inlineStr">
        <is>
          <t>2026-08299</t>
        </is>
      </c>
      <c r="C570" t="inlineStr">
        <is>
          <t>163140_06</t>
        </is>
      </c>
      <c r="D570" t="inlineStr">
        <is>
          <t>163140</t>
        </is>
      </c>
      <c r="E570" t="inlineStr">
        <is>
          <t>HALFSIM TIGO PORTABILIDAD</t>
        </is>
      </c>
      <c r="F570" t="n">
        <v>100</v>
      </c>
      <c r="G570" t="n">
        <v>69</v>
      </c>
      <c r="H570" t="inlineStr">
        <is>
          <t>0.69</t>
        </is>
      </c>
      <c r="J570" t="inlineStr">
        <is>
          <t>WINNERS CELL TUENTI SANTO DOMINGO_DANIEL EDUARDO JARRIN MARROQUIN</t>
        </is>
      </c>
      <c r="K570" t="inlineStr">
        <is>
          <t>1720429685001</t>
        </is>
      </c>
      <c r="M570" t="inlineStr">
        <is>
          <t>INDIRECTO</t>
        </is>
      </c>
      <c r="N570" t="inlineStr">
        <is>
          <t>CANAL INDIRECTO</t>
        </is>
      </c>
    </row>
    <row r="571">
      <c r="A571" t="inlineStr">
        <is>
          <t>12/10/2026</t>
        </is>
      </c>
      <c r="B571" t="inlineStr">
        <is>
          <t>2026-08300</t>
        </is>
      </c>
      <c r="C571" t="inlineStr">
        <is>
          <t>163140</t>
        </is>
      </c>
      <c r="D571" t="inlineStr">
        <is>
          <t>163140</t>
        </is>
      </c>
      <c r="E571" t="inlineStr">
        <is>
          <t>HALFSIM TIGO</t>
        </is>
      </c>
      <c r="F571" t="n">
        <v>300</v>
      </c>
      <c r="G571" t="n">
        <v>206.99999999999997</v>
      </c>
      <c r="H571" t="inlineStr">
        <is>
          <t>0.69</t>
        </is>
      </c>
      <c r="J571" t="inlineStr">
        <is>
          <t>CAVS PORTAL SHOPPING_ANDRES REA / ESTEBAL JIMENEZ</t>
        </is>
      </c>
      <c r="K571" t="inlineStr">
        <is>
          <t>1791890663001</t>
        </is>
      </c>
      <c r="M571" t="inlineStr">
        <is>
          <t>INDIRECTO</t>
        </is>
      </c>
      <c r="N571" t="inlineStr">
        <is>
          <t>CANAL INDIRECTO</t>
        </is>
      </c>
    </row>
    <row r="572">
      <c r="A572" t="inlineStr">
        <is>
          <t>12/10/2026</t>
        </is>
      </c>
      <c r="B572" t="inlineStr">
        <is>
          <t>2026-08300</t>
        </is>
      </c>
      <c r="C572" t="inlineStr">
        <is>
          <t>163141</t>
        </is>
      </c>
      <c r="D572" t="inlineStr">
        <is>
          <t>163141</t>
        </is>
      </c>
      <c r="E572" t="inlineStr">
        <is>
          <t>ESIM TIGO DIGITAL</t>
        </is>
      </c>
      <c r="F572" t="n">
        <v>300</v>
      </c>
      <c r="G572" t="n">
        <v>63</v>
      </c>
      <c r="H572" t="inlineStr">
        <is>
          <t>0.21</t>
        </is>
      </c>
      <c r="J572" t="inlineStr">
        <is>
          <t>CAVS PORTAL SHOPPING_ANDRES REA / ESTEBAL JIMENEZ</t>
        </is>
      </c>
      <c r="K572" t="inlineStr">
        <is>
          <t>1791890663001</t>
        </is>
      </c>
      <c r="M572" t="inlineStr">
        <is>
          <t>INDIRECTO</t>
        </is>
      </c>
      <c r="N572" t="inlineStr">
        <is>
          <t>CANAL INDIRECTO</t>
        </is>
      </c>
    </row>
    <row r="573">
      <c r="A573" t="inlineStr">
        <is>
          <t>12/10/2026</t>
        </is>
      </c>
      <c r="B573" t="inlineStr">
        <is>
          <t>2026-08301</t>
        </is>
      </c>
      <c r="C573" t="inlineStr">
        <is>
          <t>163140</t>
        </is>
      </c>
      <c r="D573" t="inlineStr">
        <is>
          <t>163140</t>
        </is>
      </c>
      <c r="E573" t="inlineStr">
        <is>
          <t>HALFSIM TIGO</t>
        </is>
      </c>
      <c r="F573" t="n">
        <v>200</v>
      </c>
      <c r="G573" t="n">
        <v>138</v>
      </c>
      <c r="H573" t="inlineStr">
        <is>
          <t>0.69</t>
        </is>
      </c>
      <c r="J573" t="inlineStr">
        <is>
          <t>CAV MALL DEL SOL_FREDDY ALFREDO PLUAS MIRANDA / EDITA DANIELA MORAN ORRALA</t>
        </is>
      </c>
      <c r="K573" t="inlineStr">
        <is>
          <t>0941448565 / 0921268066</t>
        </is>
      </c>
      <c r="M573" t="inlineStr">
        <is>
          <t>INDIRECTO</t>
        </is>
      </c>
      <c r="N573" t="inlineStr">
        <is>
          <t>CANAL INDIRECTO</t>
        </is>
      </c>
    </row>
    <row r="574">
      <c r="A574" t="inlineStr">
        <is>
          <t>12/10/2026</t>
        </is>
      </c>
      <c r="B574" t="inlineStr">
        <is>
          <t>2026-08303</t>
        </is>
      </c>
      <c r="C574" t="inlineStr">
        <is>
          <t>163140_02</t>
        </is>
      </c>
      <c r="D574" t="inlineStr">
        <is>
          <t>163140</t>
        </is>
      </c>
      <c r="E574" t="inlineStr">
        <is>
          <t>HALFSIM TIGO CHIP PREPAGO $3 WP NUMERADO</t>
        </is>
      </c>
      <c r="F574" t="n">
        <v>1000</v>
      </c>
      <c r="G574" t="n">
        <v>690</v>
      </c>
      <c r="H574" t="inlineStr">
        <is>
          <t>0.69</t>
        </is>
      </c>
      <c r="J574" t="inlineStr">
        <is>
          <t>TECECAB ZONIFICACION ORIENTE_PAOLA MORETA</t>
        </is>
      </c>
      <c r="K574" t="inlineStr">
        <is>
          <t>1716278575</t>
        </is>
      </c>
      <c r="M574" t="inlineStr">
        <is>
          <t>INDIRECTO</t>
        </is>
      </c>
      <c r="N574" t="inlineStr">
        <is>
          <t>CANAL INDIRECTO</t>
        </is>
      </c>
    </row>
    <row r="575">
      <c r="A575" t="inlineStr">
        <is>
          <t>12/10/2026</t>
        </is>
      </c>
      <c r="B575" t="inlineStr">
        <is>
          <t>2026-08305</t>
        </is>
      </c>
      <c r="C575" t="inlineStr">
        <is>
          <t>163140</t>
        </is>
      </c>
      <c r="D575" t="inlineStr">
        <is>
          <t>163140</t>
        </is>
      </c>
      <c r="E575" t="inlineStr">
        <is>
          <t>HALFSIM TIGO</t>
        </is>
      </c>
      <c r="F575" t="n">
        <v>100</v>
      </c>
      <c r="G575" t="n">
        <v>69</v>
      </c>
      <c r="H575" t="inlineStr">
        <is>
          <t>0.69</t>
        </is>
      </c>
      <c r="J575" t="inlineStr">
        <is>
          <t>CAVS MALL DE LOS ANDES_HERRERA BAYAS PAMELA ALEJANDRA / PALOMO GADVAY DORIAN DANILO</t>
        </is>
      </c>
      <c r="K575" t="inlineStr">
        <is>
          <t>1850061399 / 1804889739</t>
        </is>
      </c>
      <c r="M575" t="inlineStr">
        <is>
          <t>INDIRECTO</t>
        </is>
      </c>
      <c r="N575" t="inlineStr">
        <is>
          <t>CANAL INDIRECTO</t>
        </is>
      </c>
    </row>
    <row r="576">
      <c r="A576" t="inlineStr">
        <is>
          <t>12/10/2026</t>
        </is>
      </c>
      <c r="B576" t="inlineStr">
        <is>
          <t>2026-08306</t>
        </is>
      </c>
      <c r="C576" t="inlineStr">
        <is>
          <t>163140_06</t>
        </is>
      </c>
      <c r="D576" t="inlineStr">
        <is>
          <t>163140</t>
        </is>
      </c>
      <c r="E576" t="inlineStr">
        <is>
          <t>HALFSIM TIGO PORTABILIDAD</t>
        </is>
      </c>
      <c r="F576" t="n">
        <v>200</v>
      </c>
      <c r="G576" t="n">
        <v>138</v>
      </c>
      <c r="H576" t="inlineStr">
        <is>
          <t>0.69</t>
        </is>
      </c>
      <c r="J576" t="inlineStr">
        <is>
          <t>KIOSKO CELISTICS HYPERCORAL LA MAGDALENA QUITO_TOBAR ZAMBRANO MARIA JOSE</t>
        </is>
      </c>
      <c r="K576" t="inlineStr">
        <is>
          <t>1306571512</t>
        </is>
      </c>
      <c r="M576" t="inlineStr">
        <is>
          <t>INDIRECTO</t>
        </is>
      </c>
      <c r="N576" t="inlineStr">
        <is>
          <t>CANAL INDIRECTO</t>
        </is>
      </c>
    </row>
    <row r="577">
      <c r="A577" t="inlineStr">
        <is>
          <t>12/10/2026</t>
        </is>
      </c>
      <c r="B577" t="inlineStr">
        <is>
          <t>2026-08308</t>
        </is>
      </c>
      <c r="C577" t="inlineStr">
        <is>
          <t>162699</t>
        </is>
      </c>
      <c r="D577" t="inlineStr">
        <is>
          <t>162699</t>
        </is>
      </c>
      <c r="E577" t="inlineStr">
        <is>
          <t>HALFSIM KITE M2M 4FF DEVICE CONTROL TELEFONICA</t>
        </is>
      </c>
      <c r="F577" t="n">
        <v>1000</v>
      </c>
      <c r="G577" t="n">
        <v>690</v>
      </c>
      <c r="H577" t="inlineStr">
        <is>
          <t>0.69</t>
        </is>
      </c>
      <c r="J577" t="inlineStr">
        <is>
          <t>CARRO SEGURO CARSEG S.A. _ENRIQUE MALTA</t>
        </is>
      </c>
      <c r="K577" t="inlineStr">
        <is>
          <t>0991259546001</t>
        </is>
      </c>
      <c r="M577" t="inlineStr">
        <is>
          <t>INDIRECTO</t>
        </is>
      </c>
      <c r="N577" t="inlineStr">
        <is>
          <t>CANAL INDIRECTO</t>
        </is>
      </c>
    </row>
    <row r="578">
      <c r="A578" t="inlineStr">
        <is>
          <t>12/10/2026</t>
        </is>
      </c>
      <c r="B578" t="inlineStr">
        <is>
          <t>2026-08309</t>
        </is>
      </c>
      <c r="C578" t="inlineStr">
        <is>
          <t>162593</t>
        </is>
      </c>
      <c r="D578" t="inlineStr">
        <is>
          <t>162593</t>
        </is>
      </c>
      <c r="E578" t="inlineStr">
        <is>
          <t>HALFSIM KITE M2M 3FF DEVICE CONTROL BLANCA</t>
        </is>
      </c>
      <c r="F578" t="n">
        <v>500</v>
      </c>
      <c r="G578" t="n">
        <v>335</v>
      </c>
      <c r="H578" t="inlineStr">
        <is>
          <t>0.67</t>
        </is>
      </c>
      <c r="J578" t="inlineStr">
        <is>
          <t>CARRO SEGURO CARSEG S.A. _ENRIQUE MALTA</t>
        </is>
      </c>
      <c r="K578" t="inlineStr">
        <is>
          <t>0991259546001</t>
        </is>
      </c>
      <c r="M578" t="inlineStr">
        <is>
          <t>INDIRECTO</t>
        </is>
      </c>
      <c r="N578" t="inlineStr">
        <is>
          <t>CANAL INDIRECTO</t>
        </is>
      </c>
    </row>
    <row r="579">
      <c r="A579" t="inlineStr">
        <is>
          <t>12/10/2026</t>
        </is>
      </c>
      <c r="B579" t="inlineStr">
        <is>
          <t>2026-08310</t>
        </is>
      </c>
      <c r="C579" t="inlineStr">
        <is>
          <t>162593</t>
        </is>
      </c>
      <c r="D579" t="inlineStr">
        <is>
          <t>162593</t>
        </is>
      </c>
      <c r="E579" t="inlineStr">
        <is>
          <t>HALFSIM KITE M2M 3FF DEVICE CONTROL BLANCA</t>
        </is>
      </c>
      <c r="F579" t="n">
        <v>1000</v>
      </c>
      <c r="G579" t="n">
        <v>670</v>
      </c>
      <c r="H579" t="inlineStr">
        <is>
          <t>0.67</t>
        </is>
      </c>
      <c r="J579" t="inlineStr">
        <is>
          <t>CARRO SEGURO CARSEG S.A. _ENRIQUE MALTA</t>
        </is>
      </c>
      <c r="K579" t="inlineStr">
        <is>
          <t>0991259546001</t>
        </is>
      </c>
      <c r="M579" t="inlineStr">
        <is>
          <t>INDIRECTO</t>
        </is>
      </c>
      <c r="N579" t="inlineStr">
        <is>
          <t>CANAL INDIRECTO</t>
        </is>
      </c>
    </row>
    <row r="580">
      <c r="A580" t="inlineStr">
        <is>
          <t>12/10/2026</t>
        </is>
      </c>
      <c r="B580" t="inlineStr">
        <is>
          <t>2026-08311</t>
        </is>
      </c>
      <c r="C580" t="inlineStr">
        <is>
          <t>162699</t>
        </is>
      </c>
      <c r="D580" t="inlineStr">
        <is>
          <t>162699</t>
        </is>
      </c>
      <c r="E580" t="inlineStr">
        <is>
          <t>HALFSIM KITE M2M 4FF DEVICE CONTROL TELEFONICA</t>
        </is>
      </c>
      <c r="F580" t="n">
        <v>10</v>
      </c>
      <c r="G580" t="n">
        <v>6.8999999999999995</v>
      </c>
      <c r="H580" t="inlineStr">
        <is>
          <t>0.69</t>
        </is>
      </c>
      <c r="J580" t="inlineStr">
        <is>
          <t xml:space="preserve">RED TRANSACCIONAL COOPERATIVA S.A. RTC_JULIA TORRES A </t>
        </is>
      </c>
      <c r="K580" t="inlineStr">
        <is>
          <t>1792063574001</t>
        </is>
      </c>
      <c r="M580" t="inlineStr">
        <is>
          <t>INDIRECTO</t>
        </is>
      </c>
      <c r="N580" t="inlineStr">
        <is>
          <t>CANAL INDIRECTO</t>
        </is>
      </c>
    </row>
    <row r="581">
      <c r="A581" t="inlineStr">
        <is>
          <t>12/10/2026</t>
        </is>
      </c>
      <c r="B581" t="inlineStr">
        <is>
          <t>16503736</t>
        </is>
      </c>
      <c r="C581" t="inlineStr">
        <is>
          <t>163140</t>
        </is>
      </c>
      <c r="D581" t="inlineStr">
        <is>
          <t>163140</t>
        </is>
      </c>
      <c r="E581" t="inlineStr">
        <is>
          <t>HALFSIM TIGO</t>
        </is>
      </c>
      <c r="F581" t="n">
        <v>1</v>
      </c>
      <c r="G581" t="n">
        <v>0.69</v>
      </c>
      <c r="H581" t="inlineStr">
        <is>
          <t>0.69</t>
        </is>
      </c>
      <c r="J581" t="inlineStr">
        <is>
          <t>MARIA GABRIELA QUISHPE LOPEZ_MARIA DE LOS ANGELES CUESTA BUCHELI</t>
        </is>
      </c>
      <c r="K581" t="inlineStr">
        <is>
          <t>1717524860001</t>
        </is>
      </c>
      <c r="M581" t="inlineStr">
        <is>
          <t>BTB</t>
        </is>
      </c>
      <c r="N581" t="inlineStr">
        <is>
          <t>CANAL DIRECTO</t>
        </is>
      </c>
    </row>
    <row r="582">
      <c r="A582" t="inlineStr">
        <is>
          <t>12/10/2026</t>
        </is>
      </c>
      <c r="B582" t="inlineStr">
        <is>
          <t>16503748</t>
        </is>
      </c>
      <c r="C582" t="inlineStr">
        <is>
          <t>163140</t>
        </is>
      </c>
      <c r="D582" t="inlineStr">
        <is>
          <t>163140</t>
        </is>
      </c>
      <c r="E582" t="inlineStr">
        <is>
          <t>HALFSIM TIGO</t>
        </is>
      </c>
      <c r="F582" t="n">
        <v>1</v>
      </c>
      <c r="G582" t="n">
        <v>0.69</v>
      </c>
      <c r="H582" t="inlineStr">
        <is>
          <t>0.69</t>
        </is>
      </c>
      <c r="J582" t="inlineStr">
        <is>
          <t>JOSELYN RODRIGUEZ_RICARDO FABIAN BOLANOS LARCO</t>
        </is>
      </c>
      <c r="K582" t="inlineStr">
        <is>
          <t>1722440391001</t>
        </is>
      </c>
      <c r="M582" t="inlineStr">
        <is>
          <t>BTB</t>
        </is>
      </c>
      <c r="N582" t="inlineStr">
        <is>
          <t>CANAL DIRECTO</t>
        </is>
      </c>
    </row>
    <row r="583">
      <c r="A583" t="inlineStr">
        <is>
          <t>12/10/2026</t>
        </is>
      </c>
      <c r="B583" t="inlineStr">
        <is>
          <t>16504779</t>
        </is>
      </c>
      <c r="C583" t="inlineStr">
        <is>
          <t>163140</t>
        </is>
      </c>
      <c r="D583" t="inlineStr">
        <is>
          <t>163140</t>
        </is>
      </c>
      <c r="E583" t="inlineStr">
        <is>
          <t>HALFSIM TIGO</t>
        </is>
      </c>
      <c r="F583" t="n">
        <v>1</v>
      </c>
      <c r="G583" t="n">
        <v>0.69</v>
      </c>
      <c r="H583" t="inlineStr">
        <is>
          <t>0.69</t>
        </is>
      </c>
      <c r="J583" t="inlineStr">
        <is>
          <t>FRANCISCO RENGIFO_BAVARIANAUTO CIA LTDA</t>
        </is>
      </c>
      <c r="K583" t="inlineStr">
        <is>
          <t>1792169801001</t>
        </is>
      </c>
      <c r="M583" t="inlineStr">
        <is>
          <t>BTB</t>
        </is>
      </c>
      <c r="N583" t="inlineStr">
        <is>
          <t>CANAL DIRECTO</t>
        </is>
      </c>
    </row>
    <row r="584">
      <c r="A584" t="inlineStr">
        <is>
          <t>12/10/2026</t>
        </is>
      </c>
      <c r="B584" t="inlineStr">
        <is>
          <t>16504780</t>
        </is>
      </c>
      <c r="C584" t="inlineStr">
        <is>
          <t>163140</t>
        </is>
      </c>
      <c r="D584" t="inlineStr">
        <is>
          <t>163140</t>
        </is>
      </c>
      <c r="E584" t="inlineStr">
        <is>
          <t>HALFSIM TIGO</t>
        </is>
      </c>
      <c r="F584" t="n">
        <v>1</v>
      </c>
      <c r="G584" t="n">
        <v>0.69</v>
      </c>
      <c r="H584" t="inlineStr">
        <is>
          <t>0.69</t>
        </is>
      </c>
      <c r="J584" t="inlineStr">
        <is>
          <t>JOSELYN ROGRIGUEZ_ECOBAGS S A S</t>
        </is>
      </c>
      <c r="K584" t="inlineStr">
        <is>
          <t>1793072887001</t>
        </is>
      </c>
      <c r="M584" t="inlineStr">
        <is>
          <t>BTB</t>
        </is>
      </c>
      <c r="N584" t="inlineStr">
        <is>
          <t>CANAL DIRECTO</t>
        </is>
      </c>
    </row>
    <row r="585">
      <c r="A585" t="inlineStr">
        <is>
          <t>13/10/2026</t>
        </is>
      </c>
      <c r="B585" t="inlineStr">
        <is>
          <t>16502314</t>
        </is>
      </c>
      <c r="C585" t="inlineStr">
        <is>
          <t>163140</t>
        </is>
      </c>
      <c r="D585" t="inlineStr">
        <is>
          <t>163140</t>
        </is>
      </c>
      <c r="E585" t="inlineStr">
        <is>
          <t>HALFSIM TIGO</t>
        </is>
      </c>
      <c r="F585" t="n">
        <v>1</v>
      </c>
      <c r="G585" t="n">
        <v>0.69</v>
      </c>
      <c r="H585" t="inlineStr">
        <is>
          <t>0.69</t>
        </is>
      </c>
      <c r="J585" t="inlineStr">
        <is>
          <t>CORREA VEGA MARIO FABIAN_CORREA VEGA MARIO FABIAN</t>
        </is>
      </c>
      <c r="K585" t="inlineStr">
        <is>
          <t>1704766987001</t>
        </is>
      </c>
      <c r="M585" t="inlineStr">
        <is>
          <t>BTB</t>
        </is>
      </c>
      <c r="N585" t="inlineStr">
        <is>
          <t>CANAL DIRECTO</t>
        </is>
      </c>
    </row>
    <row r="586">
      <c r="A586" t="inlineStr">
        <is>
          <t>13/10/2026</t>
        </is>
      </c>
      <c r="B586" t="inlineStr">
        <is>
          <t>16502396</t>
        </is>
      </c>
      <c r="C586" t="inlineStr">
        <is>
          <t>163140</t>
        </is>
      </c>
      <c r="D586" t="inlineStr">
        <is>
          <t>163140</t>
        </is>
      </c>
      <c r="E586" t="inlineStr">
        <is>
          <t>HALFSIM TIGO</t>
        </is>
      </c>
      <c r="F586" t="n">
        <v>1</v>
      </c>
      <c r="G586" t="n">
        <v>0.69</v>
      </c>
      <c r="H586" t="inlineStr">
        <is>
          <t>0.69</t>
        </is>
      </c>
      <c r="J586" t="inlineStr">
        <is>
          <t>CAIZA CAIZA EDWIN PATRICIO_CAIZA CAIZA EDWIN PATRICIO</t>
        </is>
      </c>
      <c r="K586" t="inlineStr">
        <is>
          <t>1713305843001</t>
        </is>
      </c>
      <c r="M586" t="inlineStr">
        <is>
          <t>BTB</t>
        </is>
      </c>
      <c r="N586" t="inlineStr">
        <is>
          <t>CANAL DIRECTO</t>
        </is>
      </c>
    </row>
    <row r="587">
      <c r="A587" t="inlineStr">
        <is>
          <t>13/10/2026</t>
        </is>
      </c>
      <c r="B587" t="inlineStr">
        <is>
          <t>16502963</t>
        </is>
      </c>
      <c r="C587" t="inlineStr">
        <is>
          <t>163140</t>
        </is>
      </c>
      <c r="D587" t="inlineStr">
        <is>
          <t>163140</t>
        </is>
      </c>
      <c r="E587" t="inlineStr">
        <is>
          <t>HALFSIM TIGO</t>
        </is>
      </c>
      <c r="F587" t="n">
        <v>1</v>
      </c>
      <c r="G587" t="n">
        <v>0.69</v>
      </c>
      <c r="H587" t="inlineStr">
        <is>
          <t>0.69</t>
        </is>
      </c>
      <c r="J587" t="inlineStr">
        <is>
          <t>DANIEL HERIBERTO CEDENO RODRIGUEZ_DANIEL HERIBERTO CEDENO RODRIGUEZ</t>
        </is>
      </c>
      <c r="K587" t="inlineStr">
        <is>
          <t>1312647652001</t>
        </is>
      </c>
      <c r="L587" t="inlineStr">
        <is>
          <t>MANTA</t>
        </is>
      </c>
      <c r="M587" t="inlineStr">
        <is>
          <t>BTB</t>
        </is>
      </c>
      <c r="N587" t="inlineStr">
        <is>
          <t>CANAL DIRECTO</t>
        </is>
      </c>
    </row>
    <row r="588">
      <c r="A588" t="inlineStr">
        <is>
          <t>13/10/2026</t>
        </is>
      </c>
      <c r="B588" t="inlineStr">
        <is>
          <t>16503100</t>
        </is>
      </c>
      <c r="C588" t="inlineStr">
        <is>
          <t>163140</t>
        </is>
      </c>
      <c r="D588" t="inlineStr">
        <is>
          <t>163140</t>
        </is>
      </c>
      <c r="E588" t="inlineStr">
        <is>
          <t>HALFSIM TIGO</t>
        </is>
      </c>
      <c r="F588" t="n">
        <v>1</v>
      </c>
      <c r="G588" t="n">
        <v>0.69</v>
      </c>
      <c r="H588" t="inlineStr">
        <is>
          <t>0.69</t>
        </is>
      </c>
      <c r="J588" t="inlineStr">
        <is>
          <t>POZO AVILA CARLOS GUSTAVO_POZO AVILA CARLOS GUSTAVO</t>
        </is>
      </c>
      <c r="K588" t="inlineStr">
        <is>
          <t>2400352270001</t>
        </is>
      </c>
      <c r="M588" t="inlineStr">
        <is>
          <t>BTB</t>
        </is>
      </c>
      <c r="N588" t="inlineStr">
        <is>
          <t>CANAL DIRECTO</t>
        </is>
      </c>
    </row>
    <row r="589">
      <c r="A589" t="inlineStr">
        <is>
          <t>13/10/2026</t>
        </is>
      </c>
      <c r="B589" t="inlineStr">
        <is>
          <t>16503111</t>
        </is>
      </c>
      <c r="C589" t="inlineStr">
        <is>
          <t>163140</t>
        </is>
      </c>
      <c r="D589" t="inlineStr">
        <is>
          <t>163140</t>
        </is>
      </c>
      <c r="E589" t="inlineStr">
        <is>
          <t>HALFSIM TIGO</t>
        </is>
      </c>
      <c r="F589" t="n">
        <v>1</v>
      </c>
      <c r="G589" t="n">
        <v>0.69</v>
      </c>
      <c r="H589" t="inlineStr">
        <is>
          <t>0.69</t>
        </is>
      </c>
      <c r="J589" t="inlineStr">
        <is>
          <t>SARAGURO ROMERO FREDY ARMANDO_SARAGURO ROMERO FREDY ARMANDO</t>
        </is>
      </c>
      <c r="K589" t="inlineStr">
        <is>
          <t>0106084650001</t>
        </is>
      </c>
      <c r="M589" t="inlineStr">
        <is>
          <t>BTB</t>
        </is>
      </c>
      <c r="N589" t="inlineStr">
        <is>
          <t>CANAL DIRECTO</t>
        </is>
      </c>
    </row>
    <row r="590">
      <c r="A590" t="inlineStr">
        <is>
          <t>13/10/2026</t>
        </is>
      </c>
      <c r="B590" t="inlineStr">
        <is>
          <t>16503151</t>
        </is>
      </c>
      <c r="C590" t="inlineStr">
        <is>
          <t>163140</t>
        </is>
      </c>
      <c r="D590" t="inlineStr">
        <is>
          <t>163140</t>
        </is>
      </c>
      <c r="E590" t="inlineStr">
        <is>
          <t>HALFSIM TIGO</t>
        </is>
      </c>
      <c r="F590" t="n">
        <v>1</v>
      </c>
      <c r="G590" t="n">
        <v>0.69</v>
      </c>
      <c r="H590" t="inlineStr">
        <is>
          <t>0.69</t>
        </is>
      </c>
      <c r="J590" t="inlineStr">
        <is>
          <t>SALAN VALLEJO JUAN GABRIEL_SALAN VALLEJO JUAN GABRIEL</t>
        </is>
      </c>
      <c r="K590" t="inlineStr">
        <is>
          <t>1803775418001</t>
        </is>
      </c>
      <c r="M590" t="inlineStr">
        <is>
          <t>BTB</t>
        </is>
      </c>
      <c r="N590" t="inlineStr">
        <is>
          <t>CANAL DIRECTO</t>
        </is>
      </c>
    </row>
    <row r="591">
      <c r="A591" t="inlineStr">
        <is>
          <t>13/10/2026</t>
        </is>
      </c>
      <c r="B591" t="inlineStr">
        <is>
          <t>16503177</t>
        </is>
      </c>
      <c r="C591" t="inlineStr">
        <is>
          <t>163140</t>
        </is>
      </c>
      <c r="D591" t="inlineStr">
        <is>
          <t>163140</t>
        </is>
      </c>
      <c r="E591" t="inlineStr">
        <is>
          <t>HALFSIM TIGO</t>
        </is>
      </c>
      <c r="F591" t="n">
        <v>1</v>
      </c>
      <c r="G591" t="n">
        <v>0.69</v>
      </c>
      <c r="H591" t="inlineStr">
        <is>
          <t>0.69</t>
        </is>
      </c>
      <c r="J591" t="inlineStr">
        <is>
          <t>CANAR LIGNA STALIN MARTIN_CANAR LIGNA STALIN MARTIN</t>
        </is>
      </c>
      <c r="K591" t="inlineStr">
        <is>
          <t>1714354493001</t>
        </is>
      </c>
      <c r="M591" t="inlineStr">
        <is>
          <t>BTB</t>
        </is>
      </c>
      <c r="N591" t="inlineStr">
        <is>
          <t>CANAL DIRECTO</t>
        </is>
      </c>
    </row>
    <row r="592">
      <c r="A592" t="inlineStr">
        <is>
          <t>13/10/2026</t>
        </is>
      </c>
      <c r="B592" t="inlineStr">
        <is>
          <t>16503227</t>
        </is>
      </c>
      <c r="C592" t="inlineStr">
        <is>
          <t>163140</t>
        </is>
      </c>
      <c r="D592" t="inlineStr">
        <is>
          <t>163140</t>
        </is>
      </c>
      <c r="E592" t="inlineStr">
        <is>
          <t>HALFSIM TIGO</t>
        </is>
      </c>
      <c r="F592" t="n">
        <v>1</v>
      </c>
      <c r="G592" t="n">
        <v>0.69</v>
      </c>
      <c r="H592" t="inlineStr">
        <is>
          <t>0.69</t>
        </is>
      </c>
      <c r="J592" t="inlineStr">
        <is>
          <t>ALEX INIGUEZ_ALEX INIGUEZ</t>
        </is>
      </c>
      <c r="K592" t="inlineStr">
        <is>
          <t>0190324818001</t>
        </is>
      </c>
      <c r="M592" t="inlineStr">
        <is>
          <t>BTB</t>
        </is>
      </c>
      <c r="N592" t="inlineStr">
        <is>
          <t>CANAL DIRECTO</t>
        </is>
      </c>
    </row>
    <row r="593">
      <c r="A593" t="inlineStr">
        <is>
          <t>13/10/2026</t>
        </is>
      </c>
      <c r="B593" t="inlineStr">
        <is>
          <t>2026-08207</t>
        </is>
      </c>
      <c r="C593" t="inlineStr">
        <is>
          <t>163140_02</t>
        </is>
      </c>
      <c r="D593" t="inlineStr">
        <is>
          <t>163140</t>
        </is>
      </c>
      <c r="E593" t="inlineStr">
        <is>
          <t>HALFSIM TIGO CHIP PREPAGO $3 WP NUMERADO</t>
        </is>
      </c>
      <c r="F593" t="n">
        <v>700</v>
      </c>
      <c r="G593" t="n">
        <v>482.99999999999994</v>
      </c>
      <c r="H593" t="inlineStr">
        <is>
          <t>0.69</t>
        </is>
      </c>
      <c r="J593" t="inlineStr">
        <is>
          <t>MOVIPHONE ZONIFICADO LOJA_DIEGO ARMANDO VASQUEZ SALDAÑA</t>
        </is>
      </c>
      <c r="K593" t="inlineStr">
        <is>
          <t>0391007160001</t>
        </is>
      </c>
      <c r="M593" t="inlineStr">
        <is>
          <t>INDIRECTO</t>
        </is>
      </c>
      <c r="N593" t="inlineStr">
        <is>
          <t>CANAL INDIRECTO</t>
        </is>
      </c>
    </row>
    <row r="594">
      <c r="A594" t="inlineStr">
        <is>
          <t>13/10/2026</t>
        </is>
      </c>
      <c r="B594" t="inlineStr">
        <is>
          <t>2026-08208</t>
        </is>
      </c>
      <c r="C594" t="inlineStr">
        <is>
          <t>163140_02</t>
        </is>
      </c>
      <c r="D594" t="inlineStr">
        <is>
          <t>163140</t>
        </is>
      </c>
      <c r="E594" t="inlineStr">
        <is>
          <t>HALFSIM TIGO CHIP PREPAGO $3 WP NUMERADO</t>
        </is>
      </c>
      <c r="F594" t="n">
        <v>300</v>
      </c>
      <c r="G594" t="n">
        <v>206.99999999999997</v>
      </c>
      <c r="H594" t="inlineStr">
        <is>
          <t>0.69</t>
        </is>
      </c>
      <c r="J594" t="inlineStr">
        <is>
          <t>MOVIPHONE LOJA/ZAMORA PDA_LENIN CRESPO</t>
        </is>
      </c>
      <c r="K594" t="inlineStr">
        <is>
          <t>0301197232</t>
        </is>
      </c>
      <c r="M594" t="inlineStr">
        <is>
          <t>INDIRECTO</t>
        </is>
      </c>
      <c r="N594" t="inlineStr">
        <is>
          <t>CANAL INDIRECTO</t>
        </is>
      </c>
    </row>
    <row r="595">
      <c r="A595" t="inlineStr">
        <is>
          <t>13/10/2026</t>
        </is>
      </c>
      <c r="B595" t="inlineStr">
        <is>
          <t>16503481</t>
        </is>
      </c>
      <c r="C595" t="inlineStr">
        <is>
          <t>163140</t>
        </is>
      </c>
      <c r="D595" t="inlineStr">
        <is>
          <t>163140</t>
        </is>
      </c>
      <c r="E595" t="inlineStr">
        <is>
          <t>HALFSIM TIGO</t>
        </is>
      </c>
      <c r="F595" t="n">
        <v>1</v>
      </c>
      <c r="G595" t="n">
        <v>0.69</v>
      </c>
      <c r="H595" t="inlineStr">
        <is>
          <t>0.69</t>
        </is>
      </c>
      <c r="J595" t="inlineStr">
        <is>
          <t>DIEGO FERNANDO PONCE PEREZ_DIEGO FERNANDO PONCE PEREZ</t>
        </is>
      </c>
      <c r="K595" t="inlineStr">
        <is>
          <t>1712650983001</t>
        </is>
      </c>
      <c r="M595" t="inlineStr">
        <is>
          <t>BTB</t>
        </is>
      </c>
      <c r="N595" t="inlineStr">
        <is>
          <t>CANAL DIRECTO</t>
        </is>
      </c>
    </row>
    <row r="596">
      <c r="A596" t="inlineStr">
        <is>
          <t>13/10/2026</t>
        </is>
      </c>
      <c r="B596" t="inlineStr">
        <is>
          <t>16503508</t>
        </is>
      </c>
      <c r="C596" t="inlineStr">
        <is>
          <t>163140</t>
        </is>
      </c>
      <c r="D596" t="inlineStr">
        <is>
          <t>163140</t>
        </is>
      </c>
      <c r="E596" t="inlineStr">
        <is>
          <t>HALFSIM TIGO</t>
        </is>
      </c>
      <c r="F596" t="n">
        <v>1</v>
      </c>
      <c r="G596" t="n">
        <v>0.69</v>
      </c>
      <c r="H596" t="inlineStr">
        <is>
          <t>0.69</t>
        </is>
      </c>
      <c r="J596" t="inlineStr">
        <is>
          <t>AREVALO TAPIA SONIA PAOLA_AREVALO TAPIA SONIA PAOLA</t>
        </is>
      </c>
      <c r="K596" t="inlineStr">
        <is>
          <t>1714061940001</t>
        </is>
      </c>
      <c r="M596" t="inlineStr">
        <is>
          <t>BTB</t>
        </is>
      </c>
      <c r="N596" t="inlineStr">
        <is>
          <t>CANAL DIRECTO</t>
        </is>
      </c>
    </row>
    <row r="597">
      <c r="A597" t="inlineStr">
        <is>
          <t>13/10/2026</t>
        </is>
      </c>
      <c r="B597" t="inlineStr">
        <is>
          <t>16503528</t>
        </is>
      </c>
      <c r="C597" t="inlineStr">
        <is>
          <t>163140</t>
        </is>
      </c>
      <c r="D597" t="inlineStr">
        <is>
          <t>163140</t>
        </is>
      </c>
      <c r="E597" t="inlineStr">
        <is>
          <t>HALFSIM TIGO</t>
        </is>
      </c>
      <c r="F597" t="n">
        <v>1</v>
      </c>
      <c r="G597" t="n">
        <v>0.69</v>
      </c>
      <c r="H597" t="inlineStr">
        <is>
          <t>0.69</t>
        </is>
      </c>
      <c r="J597" t="inlineStr">
        <is>
          <t>JARA LEON JULIO ENRIQUE PATRICIO_JARA LEON JULIO ENRIQUE PATRICIO</t>
        </is>
      </c>
      <c r="K597" t="inlineStr">
        <is>
          <t>0501158539001</t>
        </is>
      </c>
      <c r="M597" t="inlineStr">
        <is>
          <t>BTB</t>
        </is>
      </c>
      <c r="N597" t="inlineStr">
        <is>
          <t>CANAL DIRECTO</t>
        </is>
      </c>
    </row>
    <row r="598">
      <c r="A598" t="inlineStr">
        <is>
          <t>13/10/2026</t>
        </is>
      </c>
      <c r="B598" t="inlineStr">
        <is>
          <t>16503544</t>
        </is>
      </c>
      <c r="C598" t="inlineStr">
        <is>
          <t>163140</t>
        </is>
      </c>
      <c r="D598" t="inlineStr">
        <is>
          <t>163140</t>
        </is>
      </c>
      <c r="E598" t="inlineStr">
        <is>
          <t>HALFSIM TIGO</t>
        </is>
      </c>
      <c r="F598" t="n">
        <v>1</v>
      </c>
      <c r="G598" t="n">
        <v>0.69</v>
      </c>
      <c r="H598" t="inlineStr">
        <is>
          <t>0.69</t>
        </is>
      </c>
      <c r="J598" t="inlineStr">
        <is>
          <t>JESSENIA RIVERA_CONTROLPLAGX S A</t>
        </is>
      </c>
      <c r="K598" t="inlineStr">
        <is>
          <t>1792810027001</t>
        </is>
      </c>
      <c r="M598" t="inlineStr">
        <is>
          <t>BTB</t>
        </is>
      </c>
      <c r="N598" t="inlineStr">
        <is>
          <t>CANAL DIRECTO</t>
        </is>
      </c>
    </row>
    <row r="599">
      <c r="A599" t="inlineStr">
        <is>
          <t>13/10/2026</t>
        </is>
      </c>
      <c r="B599" t="inlineStr">
        <is>
          <t>16503597</t>
        </is>
      </c>
      <c r="C599" t="inlineStr">
        <is>
          <t>163140</t>
        </is>
      </c>
      <c r="D599" t="inlineStr">
        <is>
          <t>163140</t>
        </is>
      </c>
      <c r="E599" t="inlineStr">
        <is>
          <t>HALFSIM TIGO</t>
        </is>
      </c>
      <c r="F599" t="n">
        <v>1</v>
      </c>
      <c r="G599" t="n">
        <v>0.69</v>
      </c>
      <c r="H599" t="inlineStr">
        <is>
          <t>0.69</t>
        </is>
      </c>
      <c r="J599" t="inlineStr">
        <is>
          <t>CELI TERAN VIVIANA CUMANDA_CELI TERAN VIVIANA CUMANDA</t>
        </is>
      </c>
      <c r="K599" t="inlineStr">
        <is>
          <t>1001549508001</t>
        </is>
      </c>
      <c r="M599" t="inlineStr">
        <is>
          <t>BTB</t>
        </is>
      </c>
      <c r="N599" t="inlineStr">
        <is>
          <t>CANAL DIRECTO</t>
        </is>
      </c>
    </row>
    <row r="600">
      <c r="A600" t="inlineStr">
        <is>
          <t>13/10/2026</t>
        </is>
      </c>
      <c r="B600" t="inlineStr">
        <is>
          <t>16503654</t>
        </is>
      </c>
      <c r="C600" t="inlineStr">
        <is>
          <t>163140</t>
        </is>
      </c>
      <c r="D600" t="inlineStr">
        <is>
          <t>163140</t>
        </is>
      </c>
      <c r="E600" t="inlineStr">
        <is>
          <t>HALFSIM TIGO</t>
        </is>
      </c>
      <c r="F600" t="n">
        <v>2</v>
      </c>
      <c r="G600" t="n">
        <v>1.38</v>
      </c>
      <c r="H600" t="inlineStr">
        <is>
          <t>0.69</t>
        </is>
      </c>
      <c r="J600" t="inlineStr">
        <is>
          <t>ROSERO VENEGAS MONICA MARICELA_ROSERO VENEGAS MONICA MARICELA</t>
        </is>
      </c>
      <c r="K600" t="inlineStr">
        <is>
          <t>1710934363001</t>
        </is>
      </c>
      <c r="M600" t="inlineStr">
        <is>
          <t>BTB</t>
        </is>
      </c>
      <c r="N600" t="inlineStr">
        <is>
          <t>CANAL DIRECTO</t>
        </is>
      </c>
    </row>
    <row r="601">
      <c r="A601" t="inlineStr">
        <is>
          <t>13/10/2026</t>
        </is>
      </c>
      <c r="B601" t="inlineStr">
        <is>
          <t>2026-08255</t>
        </is>
      </c>
      <c r="C601" t="inlineStr">
        <is>
          <t>163140</t>
        </is>
      </c>
      <c r="D601" t="inlineStr">
        <is>
          <t>163140</t>
        </is>
      </c>
      <c r="E601" t="inlineStr">
        <is>
          <t>HALFSIM TIGO</t>
        </is>
      </c>
      <c r="F601" t="n">
        <v>400</v>
      </c>
      <c r="G601" t="n">
        <v>276</v>
      </c>
      <c r="H601" t="inlineStr">
        <is>
          <t>0.69</t>
        </is>
      </c>
      <c r="J601" t="inlineStr">
        <is>
          <t>CAV CITY MALL_MARIA GONZALEZ / MARIA BUENANO</t>
        </is>
      </c>
      <c r="K601" t="inlineStr">
        <is>
          <t>0951321975 / 0926089665</t>
        </is>
      </c>
      <c r="L601" t="inlineStr">
        <is>
          <t>GUAYAQUIL</t>
        </is>
      </c>
      <c r="M601" t="inlineStr">
        <is>
          <t>INDIRECTO</t>
        </is>
      </c>
      <c r="N601" t="inlineStr">
        <is>
          <t>CANAL INDIRECTO</t>
        </is>
      </c>
    </row>
    <row r="602">
      <c r="A602" t="inlineStr">
        <is>
          <t>13/10/2026</t>
        </is>
      </c>
      <c r="B602" t="inlineStr">
        <is>
          <t>2026-08255</t>
        </is>
      </c>
      <c r="C602" t="inlineStr">
        <is>
          <t>163141</t>
        </is>
      </c>
      <c r="D602" t="inlineStr">
        <is>
          <t>163141</t>
        </is>
      </c>
      <c r="E602" t="inlineStr">
        <is>
          <t>ESIM TIGO DIGITAL</t>
        </is>
      </c>
      <c r="F602" t="n">
        <v>400</v>
      </c>
      <c r="G602" t="n">
        <v>84</v>
      </c>
      <c r="H602" t="inlineStr">
        <is>
          <t>0.21</t>
        </is>
      </c>
      <c r="J602" t="inlineStr">
        <is>
          <t>CAV CITY MALL_MARIA GONZALEZ / MARIA BUENANO</t>
        </is>
      </c>
      <c r="K602" t="inlineStr">
        <is>
          <t>0951321975 / 0926089665</t>
        </is>
      </c>
      <c r="L602" t="inlineStr">
        <is>
          <t>GUAYAQUIL</t>
        </is>
      </c>
      <c r="M602" t="inlineStr">
        <is>
          <t>INDIRECTO</t>
        </is>
      </c>
      <c r="N602" t="inlineStr">
        <is>
          <t>CANAL INDIRECTO</t>
        </is>
      </c>
    </row>
    <row r="603">
      <c r="A603" t="inlineStr">
        <is>
          <t>13/10/2026</t>
        </is>
      </c>
      <c r="B603" t="inlineStr">
        <is>
          <t>16503693</t>
        </is>
      </c>
      <c r="C603" t="inlineStr">
        <is>
          <t>163140</t>
        </is>
      </c>
      <c r="D603" t="inlineStr">
        <is>
          <t>163140</t>
        </is>
      </c>
      <c r="E603" t="inlineStr">
        <is>
          <t>HALFSIM TIGO</t>
        </is>
      </c>
      <c r="F603" t="n">
        <v>1</v>
      </c>
      <c r="G603" t="n">
        <v>0.69</v>
      </c>
      <c r="H603" t="inlineStr">
        <is>
          <t>0.69</t>
        </is>
      </c>
      <c r="J603" t="inlineStr">
        <is>
          <t>MUECES AYALA LUIS DAVID_MUECES AYALA LUIS DAVID</t>
        </is>
      </c>
      <c r="K603" t="inlineStr">
        <is>
          <t>1725801797001</t>
        </is>
      </c>
      <c r="M603" t="inlineStr">
        <is>
          <t>BTB</t>
        </is>
      </c>
      <c r="N603" t="inlineStr">
        <is>
          <t>CANAL DIRECTO</t>
        </is>
      </c>
    </row>
    <row r="604">
      <c r="A604" t="inlineStr">
        <is>
          <t>13/10/2026</t>
        </is>
      </c>
      <c r="B604" t="inlineStr">
        <is>
          <t>16503713</t>
        </is>
      </c>
      <c r="C604" t="inlineStr">
        <is>
          <t>163140</t>
        </is>
      </c>
      <c r="D604" t="inlineStr">
        <is>
          <t>163140</t>
        </is>
      </c>
      <c r="E604" t="inlineStr">
        <is>
          <t>HALFSIM TIGO</t>
        </is>
      </c>
      <c r="F604" t="n">
        <v>1</v>
      </c>
      <c r="G604" t="n">
        <v>0.69</v>
      </c>
      <c r="H604" t="inlineStr">
        <is>
          <t>0.69</t>
        </is>
      </c>
      <c r="J604" t="inlineStr">
        <is>
          <t>SERRANO OJEDA NORMA GABRIELA_SERRANO OJEDA NORMA GABRIELA</t>
        </is>
      </c>
      <c r="K604" t="inlineStr">
        <is>
          <t>1710019892001</t>
        </is>
      </c>
      <c r="M604" t="inlineStr">
        <is>
          <t>BTB</t>
        </is>
      </c>
      <c r="N604" t="inlineStr">
        <is>
          <t>CANAL DIRECTO</t>
        </is>
      </c>
    </row>
    <row r="605">
      <c r="A605" t="inlineStr">
        <is>
          <t>13/10/2026</t>
        </is>
      </c>
      <c r="B605" t="inlineStr">
        <is>
          <t>16503714</t>
        </is>
      </c>
      <c r="C605" t="inlineStr">
        <is>
          <t>163140</t>
        </is>
      </c>
      <c r="D605" t="inlineStr">
        <is>
          <t>163140</t>
        </is>
      </c>
      <c r="E605" t="inlineStr">
        <is>
          <t>HALFSIM TIGO</t>
        </is>
      </c>
      <c r="F605" t="n">
        <v>3</v>
      </c>
      <c r="G605" t="n">
        <v>2.0699999999999998</v>
      </c>
      <c r="H605" t="inlineStr">
        <is>
          <t>0.69</t>
        </is>
      </c>
      <c r="J605" t="inlineStr">
        <is>
          <t>GUERRERO BONILLA NELSON HUMBERTO_GUERRERO BONILLA NELSON HUMBERTO</t>
        </is>
      </c>
      <c r="K605" t="inlineStr">
        <is>
          <t>1801998350001</t>
        </is>
      </c>
      <c r="M605" t="inlineStr">
        <is>
          <t>BTB</t>
        </is>
      </c>
      <c r="N605" t="inlineStr">
        <is>
          <t>CANAL DIRECTO</t>
        </is>
      </c>
    </row>
    <row r="606">
      <c r="A606" t="inlineStr">
        <is>
          <t>13/10/2026</t>
        </is>
      </c>
      <c r="B606" t="inlineStr">
        <is>
          <t>16503718</t>
        </is>
      </c>
      <c r="C606" t="inlineStr">
        <is>
          <t>163140</t>
        </is>
      </c>
      <c r="D606" t="inlineStr">
        <is>
          <t>163140</t>
        </is>
      </c>
      <c r="E606" t="inlineStr">
        <is>
          <t>HALFSIM TIGO</t>
        </is>
      </c>
      <c r="F606" t="n">
        <v>2</v>
      </c>
      <c r="G606" t="n">
        <v>1.38</v>
      </c>
      <c r="H606" t="inlineStr">
        <is>
          <t>0.69</t>
        </is>
      </c>
      <c r="J606" t="inlineStr">
        <is>
          <t>FABIAN GUERRERO MARIA SOL GUERRER_UNIDAD ONCOLOGICA DE TUNGURAHUA</t>
        </is>
      </c>
      <c r="K606" t="inlineStr">
        <is>
          <t>1890139414001</t>
        </is>
      </c>
      <c r="M606" t="inlineStr">
        <is>
          <t>BTB</t>
        </is>
      </c>
      <c r="N606" t="inlineStr">
        <is>
          <t>CANAL DIRECTO</t>
        </is>
      </c>
    </row>
    <row r="607">
      <c r="A607" t="inlineStr">
        <is>
          <t>13/10/2026</t>
        </is>
      </c>
      <c r="B607" t="inlineStr">
        <is>
          <t>2026-08312</t>
        </is>
      </c>
      <c r="C607" t="inlineStr">
        <is>
          <t>162699</t>
        </is>
      </c>
      <c r="D607" t="inlineStr">
        <is>
          <t>162699</t>
        </is>
      </c>
      <c r="E607" t="inlineStr">
        <is>
          <t>HALFSIM KITE M2M 4FF DEVICE CONTROL TELEFONICA</t>
        </is>
      </c>
      <c r="F607" t="n">
        <v>3</v>
      </c>
      <c r="G607" t="n">
        <v>2.0699999999999998</v>
      </c>
      <c r="H607" t="inlineStr">
        <is>
          <t>0.69</t>
        </is>
      </c>
      <c r="J607" t="inlineStr">
        <is>
          <t>CONSEJO DE SEGURIDAD SEG MUN STO DGO_DANIEL VEGA</t>
        </is>
      </c>
      <c r="K607" t="inlineStr">
        <is>
          <t>1790819469001</t>
        </is>
      </c>
      <c r="M607" t="inlineStr">
        <is>
          <t>INDIRECTO</t>
        </is>
      </c>
      <c r="N607" t="inlineStr">
        <is>
          <t>CANAL INDIRECTO</t>
        </is>
      </c>
    </row>
    <row r="608">
      <c r="A608" t="inlineStr">
        <is>
          <t>13/10/2026</t>
        </is>
      </c>
      <c r="B608" t="inlineStr">
        <is>
          <t>2026-08313</t>
        </is>
      </c>
      <c r="C608" t="inlineStr">
        <is>
          <t>162699</t>
        </is>
      </c>
      <c r="D608" t="inlineStr">
        <is>
          <t>162699</t>
        </is>
      </c>
      <c r="E608" t="inlineStr">
        <is>
          <t>HALFSIM KITE M2M 4FF DEVICE CONTROL TELEFONICA</t>
        </is>
      </c>
      <c r="F608" t="n">
        <v>3</v>
      </c>
      <c r="G608" t="n">
        <v>2.0699999999999998</v>
      </c>
      <c r="H608" t="inlineStr">
        <is>
          <t>0.69</t>
        </is>
      </c>
      <c r="J608" t="inlineStr">
        <is>
          <t>CONSEJO DE SEGURIDAD SEG MUN STO. DGO_DANIEL VEGA</t>
        </is>
      </c>
      <c r="K608" t="inlineStr">
        <is>
          <t>1790819469001</t>
        </is>
      </c>
      <c r="M608" t="inlineStr">
        <is>
          <t>INDIRECTO</t>
        </is>
      </c>
      <c r="N608" t="inlineStr">
        <is>
          <t>CANAL INDIRECTO</t>
        </is>
      </c>
    </row>
    <row r="609">
      <c r="A609" t="inlineStr">
        <is>
          <t>13/10/2026</t>
        </is>
      </c>
      <c r="B609" t="inlineStr">
        <is>
          <t>16503720</t>
        </is>
      </c>
      <c r="C609" t="inlineStr">
        <is>
          <t>163140</t>
        </is>
      </c>
      <c r="D609" t="inlineStr">
        <is>
          <t>163140</t>
        </is>
      </c>
      <c r="E609" t="inlineStr">
        <is>
          <t>HALFSIM TIGO</t>
        </is>
      </c>
      <c r="F609" t="n">
        <v>1</v>
      </c>
      <c r="G609" t="n">
        <v>0.69</v>
      </c>
      <c r="H609" t="inlineStr">
        <is>
          <t>0.69</t>
        </is>
      </c>
      <c r="J609" t="inlineStr">
        <is>
          <t>PIZARRO AYO GONZALO_PIZARRO AYO GONZALO</t>
        </is>
      </c>
      <c r="K609" t="inlineStr">
        <is>
          <t>1704702313001</t>
        </is>
      </c>
      <c r="M609" t="inlineStr">
        <is>
          <t>BTB</t>
        </is>
      </c>
      <c r="N609" t="inlineStr">
        <is>
          <t>CANAL DIRECTO</t>
        </is>
      </c>
    </row>
    <row r="610">
      <c r="A610" t="inlineStr">
        <is>
          <t>13/10/2026</t>
        </is>
      </c>
      <c r="B610" t="inlineStr">
        <is>
          <t>16503724</t>
        </is>
      </c>
      <c r="C610" t="inlineStr">
        <is>
          <t>163140</t>
        </is>
      </c>
      <c r="D610" t="inlineStr">
        <is>
          <t>163140</t>
        </is>
      </c>
      <c r="E610" t="inlineStr">
        <is>
          <t>HALFSIM TIGO</t>
        </is>
      </c>
      <c r="F610" t="n">
        <v>1</v>
      </c>
      <c r="G610" t="n">
        <v>0.69</v>
      </c>
      <c r="H610" t="inlineStr">
        <is>
          <t>0.69</t>
        </is>
      </c>
      <c r="J610" t="inlineStr">
        <is>
          <t>QUILUMBA CIVINTA VIVIANA ELIZABETH_QUILUMBA CIVINTA VIVIANA ELIZABETH</t>
        </is>
      </c>
      <c r="K610" t="inlineStr">
        <is>
          <t>1719622720001</t>
        </is>
      </c>
      <c r="M610" t="inlineStr">
        <is>
          <t>BTB</t>
        </is>
      </c>
      <c r="N610" t="inlineStr">
        <is>
          <t>CANAL DIRECTO</t>
        </is>
      </c>
    </row>
    <row r="611">
      <c r="A611" t="inlineStr">
        <is>
          <t>13/10/2026</t>
        </is>
      </c>
      <c r="B611" t="inlineStr">
        <is>
          <t>16503735</t>
        </is>
      </c>
      <c r="C611" t="inlineStr">
        <is>
          <t>163140</t>
        </is>
      </c>
      <c r="D611" t="inlineStr">
        <is>
          <t>163140</t>
        </is>
      </c>
      <c r="E611" t="inlineStr">
        <is>
          <t>HALFSIM TIGO</t>
        </is>
      </c>
      <c r="F611" t="n">
        <v>1</v>
      </c>
      <c r="G611" t="n">
        <v>0.69</v>
      </c>
      <c r="H611" t="inlineStr">
        <is>
          <t>0.69</t>
        </is>
      </c>
      <c r="J611" t="inlineStr">
        <is>
          <t>ZAPATA PALLANGO CARLOS ALEXANDER_ZAPATA PALLANGO CARLOS ALEXANDER</t>
        </is>
      </c>
      <c r="K611" t="inlineStr">
        <is>
          <t>1720219938001</t>
        </is>
      </c>
      <c r="M611" t="inlineStr">
        <is>
          <t>BTB</t>
        </is>
      </c>
      <c r="N611" t="inlineStr">
        <is>
          <t>CANAL DIRECTO</t>
        </is>
      </c>
    </row>
    <row r="612">
      <c r="A612" t="inlineStr">
        <is>
          <t>13/10/2026</t>
        </is>
      </c>
      <c r="B612" t="inlineStr">
        <is>
          <t>16503747</t>
        </is>
      </c>
      <c r="C612" t="inlineStr">
        <is>
          <t>163140</t>
        </is>
      </c>
      <c r="D612" t="inlineStr">
        <is>
          <t>163140</t>
        </is>
      </c>
      <c r="E612" t="inlineStr">
        <is>
          <t>HALFSIM TIGO</t>
        </is>
      </c>
      <c r="F612" t="n">
        <v>1</v>
      </c>
      <c r="G612" t="n">
        <v>0.69</v>
      </c>
      <c r="H612" t="inlineStr">
        <is>
          <t>0.69</t>
        </is>
      </c>
      <c r="J612" t="inlineStr">
        <is>
          <t>NARANJO ARMIJO ANGEL MIGUEL_NARANJO ARMIJO ANGEL MIGUEL</t>
        </is>
      </c>
      <c r="K612" t="inlineStr">
        <is>
          <t>2350623555001</t>
        </is>
      </c>
      <c r="M612" t="inlineStr">
        <is>
          <t>BTB</t>
        </is>
      </c>
      <c r="N612" t="inlineStr">
        <is>
          <t>CANAL DIRECTO</t>
        </is>
      </c>
    </row>
    <row r="613">
      <c r="A613" t="inlineStr">
        <is>
          <t>13/10/2026</t>
        </is>
      </c>
      <c r="B613" t="inlineStr">
        <is>
          <t>16503747</t>
        </is>
      </c>
      <c r="C613" t="inlineStr">
        <is>
          <t>163140</t>
        </is>
      </c>
      <c r="D613" t="inlineStr">
        <is>
          <t>163140</t>
        </is>
      </c>
      <c r="E613" t="inlineStr">
        <is>
          <t>HALFSIM TIGO</t>
        </is>
      </c>
      <c r="F613" t="n">
        <v>1</v>
      </c>
      <c r="G613" t="n">
        <v>0.69</v>
      </c>
      <c r="H613" t="inlineStr">
        <is>
          <t>0.69</t>
        </is>
      </c>
      <c r="J613" t="inlineStr">
        <is>
          <t>NARANJO ARMIJO ANGEL MIGUEL_NARANJO ARMIJO ANGEL MIGUEL</t>
        </is>
      </c>
      <c r="K613" t="inlineStr">
        <is>
          <t>2350623555001</t>
        </is>
      </c>
      <c r="M613" t="inlineStr">
        <is>
          <t>BTB</t>
        </is>
      </c>
      <c r="N613" t="inlineStr">
        <is>
          <t>CANAL DIRECTO</t>
        </is>
      </c>
    </row>
    <row r="614">
      <c r="A614" t="inlineStr">
        <is>
          <t>13/10/2026</t>
        </is>
      </c>
      <c r="B614" t="inlineStr">
        <is>
          <t>16503756</t>
        </is>
      </c>
      <c r="C614" t="inlineStr">
        <is>
          <t>163140</t>
        </is>
      </c>
      <c r="D614" t="inlineStr">
        <is>
          <t>163140</t>
        </is>
      </c>
      <c r="E614" t="inlineStr">
        <is>
          <t>HALFSIM TIGO</t>
        </is>
      </c>
      <c r="F614" t="n">
        <v>1</v>
      </c>
      <c r="G614" t="n">
        <v>0.69</v>
      </c>
      <c r="H614" t="inlineStr">
        <is>
          <t>0.69</t>
        </is>
      </c>
      <c r="J614" t="inlineStr">
        <is>
          <t>VIVANCO HUANCA ENRIQUE SEBASTIAN_VIVANCO HUANCA ENRIQUE SEBASTIAN</t>
        </is>
      </c>
      <c r="K614" t="inlineStr">
        <is>
          <t>0702332818001</t>
        </is>
      </c>
      <c r="M614" t="inlineStr">
        <is>
          <t>BTB</t>
        </is>
      </c>
      <c r="N614" t="inlineStr">
        <is>
          <t>CANAL DIRECTO</t>
        </is>
      </c>
    </row>
    <row r="615">
      <c r="A615" t="inlineStr">
        <is>
          <t>13/10/2026</t>
        </is>
      </c>
      <c r="B615" t="inlineStr">
        <is>
          <t>16503759</t>
        </is>
      </c>
      <c r="C615" t="inlineStr">
        <is>
          <t>163140</t>
        </is>
      </c>
      <c r="D615" t="inlineStr">
        <is>
          <t>163140</t>
        </is>
      </c>
      <c r="E615" t="inlineStr">
        <is>
          <t>HALFSIM TIGO</t>
        </is>
      </c>
      <c r="F615" t="n">
        <v>1</v>
      </c>
      <c r="G615" t="n">
        <v>0.69</v>
      </c>
      <c r="H615" t="inlineStr">
        <is>
          <t>0.69</t>
        </is>
      </c>
      <c r="J615" t="inlineStr">
        <is>
          <t>BERNARDO SEBASTIAN MAYA MENDEZ_BERNARDO SEBASTIAN MAYA MENDEZ</t>
        </is>
      </c>
      <c r="K615" t="inlineStr">
        <is>
          <t>1723618631001</t>
        </is>
      </c>
      <c r="M615" t="inlineStr">
        <is>
          <t>BTB</t>
        </is>
      </c>
      <c r="N615" t="inlineStr">
        <is>
          <t>CANAL DIRECTO</t>
        </is>
      </c>
    </row>
    <row r="616">
      <c r="A616" t="inlineStr">
        <is>
          <t>13/10/2026</t>
        </is>
      </c>
      <c r="B616" t="inlineStr">
        <is>
          <t>16503721</t>
        </is>
      </c>
      <c r="C616" t="inlineStr">
        <is>
          <t>163140</t>
        </is>
      </c>
      <c r="D616" t="inlineStr">
        <is>
          <t>163140</t>
        </is>
      </c>
      <c r="E616" t="inlineStr">
        <is>
          <t>HALFSIM TIGO</t>
        </is>
      </c>
      <c r="F616" t="n">
        <v>1</v>
      </c>
      <c r="G616" t="n">
        <v>0.69</v>
      </c>
      <c r="H616" t="inlineStr">
        <is>
          <t>0.69</t>
        </is>
      </c>
      <c r="J616" t="inlineStr">
        <is>
          <t>ANDREA MAYORGA_METALTRONIC S A</t>
        </is>
      </c>
      <c r="K616" t="inlineStr">
        <is>
          <t>1790090302001</t>
        </is>
      </c>
      <c r="M616" t="inlineStr">
        <is>
          <t>BTB</t>
        </is>
      </c>
      <c r="N616" t="inlineStr">
        <is>
          <t>CANAL DIRECTO</t>
        </is>
      </c>
    </row>
    <row r="617">
      <c r="A617" t="inlineStr">
        <is>
          <t>13/10/2026</t>
        </is>
      </c>
      <c r="B617" t="inlineStr">
        <is>
          <t>16503725</t>
        </is>
      </c>
      <c r="C617" t="inlineStr">
        <is>
          <t>163140</t>
        </is>
      </c>
      <c r="D617" t="inlineStr">
        <is>
          <t>163140</t>
        </is>
      </c>
      <c r="E617" t="inlineStr">
        <is>
          <t>HALFSIM TIGO</t>
        </is>
      </c>
      <c r="F617" t="n">
        <v>1</v>
      </c>
      <c r="G617" t="n">
        <v>0.69</v>
      </c>
      <c r="H617" t="inlineStr">
        <is>
          <t>0.69</t>
        </is>
      </c>
      <c r="J617" t="inlineStr">
        <is>
          <t>MARIA DOLORES GARCES_ACOSAUSTRO S A AGENCIA ASESORA PRODUCTORA DE SEGUROS</t>
        </is>
      </c>
      <c r="K617" t="inlineStr">
        <is>
          <t>0991287469001</t>
        </is>
      </c>
      <c r="M617" t="inlineStr">
        <is>
          <t>BTB</t>
        </is>
      </c>
      <c r="N617" t="inlineStr">
        <is>
          <t>CANAL DIRECTO</t>
        </is>
      </c>
    </row>
    <row r="618">
      <c r="A618" t="inlineStr">
        <is>
          <t>13/10/2026</t>
        </is>
      </c>
      <c r="B618" t="inlineStr">
        <is>
          <t>16503727</t>
        </is>
      </c>
      <c r="C618" t="inlineStr">
        <is>
          <t>163140</t>
        </is>
      </c>
      <c r="D618" t="inlineStr">
        <is>
          <t>163140</t>
        </is>
      </c>
      <c r="E618" t="inlineStr">
        <is>
          <t>HALFSIM TIGO</t>
        </is>
      </c>
      <c r="F618" t="n">
        <v>1</v>
      </c>
      <c r="G618" t="n">
        <v>0.69</v>
      </c>
      <c r="H618" t="inlineStr">
        <is>
          <t>0.69</t>
        </is>
      </c>
      <c r="J618" t="inlineStr">
        <is>
          <t>ADOLFO ASPIAZU_C P R ASOCIADOS C LTDA</t>
        </is>
      </c>
      <c r="K618" t="inlineStr">
        <is>
          <t>0990537879001</t>
        </is>
      </c>
      <c r="M618" t="inlineStr">
        <is>
          <t>BTB</t>
        </is>
      </c>
      <c r="N618" t="inlineStr">
        <is>
          <t>CANAL DIRECTO</t>
        </is>
      </c>
    </row>
    <row r="619">
      <c r="A619" t="inlineStr">
        <is>
          <t>13/10/2026</t>
        </is>
      </c>
      <c r="B619" t="inlineStr">
        <is>
          <t>16503729</t>
        </is>
      </c>
      <c r="C619" t="inlineStr">
        <is>
          <t>163140</t>
        </is>
      </c>
      <c r="D619" t="inlineStr">
        <is>
          <t>163140</t>
        </is>
      </c>
      <c r="E619" t="inlineStr">
        <is>
          <t>HALFSIM TIGO</t>
        </is>
      </c>
      <c r="F619" t="n">
        <v>2</v>
      </c>
      <c r="G619" t="n">
        <v>1.38</v>
      </c>
      <c r="H619" t="inlineStr">
        <is>
          <t>0.69</t>
        </is>
      </c>
      <c r="J619" t="inlineStr">
        <is>
          <t>CAMILO QUINTERO ADRIANA MOLINA_AMBIENSA S A</t>
        </is>
      </c>
      <c r="K619" t="inlineStr">
        <is>
          <t>0992427892001</t>
        </is>
      </c>
      <c r="M619" t="inlineStr">
        <is>
          <t>BTB</t>
        </is>
      </c>
      <c r="N619" t="inlineStr">
        <is>
          <t>CANAL DIRECTO</t>
        </is>
      </c>
    </row>
    <row r="620">
      <c r="A620" t="inlineStr">
        <is>
          <t>13/10/2026</t>
        </is>
      </c>
      <c r="B620" t="inlineStr">
        <is>
          <t>16503734</t>
        </is>
      </c>
      <c r="C620" t="inlineStr">
        <is>
          <t>163140</t>
        </is>
      </c>
      <c r="D620" t="inlineStr">
        <is>
          <t>163140</t>
        </is>
      </c>
      <c r="E620" t="inlineStr">
        <is>
          <t>HALFSIM TIGO</t>
        </is>
      </c>
      <c r="F620" t="n">
        <v>1</v>
      </c>
      <c r="G620" t="n">
        <v>0.69</v>
      </c>
      <c r="H620" t="inlineStr">
        <is>
          <t>0.69</t>
        </is>
      </c>
      <c r="J620" t="inlineStr">
        <is>
          <t>SHIRLEY ESTUPINAN_SONDA DEL ECUADOR ECUASONDA S A</t>
        </is>
      </c>
      <c r="K620" t="inlineStr">
        <is>
          <t>1791254791001</t>
        </is>
      </c>
      <c r="M620" t="inlineStr">
        <is>
          <t>BTB</t>
        </is>
      </c>
      <c r="N620" t="inlineStr">
        <is>
          <t>CANAL DIRECTO</t>
        </is>
      </c>
    </row>
    <row r="621">
      <c r="A621" t="inlineStr">
        <is>
          <t>13/10/2026</t>
        </is>
      </c>
      <c r="B621" t="inlineStr">
        <is>
          <t>16503738</t>
        </is>
      </c>
      <c r="C621" t="inlineStr">
        <is>
          <t>163140</t>
        </is>
      </c>
      <c r="D621" t="inlineStr">
        <is>
          <t>163140</t>
        </is>
      </c>
      <c r="E621" t="inlineStr">
        <is>
          <t>HALFSIM TIGO</t>
        </is>
      </c>
      <c r="F621" t="n">
        <v>1</v>
      </c>
      <c r="G621" t="n">
        <v>0.69</v>
      </c>
      <c r="H621" t="inlineStr">
        <is>
          <t>0.69</t>
        </is>
      </c>
      <c r="J621" t="inlineStr">
        <is>
          <t>JOSE ANTONIO LARA KEVIN CHAMBA_THE TESALIA SPRINGS COMPANY S A</t>
        </is>
      </c>
      <c r="K621" t="inlineStr">
        <is>
          <t>1790005739001</t>
        </is>
      </c>
      <c r="M621" t="inlineStr">
        <is>
          <t>BTB</t>
        </is>
      </c>
      <c r="N621" t="inlineStr">
        <is>
          <t>CANAL DIRECTO</t>
        </is>
      </c>
    </row>
    <row r="622">
      <c r="A622" t="inlineStr">
        <is>
          <t>13/10/2026</t>
        </is>
      </c>
      <c r="B622" t="inlineStr">
        <is>
          <t>16503749</t>
        </is>
      </c>
      <c r="C622" t="inlineStr">
        <is>
          <t>163140</t>
        </is>
      </c>
      <c r="D622" t="inlineStr">
        <is>
          <t>163140</t>
        </is>
      </c>
      <c r="E622" t="inlineStr">
        <is>
          <t>HALFSIM TIGO</t>
        </is>
      </c>
      <c r="F622" t="n">
        <v>4</v>
      </c>
      <c r="G622" t="n">
        <v>2.76</v>
      </c>
      <c r="H622" t="inlineStr">
        <is>
          <t>0.69</t>
        </is>
      </c>
      <c r="J622" t="inlineStr">
        <is>
          <t>FELIX JOSE PLUAS MERO _AVIPRILOOR S A</t>
        </is>
      </c>
      <c r="K622" t="inlineStr">
        <is>
          <t>0992824433001</t>
        </is>
      </c>
      <c r="M622" t="inlineStr">
        <is>
          <t>BTB</t>
        </is>
      </c>
      <c r="N622" t="inlineStr">
        <is>
          <t>CANAL DIRECTO</t>
        </is>
      </c>
    </row>
    <row r="623">
      <c r="A623" t="inlineStr">
        <is>
          <t>13/10/2026</t>
        </is>
      </c>
      <c r="B623" t="inlineStr">
        <is>
          <t>16503753</t>
        </is>
      </c>
      <c r="C623" t="inlineStr">
        <is>
          <t>163140</t>
        </is>
      </c>
      <c r="D623" t="inlineStr">
        <is>
          <t>163140</t>
        </is>
      </c>
      <c r="E623" t="inlineStr">
        <is>
          <t>HALFSIM TIGO</t>
        </is>
      </c>
      <c r="F623" t="n">
        <v>2</v>
      </c>
      <c r="G623" t="n">
        <v>1.38</v>
      </c>
      <c r="H623" t="inlineStr">
        <is>
          <t>0.69</t>
        </is>
      </c>
      <c r="J623" t="inlineStr">
        <is>
          <t>MERA MOREIRA ANGEL DAVID_MERA MOREIRA ANGEL DAVID</t>
        </is>
      </c>
      <c r="K623" t="inlineStr">
        <is>
          <t>1391936124001</t>
        </is>
      </c>
      <c r="M623" t="inlineStr">
        <is>
          <t>BTB</t>
        </is>
      </c>
      <c r="N623" t="inlineStr">
        <is>
          <t>CANAL DIRECTO</t>
        </is>
      </c>
    </row>
    <row r="624">
      <c r="A624" t="inlineStr">
        <is>
          <t>13/10/2026</t>
        </is>
      </c>
      <c r="B624" t="inlineStr">
        <is>
          <t>16503753</t>
        </is>
      </c>
      <c r="C624" t="inlineStr">
        <is>
          <t>163140</t>
        </is>
      </c>
      <c r="D624" t="inlineStr">
        <is>
          <t>163140</t>
        </is>
      </c>
      <c r="E624" t="inlineStr">
        <is>
          <t>HALFSIM TIGO</t>
        </is>
      </c>
      <c r="F624" t="n">
        <v>2</v>
      </c>
      <c r="G624" t="n">
        <v>1.38</v>
      </c>
      <c r="H624" t="inlineStr">
        <is>
          <t>0.69</t>
        </is>
      </c>
      <c r="J624" t="inlineStr">
        <is>
          <t>MERA MOREIRA ANGEL DAVID_MERA MOREIRA ANGEL DAVID</t>
        </is>
      </c>
      <c r="K624" t="inlineStr">
        <is>
          <t>1391936124001</t>
        </is>
      </c>
      <c r="M624" t="inlineStr">
        <is>
          <t>BTB</t>
        </is>
      </c>
      <c r="N624" t="inlineStr">
        <is>
          <t>CANAL DIRECTO</t>
        </is>
      </c>
    </row>
    <row r="625">
      <c r="A625" t="inlineStr">
        <is>
          <t>13/10/2026</t>
        </is>
      </c>
      <c r="B625" t="inlineStr">
        <is>
          <t>16503755</t>
        </is>
      </c>
      <c r="C625" t="inlineStr">
        <is>
          <t>163140</t>
        </is>
      </c>
      <c r="D625" t="inlineStr">
        <is>
          <t>163140</t>
        </is>
      </c>
      <c r="E625" t="inlineStr">
        <is>
          <t>HALFSIM TIGO</t>
        </is>
      </c>
      <c r="F625" t="n">
        <v>1</v>
      </c>
      <c r="G625" t="n">
        <v>0.69</v>
      </c>
      <c r="H625" t="inlineStr">
        <is>
          <t>0.69</t>
        </is>
      </c>
      <c r="J625" t="inlineStr">
        <is>
          <t>DIEGO COVENA_ BANCO PICHINCHA CA</t>
        </is>
      </c>
      <c r="K625" t="inlineStr">
        <is>
          <t>1791297121001</t>
        </is>
      </c>
      <c r="M625" t="inlineStr">
        <is>
          <t>BTB</t>
        </is>
      </c>
      <c r="N625" t="inlineStr">
        <is>
          <t>CANAL DIRECTO</t>
        </is>
      </c>
    </row>
    <row r="626">
      <c r="A626" t="inlineStr">
        <is>
          <t>13/10/2026</t>
        </is>
      </c>
      <c r="B626" t="inlineStr">
        <is>
          <t>16503761</t>
        </is>
      </c>
      <c r="C626" t="inlineStr">
        <is>
          <t>163140</t>
        </is>
      </c>
      <c r="D626" t="inlineStr">
        <is>
          <t>163140</t>
        </is>
      </c>
      <c r="E626" t="inlineStr">
        <is>
          <t>HALFSIM TIGO</t>
        </is>
      </c>
      <c r="F626" t="n">
        <v>2</v>
      </c>
      <c r="G626" t="n">
        <v>1.38</v>
      </c>
      <c r="H626" t="inlineStr">
        <is>
          <t>0.69</t>
        </is>
      </c>
      <c r="J626" t="inlineStr">
        <is>
          <t>BORIS GRANDA YEPEZ_DEPCONSA S A</t>
        </is>
      </c>
      <c r="K626" t="inlineStr">
        <is>
          <t>0992109777001</t>
        </is>
      </c>
      <c r="M626" t="inlineStr">
        <is>
          <t>BTB</t>
        </is>
      </c>
      <c r="N626" t="inlineStr">
        <is>
          <t>CANAL DIRECTO</t>
        </is>
      </c>
    </row>
    <row r="627">
      <c r="A627" t="inlineStr">
        <is>
          <t>13/10/2026</t>
        </is>
      </c>
      <c r="B627" t="inlineStr">
        <is>
          <t>16503765</t>
        </is>
      </c>
      <c r="C627" t="inlineStr">
        <is>
          <t>163140</t>
        </is>
      </c>
      <c r="D627" t="inlineStr">
        <is>
          <t>163140</t>
        </is>
      </c>
      <c r="E627" t="inlineStr">
        <is>
          <t>HALFSIM TIGO</t>
        </is>
      </c>
      <c r="F627" t="n">
        <v>1</v>
      </c>
      <c r="G627" t="n">
        <v>0.69</v>
      </c>
      <c r="H627" t="inlineStr">
        <is>
          <t>0.69</t>
        </is>
      </c>
      <c r="J627" t="inlineStr">
        <is>
          <t>EDISON MAURICIO CASTRO QUISILEMA_EDISON MAURICIO CASTRO QUISILEMA</t>
        </is>
      </c>
      <c r="K627" t="inlineStr">
        <is>
          <t>0591712969001</t>
        </is>
      </c>
      <c r="M627" t="inlineStr">
        <is>
          <t>BTB</t>
        </is>
      </c>
      <c r="N627" t="inlineStr">
        <is>
          <t>CANAL DIRECTO</t>
        </is>
      </c>
    </row>
    <row r="628">
      <c r="A628" t="inlineStr">
        <is>
          <t>13/10/2026</t>
        </is>
      </c>
      <c r="B628" t="inlineStr">
        <is>
          <t>16503767</t>
        </is>
      </c>
      <c r="C628" t="inlineStr">
        <is>
          <t>162145</t>
        </is>
      </c>
      <c r="D628" t="inlineStr">
        <is>
          <t>162145</t>
        </is>
      </c>
      <c r="E628" t="inlineStr">
        <is>
          <t>HALFSIM M2M 4FF LTE</t>
        </is>
      </c>
      <c r="F628" t="n">
        <v>400</v>
      </c>
      <c r="G628" t="n">
        <v>548</v>
      </c>
      <c r="H628" t="inlineStr">
        <is>
          <t>1.37</t>
        </is>
      </c>
      <c r="J628" t="inlineStr">
        <is>
          <t>PAOLA PAUCAR_ROAD TRACK ECUADOR S A</t>
        </is>
      </c>
      <c r="K628" t="inlineStr">
        <is>
          <t>1791887565001</t>
        </is>
      </c>
      <c r="M628" t="inlineStr">
        <is>
          <t>BTB</t>
        </is>
      </c>
      <c r="N628" t="inlineStr">
        <is>
          <t>CANAL DIRECTO</t>
        </is>
      </c>
    </row>
    <row r="629">
      <c r="A629" t="inlineStr">
        <is>
          <t>13/10/2026</t>
        </is>
      </c>
      <c r="B629" t="inlineStr">
        <is>
          <t>16504167</t>
        </is>
      </c>
      <c r="C629" t="inlineStr">
        <is>
          <t>162115</t>
        </is>
      </c>
      <c r="D629" t="inlineStr">
        <is>
          <t>162115</t>
        </is>
      </c>
      <c r="E629" t="inlineStr">
        <is>
          <t>SIMCARD M2M 2FF LTE</t>
        </is>
      </c>
      <c r="F629" t="n">
        <v>400</v>
      </c>
      <c r="G629" t="n">
        <v>548</v>
      </c>
      <c r="H629" t="inlineStr">
        <is>
          <t>1.37</t>
        </is>
      </c>
      <c r="J629" t="inlineStr">
        <is>
          <t>PAOLA PAUCAR_ROAD TRACK ECUADOR S A</t>
        </is>
      </c>
      <c r="K629" t="inlineStr">
        <is>
          <t>1791887565001</t>
        </is>
      </c>
      <c r="M629" t="inlineStr">
        <is>
          <t>BTB</t>
        </is>
      </c>
      <c r="N629" t="inlineStr">
        <is>
          <t>CANAL DIRECTO</t>
        </is>
      </c>
    </row>
    <row r="630">
      <c r="A630" t="inlineStr">
        <is>
          <t>13/10/2026</t>
        </is>
      </c>
      <c r="B630" t="inlineStr">
        <is>
          <t>16504567</t>
        </is>
      </c>
      <c r="C630" t="inlineStr">
        <is>
          <t>163140</t>
        </is>
      </c>
      <c r="D630" t="inlineStr">
        <is>
          <t>163140</t>
        </is>
      </c>
      <c r="E630" t="inlineStr">
        <is>
          <t>HALFSIM TIGO</t>
        </is>
      </c>
      <c r="F630" t="n">
        <v>1</v>
      </c>
      <c r="G630" t="n">
        <v>0.69</v>
      </c>
      <c r="H630" t="inlineStr">
        <is>
          <t>0.69</t>
        </is>
      </c>
      <c r="J630" t="inlineStr">
        <is>
          <t>DIANA LOJA_PABLO GUILLEN CORDOVA CIA LTDA</t>
        </is>
      </c>
      <c r="K630" t="inlineStr">
        <is>
          <t>0190317951001</t>
        </is>
      </c>
      <c r="M630" t="inlineStr">
        <is>
          <t>BTB</t>
        </is>
      </c>
      <c r="N630" t="inlineStr">
        <is>
          <t>CANAL DIRECTO</t>
        </is>
      </c>
    </row>
    <row r="631">
      <c r="A631" t="inlineStr">
        <is>
          <t>13/10/2026</t>
        </is>
      </c>
      <c r="B631" t="inlineStr">
        <is>
          <t>16504568</t>
        </is>
      </c>
      <c r="C631" t="inlineStr">
        <is>
          <t>163140</t>
        </is>
      </c>
      <c r="D631" t="inlineStr">
        <is>
          <t>163140</t>
        </is>
      </c>
      <c r="E631" t="inlineStr">
        <is>
          <t>HALFSIM TIGO</t>
        </is>
      </c>
      <c r="F631" t="n">
        <v>1</v>
      </c>
      <c r="G631" t="n">
        <v>0.69</v>
      </c>
      <c r="H631" t="inlineStr">
        <is>
          <t>0.69</t>
        </is>
      </c>
      <c r="J631" t="inlineStr">
        <is>
          <t>GABRIEL OCHOA_SISTEMAS DE CALEFACCION VENTILACION Y A</t>
        </is>
      </c>
      <c r="K631" t="inlineStr">
        <is>
          <t>0992787821001</t>
        </is>
      </c>
      <c r="M631" t="inlineStr">
        <is>
          <t>BTB</t>
        </is>
      </c>
      <c r="N631" t="inlineStr">
        <is>
          <t>CANAL DIRECTO</t>
        </is>
      </c>
    </row>
    <row r="632">
      <c r="A632" t="inlineStr">
        <is>
          <t>13/10/2026</t>
        </is>
      </c>
      <c r="B632" t="inlineStr">
        <is>
          <t>16504769</t>
        </is>
      </c>
      <c r="C632" t="inlineStr">
        <is>
          <t>163140</t>
        </is>
      </c>
      <c r="D632" t="inlineStr">
        <is>
          <t>163140</t>
        </is>
      </c>
      <c r="E632" t="inlineStr">
        <is>
          <t>HALFSIM TIGO</t>
        </is>
      </c>
      <c r="F632" t="n">
        <v>1</v>
      </c>
      <c r="G632" t="n">
        <v>0.69</v>
      </c>
      <c r="H632" t="inlineStr">
        <is>
          <t>0.69</t>
        </is>
      </c>
      <c r="J632" t="inlineStr">
        <is>
          <t>BARZOLA ZAPATA VICENTE EDUARDO_BARZOLA ZAPATA VICENTE EDUARDO</t>
        </is>
      </c>
      <c r="K632" t="inlineStr">
        <is>
          <t>0914319322001</t>
        </is>
      </c>
      <c r="M632" t="inlineStr">
        <is>
          <t>BTB</t>
        </is>
      </c>
      <c r="N632" t="inlineStr">
        <is>
          <t>CANAL DIRECTO</t>
        </is>
      </c>
    </row>
    <row r="633">
      <c r="A633" t="inlineStr">
        <is>
          <t>13/10/2026</t>
        </is>
      </c>
      <c r="B633" t="inlineStr">
        <is>
          <t>16504771</t>
        </is>
      </c>
      <c r="C633" t="inlineStr">
        <is>
          <t>163140</t>
        </is>
      </c>
      <c r="D633" t="inlineStr">
        <is>
          <t>163140</t>
        </is>
      </c>
      <c r="E633" t="inlineStr">
        <is>
          <t>HALFSIM TIGO</t>
        </is>
      </c>
      <c r="F633" t="n">
        <v>1</v>
      </c>
      <c r="G633" t="n">
        <v>0.69</v>
      </c>
      <c r="H633" t="inlineStr">
        <is>
          <t>0.69</t>
        </is>
      </c>
      <c r="J633" t="inlineStr">
        <is>
          <t>YELITZA ZAMORANO_CHRISTIAN CHUKWU</t>
        </is>
      </c>
      <c r="K633" t="inlineStr">
        <is>
          <t>1718226648001</t>
        </is>
      </c>
      <c r="M633" t="inlineStr">
        <is>
          <t>BTB</t>
        </is>
      </c>
      <c r="N633" t="inlineStr">
        <is>
          <t>CANAL DIRECTO</t>
        </is>
      </c>
    </row>
    <row r="634">
      <c r="A634" t="inlineStr">
        <is>
          <t>13/10/2026</t>
        </is>
      </c>
      <c r="B634" t="inlineStr">
        <is>
          <t>16504773</t>
        </is>
      </c>
      <c r="C634" t="inlineStr">
        <is>
          <t>162141</t>
        </is>
      </c>
      <c r="D634" t="inlineStr">
        <is>
          <t>162141</t>
        </is>
      </c>
      <c r="E634" t="inlineStr">
        <is>
          <t>HALFSIM MOVISTAR</t>
        </is>
      </c>
      <c r="F634" t="n">
        <v>0</v>
      </c>
      <c r="G634" t="n">
        <v>0</v>
      </c>
      <c r="H634" t="inlineStr">
        <is>
          <t>0.69</t>
        </is>
      </c>
      <c r="J634" t="inlineStr">
        <is>
          <t>ISABELLA DILLON_BEAUTYBANANA S A</t>
        </is>
      </c>
      <c r="K634" t="inlineStr">
        <is>
          <t>0993398250001</t>
        </is>
      </c>
      <c r="M634" t="inlineStr">
        <is>
          <t>BTB</t>
        </is>
      </c>
      <c r="N634" t="inlineStr">
        <is>
          <t>CANAL DIRECTO</t>
        </is>
      </c>
    </row>
    <row r="635">
      <c r="A635" t="inlineStr">
        <is>
          <t>13/10/2026</t>
        </is>
      </c>
      <c r="B635" t="inlineStr">
        <is>
          <t>16504773</t>
        </is>
      </c>
      <c r="C635" t="inlineStr">
        <is>
          <t>163140</t>
        </is>
      </c>
      <c r="D635" t="inlineStr">
        <is>
          <t>163140</t>
        </is>
      </c>
      <c r="E635" t="inlineStr">
        <is>
          <t>HALFSIM TIGO</t>
        </is>
      </c>
      <c r="F635" t="n">
        <v>1</v>
      </c>
      <c r="G635" t="n">
        <v>0.69</v>
      </c>
      <c r="H635" t="inlineStr">
        <is>
          <t>0.69</t>
        </is>
      </c>
      <c r="J635" t="inlineStr">
        <is>
          <t>ISABELLA DILLON_BEAUTYBANANA S A</t>
        </is>
      </c>
      <c r="K635" t="inlineStr">
        <is>
          <t>0993398250001</t>
        </is>
      </c>
      <c r="M635" t="inlineStr">
        <is>
          <t>BTB</t>
        </is>
      </c>
      <c r="N635" t="inlineStr">
        <is>
          <t>CANAL DIRECTO</t>
        </is>
      </c>
    </row>
    <row r="636">
      <c r="A636" t="inlineStr">
        <is>
          <t>13/10/2026</t>
        </is>
      </c>
      <c r="B636" t="inlineStr">
        <is>
          <t>16504775</t>
        </is>
      </c>
      <c r="C636" t="inlineStr">
        <is>
          <t>163140</t>
        </is>
      </c>
      <c r="D636" t="inlineStr">
        <is>
          <t>163140</t>
        </is>
      </c>
      <c r="E636" t="inlineStr">
        <is>
          <t>HALFSIM TIGO</t>
        </is>
      </c>
      <c r="F636" t="n">
        <v>1</v>
      </c>
      <c r="G636" t="n">
        <v>0.69</v>
      </c>
      <c r="H636" t="inlineStr">
        <is>
          <t>0.69</t>
        </is>
      </c>
      <c r="J636" t="inlineStr">
        <is>
          <t>VARGAS CASTRO JEAN PIERRE_VARGAS CASTRO JEAN PIERRE</t>
        </is>
      </c>
      <c r="K636" t="inlineStr">
        <is>
          <t>1205363847001</t>
        </is>
      </c>
      <c r="M636" t="inlineStr">
        <is>
          <t>BTB</t>
        </is>
      </c>
      <c r="N636" t="inlineStr">
        <is>
          <t>CANAL DIRECTO</t>
        </is>
      </c>
    </row>
    <row r="637">
      <c r="A637" t="inlineStr">
        <is>
          <t>13/10/2026</t>
        </is>
      </c>
      <c r="B637" t="inlineStr">
        <is>
          <t>16504775</t>
        </is>
      </c>
      <c r="C637" t="inlineStr">
        <is>
          <t>163140</t>
        </is>
      </c>
      <c r="D637" t="inlineStr">
        <is>
          <t>163140</t>
        </is>
      </c>
      <c r="E637" t="inlineStr">
        <is>
          <t>HALFSIM TIGO</t>
        </is>
      </c>
      <c r="F637" t="n">
        <v>1</v>
      </c>
      <c r="G637" t="n">
        <v>0.69</v>
      </c>
      <c r="H637" t="inlineStr">
        <is>
          <t>0.69</t>
        </is>
      </c>
      <c r="J637" t="inlineStr">
        <is>
          <t>VARGAS CASTRO JEAN PIERRE_VARGAS CASTRO JEAN PIERRE</t>
        </is>
      </c>
      <c r="K637" t="inlineStr">
        <is>
          <t>1205363847001</t>
        </is>
      </c>
      <c r="M637" t="inlineStr">
        <is>
          <t>BTB</t>
        </is>
      </c>
      <c r="N637" t="inlineStr">
        <is>
          <t>CANAL DIRECTO</t>
        </is>
      </c>
    </row>
    <row r="638">
      <c r="A638" t="inlineStr">
        <is>
          <t>13/10/2026</t>
        </is>
      </c>
      <c r="B638" t="inlineStr">
        <is>
          <t>16504782</t>
        </is>
      </c>
      <c r="C638" t="inlineStr">
        <is>
          <t>163140</t>
        </is>
      </c>
      <c r="D638" t="inlineStr">
        <is>
          <t>163140</t>
        </is>
      </c>
      <c r="E638" t="inlineStr">
        <is>
          <t>HALFSIM TIGO</t>
        </is>
      </c>
      <c r="F638" t="n">
        <v>1</v>
      </c>
      <c r="G638" t="n">
        <v>0.69</v>
      </c>
      <c r="H638" t="inlineStr">
        <is>
          <t>0.69</t>
        </is>
      </c>
      <c r="J638" t="inlineStr">
        <is>
          <t>KARINA PAZ_ESTEBAN DONOSO Y ASOCIADOS ED Y A S A S</t>
        </is>
      </c>
      <c r="K638" t="inlineStr">
        <is>
          <t>1793191099001</t>
        </is>
      </c>
      <c r="M638" t="inlineStr">
        <is>
          <t>BTB</t>
        </is>
      </c>
      <c r="N638" t="inlineStr">
        <is>
          <t>CANAL DIRECTO</t>
        </is>
      </c>
    </row>
    <row r="639">
      <c r="A639" t="inlineStr">
        <is>
          <t>13/10/2026</t>
        </is>
      </c>
      <c r="B639" t="inlineStr">
        <is>
          <t>16504784</t>
        </is>
      </c>
      <c r="C639" t="inlineStr">
        <is>
          <t>163140</t>
        </is>
      </c>
      <c r="D639" t="inlineStr">
        <is>
          <t>163140</t>
        </is>
      </c>
      <c r="E639" t="inlineStr">
        <is>
          <t>HALFSIM TIGO</t>
        </is>
      </c>
      <c r="F639" t="n">
        <v>1</v>
      </c>
      <c r="G639" t="n">
        <v>0.69</v>
      </c>
      <c r="H639" t="inlineStr">
        <is>
          <t>0.69</t>
        </is>
      </c>
      <c r="J639" t="inlineStr">
        <is>
          <t>CARDENAS MUNIVE MAYRA CAROLINA_CARDENAS MUNIVE MAYRA CAROLINA</t>
        </is>
      </c>
      <c r="K639" t="inlineStr">
        <is>
          <t>0925702987001</t>
        </is>
      </c>
      <c r="M639" t="inlineStr">
        <is>
          <t>BTB</t>
        </is>
      </c>
      <c r="N639" t="inlineStr">
        <is>
          <t>CANAL DIRECTO</t>
        </is>
      </c>
    </row>
    <row r="640">
      <c r="A640" t="inlineStr">
        <is>
          <t>13/10/2026</t>
        </is>
      </c>
      <c r="B640" t="inlineStr">
        <is>
          <t>16504785</t>
        </is>
      </c>
      <c r="C640" t="inlineStr">
        <is>
          <t>163140</t>
        </is>
      </c>
      <c r="D640" t="inlineStr">
        <is>
          <t>163140</t>
        </is>
      </c>
      <c r="E640" t="inlineStr">
        <is>
          <t>HALFSIM TIGO</t>
        </is>
      </c>
      <c r="F640" t="n">
        <v>1</v>
      </c>
      <c r="G640" t="n">
        <v>0.69</v>
      </c>
      <c r="H640" t="inlineStr">
        <is>
          <t>0.69</t>
        </is>
      </c>
      <c r="J640" t="inlineStr">
        <is>
          <t>BONE BONE ROVER JOEL_BONE BONE ROVER JOEL</t>
        </is>
      </c>
      <c r="K640" t="inlineStr">
        <is>
          <t>0801049503001</t>
        </is>
      </c>
      <c r="M640" t="inlineStr">
        <is>
          <t>BTB</t>
        </is>
      </c>
      <c r="N640" t="inlineStr">
        <is>
          <t>CANAL DIRECTO</t>
        </is>
      </c>
    </row>
    <row r="641">
      <c r="A641" t="inlineStr">
        <is>
          <t>13/10/2026</t>
        </is>
      </c>
      <c r="B641" t="inlineStr">
        <is>
          <t>16504786</t>
        </is>
      </c>
      <c r="C641" t="inlineStr">
        <is>
          <t>163140</t>
        </is>
      </c>
      <c r="D641" t="inlineStr">
        <is>
          <t>163140</t>
        </is>
      </c>
      <c r="E641" t="inlineStr">
        <is>
          <t>HALFSIM TIGO</t>
        </is>
      </c>
      <c r="F641" t="n">
        <v>1</v>
      </c>
      <c r="G641" t="n">
        <v>0.69</v>
      </c>
      <c r="H641" t="inlineStr">
        <is>
          <t>0.69</t>
        </is>
      </c>
      <c r="J641" t="inlineStr">
        <is>
          <t>ONA GUALOTUNA JOSE ARTURO_ONA GUALOTUNA JOSE ARTURO</t>
        </is>
      </c>
      <c r="K641" t="inlineStr">
        <is>
          <t>1710723774001</t>
        </is>
      </c>
      <c r="M641" t="inlineStr">
        <is>
          <t>BTB</t>
        </is>
      </c>
      <c r="N641" t="inlineStr">
        <is>
          <t>CANAL DIRECTO</t>
        </is>
      </c>
    </row>
    <row r="642">
      <c r="A642" t="inlineStr">
        <is>
          <t>13/10/2026</t>
        </is>
      </c>
      <c r="B642" t="inlineStr">
        <is>
          <t>16504787</t>
        </is>
      </c>
      <c r="C642" t="inlineStr">
        <is>
          <t>163140</t>
        </is>
      </c>
      <c r="D642" t="inlineStr">
        <is>
          <t>163140</t>
        </is>
      </c>
      <c r="E642" t="inlineStr">
        <is>
          <t>HALFSIM TIGO</t>
        </is>
      </c>
      <c r="F642" t="n">
        <v>2</v>
      </c>
      <c r="G642" t="n">
        <v>1.38</v>
      </c>
      <c r="H642" t="inlineStr">
        <is>
          <t>0.69</t>
        </is>
      </c>
      <c r="J642" t="inlineStr">
        <is>
          <t>FABIAN GUERRERO MARIA SOL GUERRER_UNIDAD ONCOLOGICA DE TUNGURAHUA</t>
        </is>
      </c>
      <c r="K642" t="inlineStr">
        <is>
          <t>1890139414001</t>
        </is>
      </c>
      <c r="M642" t="inlineStr">
        <is>
          <t>BTB</t>
        </is>
      </c>
      <c r="N642" t="inlineStr">
        <is>
          <t>CANAL DIRECTO</t>
        </is>
      </c>
    </row>
    <row r="643">
      <c r="A643" t="inlineStr">
        <is>
          <t>13/10/2026</t>
        </is>
      </c>
      <c r="B643" t="inlineStr">
        <is>
          <t>16504790</t>
        </is>
      </c>
      <c r="C643" t="inlineStr">
        <is>
          <t>163140</t>
        </is>
      </c>
      <c r="D643" t="inlineStr">
        <is>
          <t>163140</t>
        </is>
      </c>
      <c r="E643" t="inlineStr">
        <is>
          <t>HALFSIM TIGO</t>
        </is>
      </c>
      <c r="F643" t="n">
        <v>2</v>
      </c>
      <c r="G643" t="n">
        <v>1.38</v>
      </c>
      <c r="H643" t="inlineStr">
        <is>
          <t>0.69</t>
        </is>
      </c>
      <c r="J643" t="inlineStr">
        <is>
          <t>GINA RAMIREZ CHRISTIAN THUR DE KOOS_CONTECON GUAYAQUIL S A</t>
        </is>
      </c>
      <c r="K643" t="inlineStr">
        <is>
          <t>0992506717001</t>
        </is>
      </c>
      <c r="M643" t="inlineStr">
        <is>
          <t>BTB</t>
        </is>
      </c>
      <c r="N643" t="inlineStr">
        <is>
          <t>CANAL DIRECTO</t>
        </is>
      </c>
    </row>
    <row r="644">
      <c r="A644" t="inlineStr">
        <is>
          <t>13/10/2026</t>
        </is>
      </c>
      <c r="B644" t="inlineStr">
        <is>
          <t>16504792</t>
        </is>
      </c>
      <c r="C644" t="inlineStr">
        <is>
          <t>163140</t>
        </is>
      </c>
      <c r="D644" t="inlineStr">
        <is>
          <t>163140</t>
        </is>
      </c>
      <c r="E644" t="inlineStr">
        <is>
          <t>HALFSIM TIGO</t>
        </is>
      </c>
      <c r="F644" t="n">
        <v>1</v>
      </c>
      <c r="G644" t="n">
        <v>0.69</v>
      </c>
      <c r="H644" t="inlineStr">
        <is>
          <t>0.69</t>
        </is>
      </c>
      <c r="J644" t="inlineStr">
        <is>
          <t>PILALO RUIZ LUIS XAVIER_PILALO RUIZ LUIS XAVIER</t>
        </is>
      </c>
      <c r="K644" t="inlineStr">
        <is>
          <t>0918426537001</t>
        </is>
      </c>
      <c r="M644" t="inlineStr">
        <is>
          <t>BTB</t>
        </is>
      </c>
      <c r="N644" t="inlineStr">
        <is>
          <t>CANAL DIRECTO</t>
        </is>
      </c>
    </row>
    <row r="645">
      <c r="A645" t="inlineStr">
        <is>
          <t>13/10/2026</t>
        </is>
      </c>
      <c r="B645" t="inlineStr">
        <is>
          <t>2026-08314</t>
        </is>
      </c>
      <c r="C645" t="inlineStr">
        <is>
          <t>162699</t>
        </is>
      </c>
      <c r="D645" t="inlineStr">
        <is>
          <t>162699</t>
        </is>
      </c>
      <c r="E645" t="inlineStr">
        <is>
          <t>HALFSIM KITE M2M 4FF DEVICE CONTROL TELEFONICA</t>
        </is>
      </c>
      <c r="F645" t="n">
        <v>560</v>
      </c>
      <c r="G645" t="n">
        <v>386.4</v>
      </c>
      <c r="H645" t="inlineStr">
        <is>
          <t>0.69</t>
        </is>
      </c>
      <c r="J645" t="inlineStr">
        <is>
          <t>CONSEJO DE SEGURIDAD MUN ST DMO_DANIEL VEGA</t>
        </is>
      </c>
      <c r="K645" t="inlineStr">
        <is>
          <t>1790819469001</t>
        </is>
      </c>
      <c r="M645" t="inlineStr">
        <is>
          <t>INDIRECTO</t>
        </is>
      </c>
      <c r="N645" t="inlineStr">
        <is>
          <t>CANAL INDIRECTO</t>
        </is>
      </c>
    </row>
    <row r="646">
      <c r="A646" t="inlineStr">
        <is>
          <t>13/10/2026</t>
        </is>
      </c>
      <c r="B646" t="inlineStr">
        <is>
          <t>2026-08320</t>
        </is>
      </c>
      <c r="C646" t="inlineStr">
        <is>
          <t>163140</t>
        </is>
      </c>
      <c r="D646" t="inlineStr">
        <is>
          <t>163140</t>
        </is>
      </c>
      <c r="E646" t="inlineStr">
        <is>
          <t>HALFSIM TIGO</t>
        </is>
      </c>
      <c r="F646" t="n">
        <v>300</v>
      </c>
      <c r="G646" t="n">
        <v>206.99999999999997</v>
      </c>
      <c r="H646" t="inlineStr">
        <is>
          <t>0.69</t>
        </is>
      </c>
      <c r="J646" t="inlineStr">
        <is>
          <t>CAVS POLICENTRO_DIANA CAROLINA VANEGAS CERCADO / KENNY ELIAN VITERI MENDEZ</t>
        </is>
      </c>
      <c r="K646" t="inlineStr">
        <is>
          <t>0982825784 / 0943990549</t>
        </is>
      </c>
      <c r="M646" t="inlineStr">
        <is>
          <t>INDIRECTO</t>
        </is>
      </c>
      <c r="N646" t="inlineStr">
        <is>
          <t>CANAL INDIRECTO</t>
        </is>
      </c>
    </row>
    <row r="647">
      <c r="A647" t="inlineStr">
        <is>
          <t>13/10/2026</t>
        </is>
      </c>
      <c r="B647" t="inlineStr">
        <is>
          <t>2026-08321</t>
        </is>
      </c>
      <c r="C647" t="inlineStr">
        <is>
          <t>163140</t>
        </is>
      </c>
      <c r="D647" t="inlineStr">
        <is>
          <t>163140</t>
        </is>
      </c>
      <c r="E647" t="inlineStr">
        <is>
          <t>HALFSIM TIGO</t>
        </is>
      </c>
      <c r="F647" t="n">
        <v>1000</v>
      </c>
      <c r="G647" t="n">
        <v>690</v>
      </c>
      <c r="H647" t="inlineStr">
        <is>
          <t>0.69</t>
        </is>
      </c>
      <c r="J647" t="inlineStr">
        <is>
          <t>CAVS MALL DEL RIO_MARCO SEBASTIAN FAJARDO / ANDREA ESTEFANIA TIGRE / ALBERTO QUINTERO CORREA</t>
        </is>
      </c>
      <c r="K647" t="inlineStr">
        <is>
          <t>0106434541 / 0104840426 / 1521</t>
        </is>
      </c>
      <c r="M647" t="inlineStr">
        <is>
          <t>INDIRECTO</t>
        </is>
      </c>
      <c r="N647" t="inlineStr">
        <is>
          <t>CANAL INDIRECTO</t>
        </is>
      </c>
    </row>
    <row r="648">
      <c r="A648" t="inlineStr">
        <is>
          <t>13/10/2026</t>
        </is>
      </c>
      <c r="B648" t="inlineStr">
        <is>
          <t>2026-08321</t>
        </is>
      </c>
      <c r="C648" t="inlineStr">
        <is>
          <t>163141</t>
        </is>
      </c>
      <c r="D648" t="inlineStr">
        <is>
          <t>163141</t>
        </is>
      </c>
      <c r="E648" t="inlineStr">
        <is>
          <t>ESIM TIGO DIGITAL</t>
        </is>
      </c>
      <c r="F648" t="n">
        <v>600</v>
      </c>
      <c r="G648" t="n">
        <v>126</v>
      </c>
      <c r="H648" t="inlineStr">
        <is>
          <t>0.21</t>
        </is>
      </c>
      <c r="J648" t="inlineStr">
        <is>
          <t>CAVS MALL DEL RIO_MARCO SEBASTIAN FAJARDO / ANDREA ESTEFANIA TIGRE / ALBERTO QUINTERO CORREA</t>
        </is>
      </c>
      <c r="K648" t="inlineStr">
        <is>
          <t>0106434541 / 0104840426 / 1521</t>
        </is>
      </c>
      <c r="M648" t="inlineStr">
        <is>
          <t>INDIRECTO</t>
        </is>
      </c>
      <c r="N648" t="inlineStr">
        <is>
          <t>CANAL INDIRECTO</t>
        </is>
      </c>
    </row>
    <row r="649">
      <c r="A649" t="inlineStr">
        <is>
          <t>13/10/2026</t>
        </is>
      </c>
      <c r="B649" t="inlineStr">
        <is>
          <t>2026-08327</t>
        </is>
      </c>
      <c r="C649" t="inlineStr">
        <is>
          <t>163140_06</t>
        </is>
      </c>
      <c r="D649" t="inlineStr">
        <is>
          <t>163140</t>
        </is>
      </c>
      <c r="E649" t="inlineStr">
        <is>
          <t>HALFSIM TIGO PORTABILIDAD</t>
        </is>
      </c>
      <c r="F649" t="n">
        <v>100</v>
      </c>
      <c r="G649" t="n">
        <v>69</v>
      </c>
      <c r="H649" t="inlineStr">
        <is>
          <t>0.69</t>
        </is>
      </c>
      <c r="J649" t="inlineStr">
        <is>
          <t>DKOMUNICACIONES MOVISTAR CALLE COTOPAXI_ALMEIDA GUZMAN KATHERINE ELIZABETH</t>
        </is>
      </c>
      <c r="K649" t="inlineStr">
        <is>
          <t>1714944186</t>
        </is>
      </c>
      <c r="M649" t="inlineStr">
        <is>
          <t>INDIRECTO</t>
        </is>
      </c>
      <c r="N649" t="inlineStr">
        <is>
          <t>CANAL INDIRECTO</t>
        </is>
      </c>
    </row>
    <row r="650">
      <c r="A650" t="inlineStr">
        <is>
          <t>13/10/2026</t>
        </is>
      </c>
      <c r="B650" t="inlineStr">
        <is>
          <t>2026-08328</t>
        </is>
      </c>
      <c r="C650" t="inlineStr">
        <is>
          <t>163140</t>
        </is>
      </c>
      <c r="D650" t="inlineStr">
        <is>
          <t>163140</t>
        </is>
      </c>
      <c r="E650" t="inlineStr">
        <is>
          <t>HALFSIM TIGO</t>
        </is>
      </c>
      <c r="F650" t="n">
        <v>200</v>
      </c>
      <c r="G650" t="n">
        <v>138</v>
      </c>
      <c r="H650" t="inlineStr">
        <is>
          <t>0.69</t>
        </is>
      </c>
      <c r="J650" t="inlineStr">
        <is>
          <t>CAV TENEMAZA AZOGUES_ELIZABETH ZHINDON</t>
        </is>
      </c>
      <c r="K650" t="inlineStr">
        <is>
          <t>0104435045</t>
        </is>
      </c>
      <c r="M650" t="inlineStr">
        <is>
          <t>INDIRECTO</t>
        </is>
      </c>
      <c r="N650" t="inlineStr">
        <is>
          <t>CANAL INDIRECTO</t>
        </is>
      </c>
    </row>
    <row r="651">
      <c r="A651" t="inlineStr">
        <is>
          <t>13/10/2026</t>
        </is>
      </c>
      <c r="B651" t="inlineStr">
        <is>
          <t>2026-08331</t>
        </is>
      </c>
      <c r="C651" t="inlineStr">
        <is>
          <t>163140</t>
        </is>
      </c>
      <c r="D651" t="inlineStr">
        <is>
          <t>163140</t>
        </is>
      </c>
      <c r="E651" t="inlineStr">
        <is>
          <t>HALFSIM TIGO</t>
        </is>
      </c>
      <c r="F651" t="n">
        <v>300</v>
      </c>
      <c r="G651" t="n">
        <v>206.99999999999997</v>
      </c>
      <c r="H651" t="inlineStr">
        <is>
          <t>0.69</t>
        </is>
      </c>
      <c r="J651" t="inlineStr">
        <is>
          <t>SMARTPHONELANDIA S.A.S. (LA LIBERTAD)_JOSIELY GILER</t>
        </is>
      </c>
      <c r="K651" t="inlineStr">
        <is>
          <t>0918930660</t>
        </is>
      </c>
      <c r="M651" t="inlineStr">
        <is>
          <t>INDIRECTO</t>
        </is>
      </c>
      <c r="N651" t="inlineStr">
        <is>
          <t>CANAL INDIRECTO</t>
        </is>
      </c>
    </row>
    <row r="652">
      <c r="A652" t="inlineStr">
        <is>
          <t>13/10/2026</t>
        </is>
      </c>
      <c r="B652" t="inlineStr">
        <is>
          <t>2026-08331</t>
        </is>
      </c>
      <c r="C652" t="inlineStr">
        <is>
          <t>163141</t>
        </is>
      </c>
      <c r="D652" t="inlineStr">
        <is>
          <t>163141</t>
        </is>
      </c>
      <c r="E652" t="inlineStr">
        <is>
          <t>ESIM TIGO DIGITAL</t>
        </is>
      </c>
      <c r="F652" t="n">
        <v>50</v>
      </c>
      <c r="G652" t="n">
        <v>10.5</v>
      </c>
      <c r="H652" t="inlineStr">
        <is>
          <t>0.21</t>
        </is>
      </c>
      <c r="J652" t="inlineStr">
        <is>
          <t>SMARTPHONELANDIA S.A.S. (LA LIBERTAD)_JOSIELY GILER</t>
        </is>
      </c>
      <c r="K652" t="inlineStr">
        <is>
          <t>0918930660</t>
        </is>
      </c>
      <c r="M652" t="inlineStr">
        <is>
          <t>INDIRECTO</t>
        </is>
      </c>
      <c r="N652" t="inlineStr">
        <is>
          <t>CANAL INDIRECTO</t>
        </is>
      </c>
    </row>
    <row r="653">
      <c r="A653" t="inlineStr">
        <is>
          <t>13/10/2026</t>
        </is>
      </c>
      <c r="B653" t="inlineStr">
        <is>
          <t>2026-08332</t>
        </is>
      </c>
      <c r="C653" t="inlineStr">
        <is>
          <t>163140_06</t>
        </is>
      </c>
      <c r="D653" t="inlineStr">
        <is>
          <t>163140</t>
        </is>
      </c>
      <c r="E653" t="inlineStr">
        <is>
          <t>HALFSIM TIGO PORTABILIDAD</t>
        </is>
      </c>
      <c r="F653" t="n">
        <v>100</v>
      </c>
      <c r="G653" t="n">
        <v>69</v>
      </c>
      <c r="H653" t="inlineStr">
        <is>
          <t>0.69</t>
        </is>
      </c>
      <c r="J653" t="inlineStr">
        <is>
          <t>DKOMUNICACIONES MOVISTAR CALLE  TUNGURAHUA_ALMEIDA GUZMAN KATHERINE ELIZABETH</t>
        </is>
      </c>
      <c r="K653" t="inlineStr">
        <is>
          <t>1714944186</t>
        </is>
      </c>
      <c r="M653" t="inlineStr">
        <is>
          <t>INDIRECTO</t>
        </is>
      </c>
      <c r="N653" t="inlineStr">
        <is>
          <t>CANAL INDIRECTO</t>
        </is>
      </c>
    </row>
    <row r="654">
      <c r="A654" t="inlineStr">
        <is>
          <t>13/10/2026</t>
        </is>
      </c>
      <c r="B654" t="inlineStr">
        <is>
          <t>2026-08339</t>
        </is>
      </c>
      <c r="C654" t="inlineStr">
        <is>
          <t>163140_06</t>
        </is>
      </c>
      <c r="D654" t="inlineStr">
        <is>
          <t>163140</t>
        </is>
      </c>
      <c r="E654" t="inlineStr">
        <is>
          <t>HALFSIM TIGO PORTABILIDAD</t>
        </is>
      </c>
      <c r="F654" t="n">
        <v>100</v>
      </c>
      <c r="G654" t="n">
        <v>69</v>
      </c>
      <c r="H654" t="inlineStr">
        <is>
          <t>0.69</t>
        </is>
      </c>
      <c r="J654" t="inlineStr">
        <is>
          <t>DKOMUNICACIONES  MOVISTAR CHIMBORAZO_KATHERINE ELIZABETH ALMEIDA GUZMAN</t>
        </is>
      </c>
      <c r="K654" t="inlineStr">
        <is>
          <t>1714944186</t>
        </is>
      </c>
      <c r="M654" t="inlineStr">
        <is>
          <t>INDIRECTO</t>
        </is>
      </c>
      <c r="N654" t="inlineStr">
        <is>
          <t>CANAL INDIRECTO</t>
        </is>
      </c>
    </row>
    <row r="655">
      <c r="A655" t="inlineStr">
        <is>
          <t>13/10/2026</t>
        </is>
      </c>
      <c r="B655" t="inlineStr">
        <is>
          <t>16504793</t>
        </is>
      </c>
      <c r="C655" t="inlineStr">
        <is>
          <t>163140</t>
        </is>
      </c>
      <c r="D655" t="inlineStr">
        <is>
          <t>163140</t>
        </is>
      </c>
      <c r="E655" t="inlineStr">
        <is>
          <t>HALFSIM TIGO</t>
        </is>
      </c>
      <c r="F655" t="n">
        <v>1</v>
      </c>
      <c r="G655" t="n">
        <v>0.69</v>
      </c>
      <c r="H655" t="inlineStr">
        <is>
          <t>0.69</t>
        </is>
      </c>
      <c r="J655" t="inlineStr">
        <is>
          <t>BORJA ERAZO PAUL ALFONSO_BORJA ERAZO PAUL ALFONSO</t>
        </is>
      </c>
      <c r="K655" t="inlineStr">
        <is>
          <t>0913282117001</t>
        </is>
      </c>
      <c r="M655" t="inlineStr">
        <is>
          <t>BTB</t>
        </is>
      </c>
      <c r="N655" t="inlineStr">
        <is>
          <t>CANAL DIRECTO</t>
        </is>
      </c>
    </row>
    <row r="656">
      <c r="A656" t="inlineStr">
        <is>
          <t>13/10/2026</t>
        </is>
      </c>
      <c r="B656" t="inlineStr">
        <is>
          <t>16504795</t>
        </is>
      </c>
      <c r="C656" t="inlineStr">
        <is>
          <t>163140</t>
        </is>
      </c>
      <c r="D656" t="inlineStr">
        <is>
          <t>163140</t>
        </is>
      </c>
      <c r="E656" t="inlineStr">
        <is>
          <t>HALFSIM TIGO</t>
        </is>
      </c>
      <c r="F656" t="n">
        <v>1</v>
      </c>
      <c r="G656" t="n">
        <v>0.69</v>
      </c>
      <c r="H656" t="inlineStr">
        <is>
          <t>0.69</t>
        </is>
      </c>
      <c r="J656" t="inlineStr">
        <is>
          <t>DARWIN XAVIER GUIZADO ARCOS_DARWIN XAVIER GUIZADO ARCOS</t>
        </is>
      </c>
      <c r="K656" t="inlineStr">
        <is>
          <t>1719201145001</t>
        </is>
      </c>
      <c r="M656" t="inlineStr">
        <is>
          <t>BTB</t>
        </is>
      </c>
      <c r="N656" t="inlineStr">
        <is>
          <t>CANAL DIRECTO</t>
        </is>
      </c>
    </row>
    <row r="657">
      <c r="A657" t="inlineStr">
        <is>
          <t>13/10/2026</t>
        </is>
      </c>
      <c r="B657" t="inlineStr">
        <is>
          <t>16504797</t>
        </is>
      </c>
      <c r="C657" t="inlineStr">
        <is>
          <t>163140</t>
        </is>
      </c>
      <c r="D657" t="inlineStr">
        <is>
          <t>163140</t>
        </is>
      </c>
      <c r="E657" t="inlineStr">
        <is>
          <t>HALFSIM TIGO</t>
        </is>
      </c>
      <c r="F657" t="n">
        <v>1</v>
      </c>
      <c r="G657" t="n">
        <v>0.69</v>
      </c>
      <c r="H657" t="inlineStr">
        <is>
          <t>0.69</t>
        </is>
      </c>
      <c r="J657" t="inlineStr">
        <is>
          <t>SALAS LEON JOHN ANGEL_SALAS LEON JOHN ANGEL</t>
        </is>
      </c>
      <c r="K657" t="inlineStr">
        <is>
          <t>0922918487001</t>
        </is>
      </c>
      <c r="M657" t="inlineStr">
        <is>
          <t>BTB</t>
        </is>
      </c>
      <c r="N657" t="inlineStr">
        <is>
          <t>CANAL DIRECTO</t>
        </is>
      </c>
    </row>
    <row r="658">
      <c r="A658" t="inlineStr">
        <is>
          <t>13/10/2026</t>
        </is>
      </c>
      <c r="B658" t="inlineStr">
        <is>
          <t>16504798</t>
        </is>
      </c>
      <c r="C658" t="inlineStr">
        <is>
          <t>163140</t>
        </is>
      </c>
      <c r="D658" t="inlineStr">
        <is>
          <t>163140</t>
        </is>
      </c>
      <c r="E658" t="inlineStr">
        <is>
          <t>HALFSIM TIGO</t>
        </is>
      </c>
      <c r="F658" t="n">
        <v>5</v>
      </c>
      <c r="G658" t="n">
        <v>3.4499999999999997</v>
      </c>
      <c r="H658" t="inlineStr">
        <is>
          <t>0.69</t>
        </is>
      </c>
      <c r="J658" t="inlineStr">
        <is>
          <t>RUBEN RAMIREZ ENGRACIA_IVAN BOHMAN C A</t>
        </is>
      </c>
      <c r="K658" t="inlineStr">
        <is>
          <t>0990320810001</t>
        </is>
      </c>
      <c r="M658" t="inlineStr">
        <is>
          <t>BTB</t>
        </is>
      </c>
      <c r="N658" t="inlineStr">
        <is>
          <t>CANAL DIRECTO</t>
        </is>
      </c>
    </row>
    <row r="659">
      <c r="A659" t="inlineStr">
        <is>
          <t>13/10/2026</t>
        </is>
      </c>
      <c r="B659" t="inlineStr">
        <is>
          <t>16504803</t>
        </is>
      </c>
      <c r="C659" t="inlineStr">
        <is>
          <t>163140</t>
        </is>
      </c>
      <c r="D659" t="inlineStr">
        <is>
          <t>163140</t>
        </is>
      </c>
      <c r="E659" t="inlineStr">
        <is>
          <t>HALFSIM TIGO</t>
        </is>
      </c>
      <c r="F659" t="n">
        <v>3</v>
      </c>
      <c r="G659" t="n">
        <v>2.0699999999999998</v>
      </c>
      <c r="H659" t="inlineStr">
        <is>
          <t>0.69</t>
        </is>
      </c>
      <c r="J659" t="inlineStr">
        <is>
          <t>MALES GUACHI JHOEL ALEXANDER_MALES GUACHI JHOEL ALEXANDER</t>
        </is>
      </c>
      <c r="K659" t="inlineStr">
        <is>
          <t>1723381461001</t>
        </is>
      </c>
      <c r="M659" t="inlineStr">
        <is>
          <t>BTB</t>
        </is>
      </c>
      <c r="N659" t="inlineStr">
        <is>
          <t>CANAL DIRECTO</t>
        </is>
      </c>
    </row>
    <row r="660">
      <c r="A660" t="inlineStr">
        <is>
          <t>13/10/2026</t>
        </is>
      </c>
      <c r="B660" t="inlineStr">
        <is>
          <t>16504806</t>
        </is>
      </c>
      <c r="C660" t="inlineStr">
        <is>
          <t>163140</t>
        </is>
      </c>
      <c r="D660" t="inlineStr">
        <is>
          <t>163140</t>
        </is>
      </c>
      <c r="E660" t="inlineStr">
        <is>
          <t>HALFSIM TIGO</t>
        </is>
      </c>
      <c r="F660" t="n">
        <v>2</v>
      </c>
      <c r="G660" t="n">
        <v>1.38</v>
      </c>
      <c r="H660" t="inlineStr">
        <is>
          <t>0.69</t>
        </is>
      </c>
      <c r="J660" t="inlineStr">
        <is>
          <t>LINA DIAZ_TRECX S A</t>
        </is>
      </c>
      <c r="K660" t="inlineStr">
        <is>
          <t>1791812484001</t>
        </is>
      </c>
      <c r="M660" t="inlineStr">
        <is>
          <t>BTB</t>
        </is>
      </c>
      <c r="N660" t="inlineStr">
        <is>
          <t>CANAL DIRECTO</t>
        </is>
      </c>
    </row>
    <row r="661">
      <c r="A661" t="inlineStr">
        <is>
          <t>13/10/2026</t>
        </is>
      </c>
      <c r="B661" t="inlineStr">
        <is>
          <t>16504831</t>
        </is>
      </c>
      <c r="C661" t="inlineStr">
        <is>
          <t>163140</t>
        </is>
      </c>
      <c r="D661" t="inlineStr">
        <is>
          <t>163140</t>
        </is>
      </c>
      <c r="E661" t="inlineStr">
        <is>
          <t>HALFSIM TIGO</t>
        </is>
      </c>
      <c r="F661" t="n">
        <v>1</v>
      </c>
      <c r="G661" t="n">
        <v>0.69</v>
      </c>
      <c r="H661" t="inlineStr">
        <is>
          <t>0.69</t>
        </is>
      </c>
      <c r="J661" t="inlineStr">
        <is>
          <t>WILSON OVIEDO_ NOVAECUADOR S A AGENCIA ASESORA P</t>
        </is>
      </c>
      <c r="K661" t="inlineStr">
        <is>
          <t>1791297121001</t>
        </is>
      </c>
      <c r="M661" t="inlineStr">
        <is>
          <t>BTB</t>
        </is>
      </c>
      <c r="N661" t="inlineStr">
        <is>
          <t>CANAL DIRECTO</t>
        </is>
      </c>
    </row>
    <row r="662">
      <c r="A662" t="inlineStr">
        <is>
          <t>13/10/2026</t>
        </is>
      </c>
      <c r="B662" t="inlineStr">
        <is>
          <t>16504832</t>
        </is>
      </c>
      <c r="C662" t="inlineStr">
        <is>
          <t>163140</t>
        </is>
      </c>
      <c r="D662" t="inlineStr">
        <is>
          <t>163140</t>
        </is>
      </c>
      <c r="E662" t="inlineStr">
        <is>
          <t>HALFSIM TIGO</t>
        </is>
      </c>
      <c r="F662" t="n">
        <v>1</v>
      </c>
      <c r="G662" t="n">
        <v>0.69</v>
      </c>
      <c r="H662" t="inlineStr">
        <is>
          <t>0.69</t>
        </is>
      </c>
      <c r="J662" t="inlineStr">
        <is>
          <t>DIANA PEREZ_AQUACARGILL DEL ECUADOR CIA LTDA</t>
        </is>
      </c>
      <c r="K662" t="inlineStr">
        <is>
          <t>0992926244001</t>
        </is>
      </c>
      <c r="M662" t="inlineStr">
        <is>
          <t>BTB</t>
        </is>
      </c>
      <c r="N662" t="inlineStr">
        <is>
          <t>CANAL DIRECTO</t>
        </is>
      </c>
    </row>
    <row r="663">
      <c r="A663" t="inlineStr">
        <is>
          <t>13/10/2026</t>
        </is>
      </c>
      <c r="B663" t="inlineStr">
        <is>
          <t>16504834</t>
        </is>
      </c>
      <c r="C663" t="inlineStr">
        <is>
          <t>163140</t>
        </is>
      </c>
      <c r="D663" t="inlineStr">
        <is>
          <t>163140</t>
        </is>
      </c>
      <c r="E663" t="inlineStr">
        <is>
          <t>HALFSIM TIGO</t>
        </is>
      </c>
      <c r="F663" t="n">
        <v>1</v>
      </c>
      <c r="G663" t="n">
        <v>0.69</v>
      </c>
      <c r="H663" t="inlineStr">
        <is>
          <t>0.69</t>
        </is>
      </c>
      <c r="J663" t="inlineStr">
        <is>
          <t>JUAN AREVALO_ACEROS Y MATERIALES PARA LA CONSTRUCCION ACIMCOECUADOR CIA LTDA</t>
        </is>
      </c>
      <c r="K663" t="inlineStr">
        <is>
          <t>1791989937001</t>
        </is>
      </c>
      <c r="M663" t="inlineStr">
        <is>
          <t>BTB</t>
        </is>
      </c>
      <c r="N663" t="inlineStr">
        <is>
          <t>CANAL DIRECTO</t>
        </is>
      </c>
    </row>
    <row r="664">
      <c r="A664" t="inlineStr">
        <is>
          <t>13/10/2026</t>
        </is>
      </c>
      <c r="B664" t="inlineStr">
        <is>
          <t>16504836</t>
        </is>
      </c>
      <c r="C664" t="inlineStr">
        <is>
          <t>163140</t>
        </is>
      </c>
      <c r="D664" t="inlineStr">
        <is>
          <t>163140</t>
        </is>
      </c>
      <c r="E664" t="inlineStr">
        <is>
          <t>HALFSIM TIGO</t>
        </is>
      </c>
      <c r="F664" t="n">
        <v>1</v>
      </c>
      <c r="G664" t="n">
        <v>0.69</v>
      </c>
      <c r="H664" t="inlineStr">
        <is>
          <t>0.69</t>
        </is>
      </c>
      <c r="J664" t="inlineStr">
        <is>
          <t>LAURA SALINAS_NEXUSASESORES S A S</t>
        </is>
      </c>
      <c r="K664" t="inlineStr">
        <is>
          <t>1793232855001</t>
        </is>
      </c>
      <c r="M664" t="inlineStr">
        <is>
          <t>BTB</t>
        </is>
      </c>
      <c r="N664" t="inlineStr">
        <is>
          <t>CANAL DIRECTO</t>
        </is>
      </c>
    </row>
    <row r="665">
      <c r="A665" t="inlineStr">
        <is>
          <t>13/10/2026</t>
        </is>
      </c>
      <c r="B665" t="inlineStr">
        <is>
          <t>16504838</t>
        </is>
      </c>
      <c r="C665" t="inlineStr">
        <is>
          <t>163140</t>
        </is>
      </c>
      <c r="D665" t="inlineStr">
        <is>
          <t>163140</t>
        </is>
      </c>
      <c r="E665" t="inlineStr">
        <is>
          <t>HALFSIM TIGO</t>
        </is>
      </c>
      <c r="F665" t="n">
        <v>1</v>
      </c>
      <c r="G665" t="n">
        <v>0.69</v>
      </c>
      <c r="H665" t="inlineStr">
        <is>
          <t>0.69</t>
        </is>
      </c>
      <c r="J665" t="inlineStr">
        <is>
          <t>PAREDES ONATE MARCELO FERNANDO_PAREDES ONATE MARCELO FERNANDO</t>
        </is>
      </c>
      <c r="K665" t="inlineStr">
        <is>
          <t>1711830933001</t>
        </is>
      </c>
      <c r="M665" t="inlineStr">
        <is>
          <t>BTB</t>
        </is>
      </c>
      <c r="N665" t="inlineStr">
        <is>
          <t>CANAL DIRECTO</t>
        </is>
      </c>
    </row>
    <row r="666">
      <c r="A666" t="inlineStr">
        <is>
          <t>13/10/2026</t>
        </is>
      </c>
      <c r="B666" t="inlineStr">
        <is>
          <t>16504904</t>
        </is>
      </c>
      <c r="C666" t="inlineStr">
        <is>
          <t>163140</t>
        </is>
      </c>
      <c r="D666" t="inlineStr">
        <is>
          <t>163140</t>
        </is>
      </c>
      <c r="E666" t="inlineStr">
        <is>
          <t>HALFSIM TIGO</t>
        </is>
      </c>
      <c r="F666" t="n">
        <v>2</v>
      </c>
      <c r="G666" t="n">
        <v>1.38</v>
      </c>
      <c r="H666" t="inlineStr">
        <is>
          <t>0.69</t>
        </is>
      </c>
      <c r="J666" t="inlineStr">
        <is>
          <t>MARCO COELLO_IDEAL ALAMBREC S A</t>
        </is>
      </c>
      <c r="K666" t="inlineStr">
        <is>
          <t>1790050947001</t>
        </is>
      </c>
      <c r="M666" t="inlineStr">
        <is>
          <t>BTB</t>
        </is>
      </c>
      <c r="N666" t="inlineStr">
        <is>
          <t>CANAL DIRECTO</t>
        </is>
      </c>
    </row>
    <row r="667">
      <c r="A667" t="inlineStr">
        <is>
          <t>13/10/2026</t>
        </is>
      </c>
      <c r="B667" t="inlineStr">
        <is>
          <t>16504906</t>
        </is>
      </c>
      <c r="C667" t="inlineStr">
        <is>
          <t>163140</t>
        </is>
      </c>
      <c r="D667" t="inlineStr">
        <is>
          <t>163140</t>
        </is>
      </c>
      <c r="E667" t="inlineStr">
        <is>
          <t>HALFSIM TIGO</t>
        </is>
      </c>
      <c r="F667" t="n">
        <v>1</v>
      </c>
      <c r="G667" t="n">
        <v>0.69</v>
      </c>
      <c r="H667" t="inlineStr">
        <is>
          <t>0.69</t>
        </is>
      </c>
      <c r="J667" t="inlineStr">
        <is>
          <t>VIVIANA GABRIELA ALOMOTO LUNA_SOLUCIONES INFORMATICAS DEL FUTURO SIFUTURO S A</t>
        </is>
      </c>
      <c r="K667" t="inlineStr">
        <is>
          <t>1791402588001</t>
        </is>
      </c>
      <c r="M667" t="inlineStr">
        <is>
          <t>BTB</t>
        </is>
      </c>
      <c r="N667" t="inlineStr">
        <is>
          <t>CANAL DIRECTO</t>
        </is>
      </c>
    </row>
    <row r="668">
      <c r="A668" t="inlineStr">
        <is>
          <t>13/10/2026</t>
        </is>
      </c>
      <c r="B668" t="inlineStr">
        <is>
          <t>16504913</t>
        </is>
      </c>
      <c r="C668" t="inlineStr">
        <is>
          <t>163140</t>
        </is>
      </c>
      <c r="D668" t="inlineStr">
        <is>
          <t>163140</t>
        </is>
      </c>
      <c r="E668" t="inlineStr">
        <is>
          <t>HALFSIM TIGO</t>
        </is>
      </c>
      <c r="F668" t="n">
        <v>1</v>
      </c>
      <c r="G668" t="n">
        <v>0.69</v>
      </c>
      <c r="H668" t="inlineStr">
        <is>
          <t>0.69</t>
        </is>
      </c>
      <c r="J668" t="inlineStr">
        <is>
          <t>LUIGI DENNIS BENAVIDES OBANDO_REFACTOR STUDIOS S A S</t>
        </is>
      </c>
      <c r="K668" t="inlineStr">
        <is>
          <t>1793213411001</t>
        </is>
      </c>
      <c r="M668" t="inlineStr">
        <is>
          <t>BTB</t>
        </is>
      </c>
      <c r="N668" t="inlineStr">
        <is>
          <t>CANAL DIRECTO</t>
        </is>
      </c>
    </row>
    <row r="669">
      <c r="A669" t="inlineStr">
        <is>
          <t>13/10/2026</t>
        </is>
      </c>
      <c r="B669" t="inlineStr">
        <is>
          <t>16504914</t>
        </is>
      </c>
      <c r="C669" t="inlineStr">
        <is>
          <t>163140</t>
        </is>
      </c>
      <c r="D669" t="inlineStr">
        <is>
          <t>163140</t>
        </is>
      </c>
      <c r="E669" t="inlineStr">
        <is>
          <t>HALFSIM TIGO</t>
        </is>
      </c>
      <c r="F669" t="n">
        <v>1</v>
      </c>
      <c r="G669" t="n">
        <v>0.69</v>
      </c>
      <c r="H669" t="inlineStr">
        <is>
          <t>0.69</t>
        </is>
      </c>
      <c r="J669" t="inlineStr">
        <is>
          <t>CARRION ZAMBRANO DARWIN VINICIO_CARRION ZAMBRANO DARWIN VINICIO</t>
        </is>
      </c>
      <c r="K669" t="inlineStr">
        <is>
          <t>0703294561001</t>
        </is>
      </c>
      <c r="M669" t="inlineStr">
        <is>
          <t>BTB</t>
        </is>
      </c>
      <c r="N669" t="inlineStr">
        <is>
          <t>CANAL DIRECTO</t>
        </is>
      </c>
    </row>
    <row r="670">
      <c r="A670" t="inlineStr">
        <is>
          <t>13/10/2026</t>
        </is>
      </c>
      <c r="B670" t="inlineStr">
        <is>
          <t>16504915</t>
        </is>
      </c>
      <c r="C670" t="inlineStr">
        <is>
          <t>163140</t>
        </is>
      </c>
      <c r="D670" t="inlineStr">
        <is>
          <t>163140</t>
        </is>
      </c>
      <c r="E670" t="inlineStr">
        <is>
          <t>HALFSIM TIGO</t>
        </is>
      </c>
      <c r="F670" t="n">
        <v>1</v>
      </c>
      <c r="G670" t="n">
        <v>0.69</v>
      </c>
      <c r="H670" t="inlineStr">
        <is>
          <t>0.69</t>
        </is>
      </c>
      <c r="J670" t="inlineStr">
        <is>
          <t>KETTY JARAMILLO_MKP ECUADOR S A S</t>
        </is>
      </c>
      <c r="K670" t="inlineStr">
        <is>
          <t>1791286782001</t>
        </is>
      </c>
      <c r="M670" t="inlineStr">
        <is>
          <t>BTB</t>
        </is>
      </c>
      <c r="N670" t="inlineStr">
        <is>
          <t>CANAL DIRECTO</t>
        </is>
      </c>
    </row>
    <row r="671">
      <c r="A671" t="inlineStr">
        <is>
          <t>13/10/2026</t>
        </is>
      </c>
      <c r="B671" t="inlineStr">
        <is>
          <t>16504918</t>
        </is>
      </c>
      <c r="C671" t="inlineStr">
        <is>
          <t>163140</t>
        </is>
      </c>
      <c r="D671" t="inlineStr">
        <is>
          <t>163140</t>
        </is>
      </c>
      <c r="E671" t="inlineStr">
        <is>
          <t>HALFSIM TIGO</t>
        </is>
      </c>
      <c r="F671" t="n">
        <v>1</v>
      </c>
      <c r="G671" t="n">
        <v>0.69</v>
      </c>
      <c r="H671" t="inlineStr">
        <is>
          <t>0.69</t>
        </is>
      </c>
      <c r="J671" t="inlineStr">
        <is>
          <t>ANDRADE VELASQUEZ JEFFERSON ARGENIS_ANDRADE VELASQUEZ JEFFERSON ARGENIS</t>
        </is>
      </c>
      <c r="K671" t="inlineStr">
        <is>
          <t>0929879138001</t>
        </is>
      </c>
      <c r="M671" t="inlineStr">
        <is>
          <t>BTB</t>
        </is>
      </c>
      <c r="N671" t="inlineStr">
        <is>
          <t>CANAL DIRECTO</t>
        </is>
      </c>
    </row>
    <row r="672">
      <c r="A672" t="inlineStr">
        <is>
          <t>13/10/2026</t>
        </is>
      </c>
      <c r="B672" t="inlineStr">
        <is>
          <t>16504919</t>
        </is>
      </c>
      <c r="C672" t="inlineStr">
        <is>
          <t>163140</t>
        </is>
      </c>
      <c r="D672" t="inlineStr">
        <is>
          <t>163140</t>
        </is>
      </c>
      <c r="E672" t="inlineStr">
        <is>
          <t>HALFSIM TIGO</t>
        </is>
      </c>
      <c r="F672" t="n">
        <v>1</v>
      </c>
      <c r="G672" t="n">
        <v>0.69</v>
      </c>
      <c r="H672" t="inlineStr">
        <is>
          <t>0.69</t>
        </is>
      </c>
      <c r="J672" t="inlineStr">
        <is>
          <t>CHANGO TIPANTAXI FRANCISCO OMAR_CHANGO TIPANTAXI FRANCISCO OMAR</t>
        </is>
      </c>
      <c r="K672" t="inlineStr">
        <is>
          <t>1706668587001</t>
        </is>
      </c>
      <c r="M672" t="inlineStr">
        <is>
          <t>BTB</t>
        </is>
      </c>
      <c r="N672" t="inlineStr">
        <is>
          <t>CANAL DIRECTO</t>
        </is>
      </c>
    </row>
    <row r="673">
      <c r="A673" t="inlineStr">
        <is>
          <t>13/10/2026</t>
        </is>
      </c>
      <c r="B673" t="inlineStr">
        <is>
          <t>2026-08344</t>
        </is>
      </c>
      <c r="C673" t="inlineStr">
        <is>
          <t>163141</t>
        </is>
      </c>
      <c r="D673" t="inlineStr">
        <is>
          <t>163141</t>
        </is>
      </c>
      <c r="E673" t="inlineStr">
        <is>
          <t>ESIM TIGO DIGITAL</t>
        </is>
      </c>
      <c r="F673" t="n">
        <v>60</v>
      </c>
      <c r="G673" t="n">
        <v>12.6</v>
      </c>
      <c r="H673" t="inlineStr">
        <is>
          <t>0.21</t>
        </is>
      </c>
      <c r="J673" t="inlineStr">
        <is>
          <t>KIOSKO CELISTICS HYPERCORAL LA MAGDALENA QUITO_TOBAR ZAMBRANO MARIA JOSE</t>
        </is>
      </c>
      <c r="K673" t="inlineStr">
        <is>
          <t>1306571512</t>
        </is>
      </c>
      <c r="M673" t="inlineStr">
        <is>
          <t>INDIRECTO</t>
        </is>
      </c>
      <c r="N673" t="inlineStr">
        <is>
          <t>CANAL INDIRECTO</t>
        </is>
      </c>
    </row>
    <row r="674">
      <c r="A674" t="inlineStr">
        <is>
          <t>13/10/2026</t>
        </is>
      </c>
      <c r="B674" t="inlineStr">
        <is>
          <t>2026-08345</t>
        </is>
      </c>
      <c r="C674" t="inlineStr">
        <is>
          <t>163140</t>
        </is>
      </c>
      <c r="D674" t="inlineStr">
        <is>
          <t>163140</t>
        </is>
      </c>
      <c r="E674" t="inlineStr">
        <is>
          <t>HALFSIM TIGO</t>
        </is>
      </c>
      <c r="F674" t="n">
        <v>300</v>
      </c>
      <c r="G674" t="n">
        <v>206.99999999999997</v>
      </c>
      <c r="H674" t="inlineStr">
        <is>
          <t>0.69</t>
        </is>
      </c>
      <c r="J674" t="inlineStr">
        <is>
          <t>AGENTE AE CELISTICS EL RECREO QUITO_WALTER TAMAYO</t>
        </is>
      </c>
      <c r="K674" t="inlineStr">
        <is>
          <t>1792161037001</t>
        </is>
      </c>
      <c r="M674" t="inlineStr">
        <is>
          <t>INDIRECTO</t>
        </is>
      </c>
      <c r="N674" t="inlineStr">
        <is>
          <t>CANAL INDIRECTO</t>
        </is>
      </c>
    </row>
    <row r="675">
      <c r="A675" t="inlineStr">
        <is>
          <t>13/10/2026</t>
        </is>
      </c>
      <c r="B675" t="inlineStr">
        <is>
          <t>2026-08345</t>
        </is>
      </c>
      <c r="C675" t="inlineStr">
        <is>
          <t>163141</t>
        </is>
      </c>
      <c r="D675" t="inlineStr">
        <is>
          <t>163141</t>
        </is>
      </c>
      <c r="E675" t="inlineStr">
        <is>
          <t>ESIM TIGO DIGITAL</t>
        </is>
      </c>
      <c r="F675" t="n">
        <v>80</v>
      </c>
      <c r="G675" t="n">
        <v>16.8</v>
      </c>
      <c r="H675" t="inlineStr">
        <is>
          <t>0.21</t>
        </is>
      </c>
      <c r="J675" t="inlineStr">
        <is>
          <t>AGENTE AE CELISTICS EL RECREO QUITO_WALTER TAMAYO</t>
        </is>
      </c>
      <c r="K675" t="inlineStr">
        <is>
          <t>1792161037001</t>
        </is>
      </c>
      <c r="M675" t="inlineStr">
        <is>
          <t>INDIRECTO</t>
        </is>
      </c>
      <c r="N675" t="inlineStr">
        <is>
          <t>CANAL INDIRECTO</t>
        </is>
      </c>
    </row>
    <row r="676">
      <c r="A676" t="inlineStr">
        <is>
          <t>13/10/2026</t>
        </is>
      </c>
      <c r="B676" t="inlineStr">
        <is>
          <t>2026-08346</t>
        </is>
      </c>
      <c r="C676" t="inlineStr">
        <is>
          <t>163140</t>
        </is>
      </c>
      <c r="D676" t="inlineStr">
        <is>
          <t>163140</t>
        </is>
      </c>
      <c r="E676" t="inlineStr">
        <is>
          <t>HALFSIM TIGO</t>
        </is>
      </c>
      <c r="F676" t="n">
        <v>1000</v>
      </c>
      <c r="G676" t="n">
        <v>690</v>
      </c>
      <c r="H676" t="inlineStr">
        <is>
          <t>0.69</t>
        </is>
      </c>
      <c r="J676" t="inlineStr">
        <is>
          <t>AE CELISTICS QUICENTRO SUR_WALTER TAMAYO</t>
        </is>
      </c>
      <c r="K676" t="inlineStr">
        <is>
          <t>1792161037001</t>
        </is>
      </c>
      <c r="M676" t="inlineStr">
        <is>
          <t>INDIRECTO</t>
        </is>
      </c>
      <c r="N676" t="inlineStr">
        <is>
          <t>CANAL INDIRECTO</t>
        </is>
      </c>
    </row>
    <row r="677">
      <c r="A677" t="inlineStr">
        <is>
          <t>13/10/2026</t>
        </is>
      </c>
      <c r="B677" t="inlineStr">
        <is>
          <t>2026-08346</t>
        </is>
      </c>
      <c r="C677" t="inlineStr">
        <is>
          <t>163141</t>
        </is>
      </c>
      <c r="D677" t="inlineStr">
        <is>
          <t>163141</t>
        </is>
      </c>
      <c r="E677" t="inlineStr">
        <is>
          <t>ESIM TIGO DIGITAL</t>
        </is>
      </c>
      <c r="F677" t="n">
        <v>90</v>
      </c>
      <c r="G677" t="n">
        <v>18.899999999999999</v>
      </c>
      <c r="H677" t="inlineStr">
        <is>
          <t>0.21</t>
        </is>
      </c>
      <c r="J677" t="inlineStr">
        <is>
          <t>AE CELISTICS QUICENTRO SUR_WALTER TAMAYO</t>
        </is>
      </c>
      <c r="K677" t="inlineStr">
        <is>
          <t>1792161037001</t>
        </is>
      </c>
      <c r="M677" t="inlineStr">
        <is>
          <t>INDIRECTO</t>
        </is>
      </c>
      <c r="N677" t="inlineStr">
        <is>
          <t>CANAL INDIRECTO</t>
        </is>
      </c>
    </row>
    <row r="678">
      <c r="A678" t="inlineStr">
        <is>
          <t>13/10/2026</t>
        </is>
      </c>
      <c r="B678" t="inlineStr">
        <is>
          <t>2026-08347</t>
        </is>
      </c>
      <c r="C678" t="inlineStr">
        <is>
          <t>163140_02</t>
        </is>
      </c>
      <c r="D678" t="inlineStr">
        <is>
          <t>163140</t>
        </is>
      </c>
      <c r="E678" t="inlineStr">
        <is>
          <t>HALFSIM TIGO CHIP PREPAGO $3 WP NUMERADO</t>
        </is>
      </c>
      <c r="F678" t="n">
        <v>100</v>
      </c>
      <c r="G678" t="n">
        <v>69</v>
      </c>
      <c r="H678" t="inlineStr">
        <is>
          <t>0.69</t>
        </is>
      </c>
      <c r="J678" t="inlineStr">
        <is>
          <t>CORPORATIVO ROMERO RYRTECH S.A.S (DURAN)_ELIZABETH SALAGATA</t>
        </is>
      </c>
      <c r="K678" t="inlineStr">
        <is>
          <t>0915962609</t>
        </is>
      </c>
      <c r="M678" t="inlineStr">
        <is>
          <t>INDIRECTO</t>
        </is>
      </c>
      <c r="N678" t="inlineStr">
        <is>
          <t>CANAL INDIRECTO</t>
        </is>
      </c>
    </row>
    <row r="679">
      <c r="A679" t="inlineStr">
        <is>
          <t>13/10/2026</t>
        </is>
      </c>
      <c r="B679" t="inlineStr">
        <is>
          <t>2026-08348</t>
        </is>
      </c>
      <c r="C679" t="inlineStr">
        <is>
          <t>163140</t>
        </is>
      </c>
      <c r="D679" t="inlineStr">
        <is>
          <t>163140</t>
        </is>
      </c>
      <c r="E679" t="inlineStr">
        <is>
          <t>HALFSIM TIGO</t>
        </is>
      </c>
      <c r="F679" t="n">
        <v>100</v>
      </c>
      <c r="G679" t="n">
        <v>69</v>
      </c>
      <c r="H679" t="inlineStr">
        <is>
          <t>0.69</t>
        </is>
      </c>
      <c r="J679" t="inlineStr">
        <is>
          <t>CORPORATIVO ROMERO RYRTECH S.A.S  (HYPER VIA DAULE)_ELIZABETH SALAGATA</t>
        </is>
      </c>
      <c r="K679" t="inlineStr">
        <is>
          <t>0993323705001</t>
        </is>
      </c>
      <c r="M679" t="inlineStr">
        <is>
          <t>INDIRECTO</t>
        </is>
      </c>
      <c r="N679" t="inlineStr">
        <is>
          <t>CANAL INDIRECTO</t>
        </is>
      </c>
    </row>
    <row r="680">
      <c r="A680" t="inlineStr">
        <is>
          <t>13/10/2026</t>
        </is>
      </c>
      <c r="B680" t="inlineStr">
        <is>
          <t>2026-08348</t>
        </is>
      </c>
      <c r="C680" t="inlineStr">
        <is>
          <t>163141</t>
        </is>
      </c>
      <c r="D680" t="inlineStr">
        <is>
          <t>163141</t>
        </is>
      </c>
      <c r="E680" t="inlineStr">
        <is>
          <t>ESIM TIGO DIGITAL</t>
        </is>
      </c>
      <c r="F680" t="n">
        <v>30</v>
      </c>
      <c r="G680" t="n">
        <v>6.3</v>
      </c>
      <c r="H680" t="inlineStr">
        <is>
          <t>0.21</t>
        </is>
      </c>
      <c r="J680" t="inlineStr">
        <is>
          <t>CORPORATIVO ROMERO RYRTECH S.A.S  (HYPER VIA DAULE)_ELIZABETH SALAGATA</t>
        </is>
      </c>
      <c r="K680" t="inlineStr">
        <is>
          <t>0993323705001</t>
        </is>
      </c>
      <c r="M680" t="inlineStr">
        <is>
          <t>INDIRECTO</t>
        </is>
      </c>
      <c r="N680" t="inlineStr">
        <is>
          <t>CANAL INDIRECTO</t>
        </is>
      </c>
    </row>
    <row r="681">
      <c r="A681" t="inlineStr">
        <is>
          <t>13/10/2026</t>
        </is>
      </c>
      <c r="B681" t="inlineStr">
        <is>
          <t>2026-08349</t>
        </is>
      </c>
      <c r="C681" t="inlineStr">
        <is>
          <t>163141</t>
        </is>
      </c>
      <c r="D681" t="inlineStr">
        <is>
          <t>163141</t>
        </is>
      </c>
      <c r="E681" t="inlineStr">
        <is>
          <t>ESIM TIGO DIGITAL</t>
        </is>
      </c>
      <c r="F681" t="n">
        <v>100</v>
      </c>
      <c r="G681" t="n">
        <v>21</v>
      </c>
      <c r="H681" t="inlineStr">
        <is>
          <t>0.21</t>
        </is>
      </c>
      <c r="J681" t="inlineStr">
        <is>
          <t>CAVS AE SALESLAND SCALA_JULY FREIRE</t>
        </is>
      </c>
      <c r="K681" t="inlineStr">
        <is>
          <t>1713085593</t>
        </is>
      </c>
      <c r="M681" t="inlineStr">
        <is>
          <t>INDIRECTO</t>
        </is>
      </c>
      <c r="N681" t="inlineStr">
        <is>
          <t>CANAL INDIRECTO</t>
        </is>
      </c>
    </row>
    <row r="682">
      <c r="A682" t="inlineStr">
        <is>
          <t>13/10/2026</t>
        </is>
      </c>
      <c r="B682" t="inlineStr">
        <is>
          <t>2026-08351</t>
        </is>
      </c>
      <c r="C682" t="inlineStr">
        <is>
          <t>163141</t>
        </is>
      </c>
      <c r="D682" t="inlineStr">
        <is>
          <t>163141</t>
        </is>
      </c>
      <c r="E682" t="inlineStr">
        <is>
          <t>ESIM TIGO DIGITAL</t>
        </is>
      </c>
      <c r="F682" t="n">
        <v>100</v>
      </c>
      <c r="G682" t="n">
        <v>21</v>
      </c>
      <c r="H682" t="inlineStr">
        <is>
          <t>0.21</t>
        </is>
      </c>
      <c r="J682" t="inlineStr">
        <is>
          <t>CAVS AE SALESLAND CUENCA REMIGIO_JULY FREIRE</t>
        </is>
      </c>
      <c r="K682" t="inlineStr">
        <is>
          <t>0</t>
        </is>
      </c>
      <c r="M682" t="inlineStr">
        <is>
          <t>INDIRECTO</t>
        </is>
      </c>
      <c r="N682" t="inlineStr">
        <is>
          <t>CANAL INDIRECTO</t>
        </is>
      </c>
    </row>
    <row r="683">
      <c r="A683" t="inlineStr">
        <is>
          <t>13/10/2026</t>
        </is>
      </c>
      <c r="B683" t="inlineStr">
        <is>
          <t>2026-08352</t>
        </is>
      </c>
      <c r="C683" t="inlineStr">
        <is>
          <t>163140</t>
        </is>
      </c>
      <c r="D683" t="inlineStr">
        <is>
          <t>163140</t>
        </is>
      </c>
      <c r="E683" t="inlineStr">
        <is>
          <t>HALFSIM TIGO</t>
        </is>
      </c>
      <c r="F683" t="n">
        <v>300</v>
      </c>
      <c r="G683" t="n">
        <v>206.99999999999997</v>
      </c>
      <c r="H683" t="inlineStr">
        <is>
          <t>0.69</t>
        </is>
      </c>
      <c r="J683" t="inlineStr">
        <is>
          <t>AGENTE AE CELISTICS SAN LUIS_WALTER TAMAYO</t>
        </is>
      </c>
      <c r="K683" t="inlineStr">
        <is>
          <t>1792161037001</t>
        </is>
      </c>
      <c r="M683" t="inlineStr">
        <is>
          <t>INDIRECTO</t>
        </is>
      </c>
      <c r="N683" t="inlineStr">
        <is>
          <t>CANAL INDIRECTO</t>
        </is>
      </c>
    </row>
    <row r="684">
      <c r="A684" t="inlineStr">
        <is>
          <t>13/10/2026</t>
        </is>
      </c>
      <c r="B684" t="inlineStr">
        <is>
          <t>2026-08352</t>
        </is>
      </c>
      <c r="C684" t="inlineStr">
        <is>
          <t>163141</t>
        </is>
      </c>
      <c r="D684" t="inlineStr">
        <is>
          <t>163141</t>
        </is>
      </c>
      <c r="E684" t="inlineStr">
        <is>
          <t>ESIM TIGO DIGITAL</t>
        </is>
      </c>
      <c r="F684" t="n">
        <v>110</v>
      </c>
      <c r="G684" t="n">
        <v>23.099999999999998</v>
      </c>
      <c r="H684" t="inlineStr">
        <is>
          <t>0.21</t>
        </is>
      </c>
      <c r="J684" t="inlineStr">
        <is>
          <t>AGENTE AE CELISTICS SAN LUIS_WALTER TAMAYO</t>
        </is>
      </c>
      <c r="K684" t="inlineStr">
        <is>
          <t>1792161037001</t>
        </is>
      </c>
      <c r="M684" t="inlineStr">
        <is>
          <t>INDIRECTO</t>
        </is>
      </c>
      <c r="N684" t="inlineStr">
        <is>
          <t>CANAL INDIRECTO</t>
        </is>
      </c>
    </row>
    <row r="685">
      <c r="A685" t="inlineStr">
        <is>
          <t>13/10/2026</t>
        </is>
      </c>
      <c r="B685" t="inlineStr">
        <is>
          <t>2026-08354</t>
        </is>
      </c>
      <c r="C685" t="inlineStr">
        <is>
          <t>163140_02</t>
        </is>
      </c>
      <c r="D685" t="inlineStr">
        <is>
          <t>163140</t>
        </is>
      </c>
      <c r="E685" t="inlineStr">
        <is>
          <t>HALFSIM TIGO CHIP PREPAGO $3 WP NUMERADO</t>
        </is>
      </c>
      <c r="F685" t="n">
        <v>100</v>
      </c>
      <c r="G685" t="n">
        <v>69</v>
      </c>
      <c r="H685" t="inlineStr">
        <is>
          <t>0.69</t>
        </is>
      </c>
      <c r="J685" t="inlineStr">
        <is>
          <t>AE CORPORATIVO ROMERO RYRTECH (MALL DEL SUR)_ELIZABETH SALAGATA</t>
        </is>
      </c>
      <c r="K685" t="inlineStr">
        <is>
          <t>0915962609</t>
        </is>
      </c>
      <c r="M685" t="inlineStr">
        <is>
          <t>INDIRECTO</t>
        </is>
      </c>
      <c r="N685" t="inlineStr">
        <is>
          <t>CANAL INDIRECTO</t>
        </is>
      </c>
    </row>
    <row r="686">
      <c r="A686" t="inlineStr">
        <is>
          <t>13/10/2026</t>
        </is>
      </c>
      <c r="B686" t="inlineStr">
        <is>
          <t>2026-08356</t>
        </is>
      </c>
      <c r="C686" t="inlineStr">
        <is>
          <t>163141</t>
        </is>
      </c>
      <c r="D686" t="inlineStr">
        <is>
          <t>163141</t>
        </is>
      </c>
      <c r="E686" t="inlineStr">
        <is>
          <t>ESIM TIGO DIGITAL</t>
        </is>
      </c>
      <c r="F686" t="n">
        <v>50</v>
      </c>
      <c r="G686" t="n">
        <v>10.5</v>
      </c>
      <c r="H686" t="inlineStr">
        <is>
          <t>0.21</t>
        </is>
      </c>
      <c r="J686" t="inlineStr">
        <is>
          <t>AE CELISTICS MALTERIA LATACUNGA_WALTER TAMAYO</t>
        </is>
      </c>
      <c r="K686" t="inlineStr">
        <is>
          <t>1306571512</t>
        </is>
      </c>
      <c r="M686" t="inlineStr">
        <is>
          <t>INDIRECTO</t>
        </is>
      </c>
      <c r="N686" t="inlineStr">
        <is>
          <t>CANAL INDIRECTO</t>
        </is>
      </c>
    </row>
    <row r="687">
      <c r="A687" t="inlineStr">
        <is>
          <t>13/10/2026</t>
        </is>
      </c>
      <c r="B687" t="inlineStr">
        <is>
          <t>2026-08357</t>
        </is>
      </c>
      <c r="C687" t="inlineStr">
        <is>
          <t>163141</t>
        </is>
      </c>
      <c r="D687" t="inlineStr">
        <is>
          <t>163141</t>
        </is>
      </c>
      <c r="E687" t="inlineStr">
        <is>
          <t>ESIM TIGO DIGITAL</t>
        </is>
      </c>
      <c r="F687" t="n">
        <v>60</v>
      </c>
      <c r="G687" t="n">
        <v>12.6</v>
      </c>
      <c r="H687" t="inlineStr">
        <is>
          <t>0.21</t>
        </is>
      </c>
      <c r="J687" t="inlineStr">
        <is>
          <t>KIOSKO CELISTICS PORTAL SHOPPING_TOBAR ZAMBRANO MARIA JOSE</t>
        </is>
      </c>
      <c r="K687" t="inlineStr">
        <is>
          <t>1306571512</t>
        </is>
      </c>
      <c r="M687" t="inlineStr">
        <is>
          <t>INDIRECTO</t>
        </is>
      </c>
      <c r="N687" t="inlineStr">
        <is>
          <t>CANAL INDIRECTO</t>
        </is>
      </c>
    </row>
    <row r="688">
      <c r="A688" t="inlineStr">
        <is>
          <t>13/10/2026</t>
        </is>
      </c>
      <c r="B688" t="inlineStr">
        <is>
          <t>2026-08358</t>
        </is>
      </c>
      <c r="C688" t="inlineStr">
        <is>
          <t>163141</t>
        </is>
      </c>
      <c r="D688" t="inlineStr">
        <is>
          <t>163141</t>
        </is>
      </c>
      <c r="E688" t="inlineStr">
        <is>
          <t>ESIM TIGO DIGITAL</t>
        </is>
      </c>
      <c r="F688" t="n">
        <v>40</v>
      </c>
      <c r="G688" t="n">
        <v>8.4</v>
      </c>
      <c r="H688" t="inlineStr">
        <is>
          <t>0.21</t>
        </is>
      </c>
      <c r="J688" t="inlineStr">
        <is>
          <t>AE CELISTIC PASEO SHOPPING RIOBAMBA_WALTER TAMAYO</t>
        </is>
      </c>
      <c r="K688" t="inlineStr">
        <is>
          <t>1306571512</t>
        </is>
      </c>
      <c r="M688" t="inlineStr">
        <is>
          <t>INDIRECTO</t>
        </is>
      </c>
      <c r="N688" t="inlineStr">
        <is>
          <t>CANAL INDIRECTO</t>
        </is>
      </c>
    </row>
    <row r="689">
      <c r="A689" t="inlineStr">
        <is>
          <t>13/10/2026</t>
        </is>
      </c>
      <c r="B689" t="inlineStr">
        <is>
          <t>2026-08359</t>
        </is>
      </c>
      <c r="C689" t="inlineStr">
        <is>
          <t>163141</t>
        </is>
      </c>
      <c r="D689" t="inlineStr">
        <is>
          <t>163141</t>
        </is>
      </c>
      <c r="E689" t="inlineStr">
        <is>
          <t>ESIM TIGO DIGITAL</t>
        </is>
      </c>
      <c r="F689" t="n">
        <v>90</v>
      </c>
      <c r="G689" t="n">
        <v>18.899999999999999</v>
      </c>
      <c r="H689" t="inlineStr">
        <is>
          <t>0.21</t>
        </is>
      </c>
      <c r="J689" t="inlineStr">
        <is>
          <t>AE CELISTICS CCI_WALTER TAMAYO</t>
        </is>
      </c>
      <c r="K689" t="inlineStr">
        <is>
          <t>1792161037001</t>
        </is>
      </c>
      <c r="M689" t="inlineStr">
        <is>
          <t>INDIRECTO</t>
        </is>
      </c>
      <c r="N689" t="inlineStr">
        <is>
          <t>CANAL INDIRECTO</t>
        </is>
      </c>
    </row>
    <row r="690">
      <c r="A690" t="inlineStr">
        <is>
          <t>13/10/2026</t>
        </is>
      </c>
      <c r="B690" t="inlineStr">
        <is>
          <t>2026-08360</t>
        </is>
      </c>
      <c r="C690" t="inlineStr">
        <is>
          <t>163140</t>
        </is>
      </c>
      <c r="D690" t="inlineStr">
        <is>
          <t>163140</t>
        </is>
      </c>
      <c r="E690" t="inlineStr">
        <is>
          <t>HALFSIM TIGO</t>
        </is>
      </c>
      <c r="F690" t="n">
        <v>100</v>
      </c>
      <c r="G690" t="n">
        <v>69</v>
      </c>
      <c r="H690" t="inlineStr">
        <is>
          <t>0.69</t>
        </is>
      </c>
      <c r="J690" t="inlineStr">
        <is>
          <t>PDV LOW COST SMARTPHONELANDIA S.A.S. UNICENTRO_JOSIELY GILER</t>
        </is>
      </c>
      <c r="K690" t="inlineStr">
        <is>
          <t>0918930660</t>
        </is>
      </c>
      <c r="M690" t="inlineStr">
        <is>
          <t>INDIRECTO</t>
        </is>
      </c>
      <c r="N690" t="inlineStr">
        <is>
          <t>CANAL INDIRECTO</t>
        </is>
      </c>
    </row>
    <row r="691">
      <c r="A691" t="inlineStr">
        <is>
          <t>13/10/2026</t>
        </is>
      </c>
      <c r="B691" t="inlineStr">
        <is>
          <t>2026-08362</t>
        </is>
      </c>
      <c r="C691" t="inlineStr">
        <is>
          <t>163140</t>
        </is>
      </c>
      <c r="D691" t="inlineStr">
        <is>
          <t>163140</t>
        </is>
      </c>
      <c r="E691" t="inlineStr">
        <is>
          <t>HALFSIM TIGO</t>
        </is>
      </c>
      <c r="F691" t="n">
        <v>200</v>
      </c>
      <c r="G691" t="n">
        <v>138</v>
      </c>
      <c r="H691" t="inlineStr">
        <is>
          <t>0.69</t>
        </is>
      </c>
      <c r="J691" t="inlineStr">
        <is>
          <t>AE CORPORATIVO ROMERO RYRTECH MALL EL FORTIN_ELIZABETH SALAGATA</t>
        </is>
      </c>
      <c r="K691" t="inlineStr">
        <is>
          <t>0915962609</t>
        </is>
      </c>
      <c r="M691" t="inlineStr">
        <is>
          <t>INDIRECTO</t>
        </is>
      </c>
      <c r="N691" t="inlineStr">
        <is>
          <t>CANAL INDIRECTO</t>
        </is>
      </c>
    </row>
    <row r="692">
      <c r="A692" t="inlineStr">
        <is>
          <t>13/10/2026</t>
        </is>
      </c>
      <c r="B692" t="inlineStr">
        <is>
          <t>2026-08362</t>
        </is>
      </c>
      <c r="C692" t="inlineStr">
        <is>
          <t>163140_02</t>
        </is>
      </c>
      <c r="D692" t="inlineStr">
        <is>
          <t>163140</t>
        </is>
      </c>
      <c r="E692" t="inlineStr">
        <is>
          <t>HALFSIM TIGO CHIP PREPAGO $3 WP NUMERADO</t>
        </is>
      </c>
      <c r="F692" t="n">
        <v>100</v>
      </c>
      <c r="G692" t="n">
        <v>69</v>
      </c>
      <c r="H692" t="inlineStr">
        <is>
          <t>0.69</t>
        </is>
      </c>
      <c r="J692" t="inlineStr">
        <is>
          <t>AE CORPORATIVO ROMERO RYRTECH MALL EL FORTIN_ELIZABETH SALAGATA</t>
        </is>
      </c>
      <c r="K692" t="inlineStr">
        <is>
          <t>0915962609</t>
        </is>
      </c>
      <c r="M692" t="inlineStr">
        <is>
          <t>INDIRECTO</t>
        </is>
      </c>
      <c r="N692" t="inlineStr">
        <is>
          <t>CANAL INDIRECTO</t>
        </is>
      </c>
    </row>
    <row r="693">
      <c r="A693" t="inlineStr">
        <is>
          <t>13/10/2026</t>
        </is>
      </c>
      <c r="B693" t="inlineStr">
        <is>
          <t>2026-08364</t>
        </is>
      </c>
      <c r="C693" t="inlineStr">
        <is>
          <t>163141</t>
        </is>
      </c>
      <c r="D693" t="inlineStr">
        <is>
          <t>163141</t>
        </is>
      </c>
      <c r="E693" t="inlineStr">
        <is>
          <t>ESIM TIGO DIGITAL</t>
        </is>
      </c>
      <c r="F693" t="n">
        <v>100</v>
      </c>
      <c r="G693" t="n">
        <v>21</v>
      </c>
      <c r="H693" t="inlineStr">
        <is>
          <t>0.21</t>
        </is>
      </c>
      <c r="J693" t="inlineStr">
        <is>
          <t>PDV SALESLAND LOJA CENTRO_DIEGO MENA VILLALBA</t>
        </is>
      </c>
      <c r="K693" t="inlineStr">
        <is>
          <t>1713085593</t>
        </is>
      </c>
      <c r="M693" t="inlineStr">
        <is>
          <t>INDIRECTO</t>
        </is>
      </c>
      <c r="N693" t="inlineStr">
        <is>
          <t>CANAL INDIRECTO</t>
        </is>
      </c>
    </row>
    <row r="694">
      <c r="A694" t="inlineStr">
        <is>
          <t>13/10/2026</t>
        </is>
      </c>
      <c r="B694" t="inlineStr">
        <is>
          <t>2026-08365</t>
        </is>
      </c>
      <c r="C694" t="inlineStr">
        <is>
          <t>163140_06</t>
        </is>
      </c>
      <c r="D694" t="inlineStr">
        <is>
          <t>163140</t>
        </is>
      </c>
      <c r="E694" t="inlineStr">
        <is>
          <t>HALFSIM TIGO PORTABILIDAD</t>
        </is>
      </c>
      <c r="F694" t="n">
        <v>100</v>
      </c>
      <c r="G694" t="n">
        <v>69</v>
      </c>
      <c r="H694" t="inlineStr">
        <is>
          <t>0.69</t>
        </is>
      </c>
      <c r="J694" t="inlineStr">
        <is>
          <t>KIOSKO SMARTPHONELANDIA MALL DEL SOL _ROMERO RODRIGUEZ CESAR BERNABE</t>
        </is>
      </c>
      <c r="K694" t="inlineStr">
        <is>
          <t>0918930660</t>
        </is>
      </c>
      <c r="M694" t="inlineStr">
        <is>
          <t>INDIRECTO</t>
        </is>
      </c>
      <c r="N694" t="inlineStr">
        <is>
          <t>CANAL INDIRECTO</t>
        </is>
      </c>
    </row>
    <row r="695">
      <c r="A695" t="inlineStr">
        <is>
          <t>13/10/2026</t>
        </is>
      </c>
      <c r="B695" t="inlineStr">
        <is>
          <t>2026-08366</t>
        </is>
      </c>
      <c r="C695" t="inlineStr">
        <is>
          <t>163140</t>
        </is>
      </c>
      <c r="D695" t="inlineStr">
        <is>
          <t>163140</t>
        </is>
      </c>
      <c r="E695" t="inlineStr">
        <is>
          <t>HALFSIM TIGO</t>
        </is>
      </c>
      <c r="F695" t="n">
        <v>200</v>
      </c>
      <c r="G695" t="n">
        <v>138</v>
      </c>
      <c r="H695" t="inlineStr">
        <is>
          <t>0.69</t>
        </is>
      </c>
      <c r="J695" t="inlineStr">
        <is>
          <t>CAVS AE SALESLAND PASEO SHOPPING MACHALA_JULY FREIRE</t>
        </is>
      </c>
      <c r="K695" t="inlineStr">
        <is>
          <t>0999805380</t>
        </is>
      </c>
      <c r="M695" t="inlineStr">
        <is>
          <t>INDIRECTO</t>
        </is>
      </c>
      <c r="N695" t="inlineStr">
        <is>
          <t>CANAL INDIRECTO</t>
        </is>
      </c>
    </row>
    <row r="696">
      <c r="A696" t="inlineStr">
        <is>
          <t>13/10/2026</t>
        </is>
      </c>
      <c r="B696" t="inlineStr">
        <is>
          <t>2026-08366</t>
        </is>
      </c>
      <c r="C696" t="inlineStr">
        <is>
          <t>163141</t>
        </is>
      </c>
      <c r="D696" t="inlineStr">
        <is>
          <t>163141</t>
        </is>
      </c>
      <c r="E696" t="inlineStr">
        <is>
          <t>ESIM TIGO DIGITAL</t>
        </is>
      </c>
      <c r="F696" t="n">
        <v>200</v>
      </c>
      <c r="G696" t="n">
        <v>42</v>
      </c>
      <c r="H696" t="inlineStr">
        <is>
          <t>0.21</t>
        </is>
      </c>
      <c r="J696" t="inlineStr">
        <is>
          <t>CAVS AE SALESLAND PASEO SHOPPING MACHALA_JULY FREIRE</t>
        </is>
      </c>
      <c r="K696" t="inlineStr">
        <is>
          <t>0999805380</t>
        </is>
      </c>
      <c r="M696" t="inlineStr">
        <is>
          <t>INDIRECTO</t>
        </is>
      </c>
      <c r="N696" t="inlineStr">
        <is>
          <t>CANAL INDIRECTO</t>
        </is>
      </c>
    </row>
    <row r="697">
      <c r="A697" t="inlineStr">
        <is>
          <t>13/10/2026</t>
        </is>
      </c>
      <c r="B697" t="inlineStr">
        <is>
          <t>2026-08368</t>
        </is>
      </c>
      <c r="C697" t="inlineStr">
        <is>
          <t>163140_06</t>
        </is>
      </c>
      <c r="D697" t="inlineStr">
        <is>
          <t>163140</t>
        </is>
      </c>
      <c r="E697" t="inlineStr">
        <is>
          <t>HALFSIM TIGO PORTABILIDAD</t>
        </is>
      </c>
      <c r="F697" t="n">
        <v>400</v>
      </c>
      <c r="G697" t="n">
        <v>276</v>
      </c>
      <c r="H697" t="inlineStr">
        <is>
          <t>0.69</t>
        </is>
      </c>
      <c r="J697" t="inlineStr">
        <is>
          <t>NORPHONE CIA. LTDA. PYMES QUITO_EDISON ALBERTO VILLACRES BENALCAZAR</t>
        </is>
      </c>
      <c r="K697" t="inlineStr">
        <is>
          <t>1002558698</t>
        </is>
      </c>
      <c r="M697" t="inlineStr">
        <is>
          <t>INDIRECTO</t>
        </is>
      </c>
      <c r="N697" t="inlineStr">
        <is>
          <t>CANAL INDIRECTO</t>
        </is>
      </c>
    </row>
    <row r="698">
      <c r="A698" t="inlineStr">
        <is>
          <t>13/10/2026</t>
        </is>
      </c>
      <c r="B698" t="inlineStr">
        <is>
          <t>2026-08369</t>
        </is>
      </c>
      <c r="C698" t="inlineStr">
        <is>
          <t>163140_02</t>
        </is>
      </c>
      <c r="D698" t="inlineStr">
        <is>
          <t>163140</t>
        </is>
      </c>
      <c r="E698" t="inlineStr">
        <is>
          <t>HALFSIM TIGO CHIP PREPAGO $3 WP NUMERADO</t>
        </is>
      </c>
      <c r="F698" t="n">
        <v>200</v>
      </c>
      <c r="G698" t="n">
        <v>138</v>
      </c>
      <c r="H698" t="inlineStr">
        <is>
          <t>0.69</t>
        </is>
      </c>
      <c r="J698" t="inlineStr">
        <is>
          <t>KIOSKO SMARTPHONELANDIA CITY MALL_ROMERO RODRIGUEZ CESAR BERNABE</t>
        </is>
      </c>
      <c r="K698" t="inlineStr">
        <is>
          <t>0918930660</t>
        </is>
      </c>
      <c r="M698" t="inlineStr">
        <is>
          <t>INDIRECTO</t>
        </is>
      </c>
      <c r="N698" t="inlineStr">
        <is>
          <t>CANAL INDIRECTO</t>
        </is>
      </c>
    </row>
    <row r="699">
      <c r="A699" t="inlineStr">
        <is>
          <t>13/10/2026</t>
        </is>
      </c>
      <c r="B699" t="inlineStr">
        <is>
          <t>2026-08370</t>
        </is>
      </c>
      <c r="C699" t="inlineStr">
        <is>
          <t>163140_06</t>
        </is>
      </c>
      <c r="D699" t="inlineStr">
        <is>
          <t>163140</t>
        </is>
      </c>
      <c r="E699" t="inlineStr">
        <is>
          <t>HALFSIM TIGO PORTABILIDAD</t>
        </is>
      </c>
      <c r="F699" t="n">
        <v>100</v>
      </c>
      <c r="G699" t="n">
        <v>69</v>
      </c>
      <c r="H699" t="inlineStr">
        <is>
          <t>0.69</t>
        </is>
      </c>
      <c r="J699" t="inlineStr">
        <is>
          <t>SOLUCIONES DIGITALES QUITO_JACOME HERNANDEZ SARA PATRICIA</t>
        </is>
      </c>
      <c r="K699" t="inlineStr">
        <is>
          <t>1709007551001</t>
        </is>
      </c>
      <c r="M699" t="inlineStr">
        <is>
          <t>INDIRECTO</t>
        </is>
      </c>
      <c r="N699" t="inlineStr">
        <is>
          <t>CANAL INDIRECTO</t>
        </is>
      </c>
    </row>
    <row r="700">
      <c r="A700" t="inlineStr">
        <is>
          <t>13/10/2026</t>
        </is>
      </c>
      <c r="B700" t="inlineStr">
        <is>
          <t>2026-08371</t>
        </is>
      </c>
      <c r="C700" t="inlineStr">
        <is>
          <t>163140_02</t>
        </is>
      </c>
      <c r="D700" t="inlineStr">
        <is>
          <t>163140</t>
        </is>
      </c>
      <c r="E700" t="inlineStr">
        <is>
          <t>HALFSIM TIGO CHIP PREPAGO $3 WP NUMERADO</t>
        </is>
      </c>
      <c r="F700" t="n">
        <v>100</v>
      </c>
      <c r="G700" t="n">
        <v>69</v>
      </c>
      <c r="H700" t="inlineStr">
        <is>
          <t>0.69</t>
        </is>
      </c>
      <c r="J700" t="inlineStr">
        <is>
          <t>SMARTPHONELANDIA S.A.S. (LA LIBERTAD)_JOSIELY GILER</t>
        </is>
      </c>
      <c r="K700" t="inlineStr">
        <is>
          <t>0918930660</t>
        </is>
      </c>
      <c r="M700" t="inlineStr">
        <is>
          <t>INDIRECTO</t>
        </is>
      </c>
      <c r="N700" t="inlineStr">
        <is>
          <t>CANAL INDIRECTO</t>
        </is>
      </c>
    </row>
    <row r="701">
      <c r="A701" t="inlineStr">
        <is>
          <t>13/10/2026</t>
        </is>
      </c>
      <c r="B701" t="inlineStr">
        <is>
          <t>2026-08372</t>
        </is>
      </c>
      <c r="C701" t="inlineStr">
        <is>
          <t>163140_02</t>
        </is>
      </c>
      <c r="D701" t="inlineStr">
        <is>
          <t>163140</t>
        </is>
      </c>
      <c r="E701" t="inlineStr">
        <is>
          <t>HALFSIM TIGO CHIP PREPAGO $3 WP NUMERADO</t>
        </is>
      </c>
      <c r="F701" t="n">
        <v>100</v>
      </c>
      <c r="G701" t="n">
        <v>69</v>
      </c>
      <c r="H701" t="inlineStr">
        <is>
          <t>0.69</t>
        </is>
      </c>
      <c r="J701" t="inlineStr">
        <is>
          <t>KIOSKO SMARTPHONELANDIA PASEO SHOPPING MILAGRO_ROMERO RODRIGUEZ MAURENY GEANELLA</t>
        </is>
      </c>
      <c r="K701" t="inlineStr">
        <is>
          <t>0918930660</t>
        </is>
      </c>
      <c r="M701" t="inlineStr">
        <is>
          <t>INDIRECTO</t>
        </is>
      </c>
      <c r="N701" t="inlineStr">
        <is>
          <t>CANAL INDIRECTO</t>
        </is>
      </c>
    </row>
    <row r="702">
      <c r="A702" t="inlineStr">
        <is>
          <t>13/10/2026</t>
        </is>
      </c>
      <c r="B702" t="inlineStr">
        <is>
          <t>2026-08375</t>
        </is>
      </c>
      <c r="C702" t="inlineStr">
        <is>
          <t>163140_02</t>
        </is>
      </c>
      <c r="D702" t="inlineStr">
        <is>
          <t>163140</t>
        </is>
      </c>
      <c r="E702" t="inlineStr">
        <is>
          <t>HALFSIM TIGO CHIP PREPAGO $3 WP NUMERADO</t>
        </is>
      </c>
      <c r="F702" t="n">
        <v>2000</v>
      </c>
      <c r="G702" t="n">
        <v>1380</v>
      </c>
      <c r="H702" t="inlineStr">
        <is>
          <t>0.69</t>
        </is>
      </c>
      <c r="J702" t="inlineStr">
        <is>
          <t>EMPRESA DE DESARROLLO TECNOLÓGICO PRILANTEC CTA. LTDA_OSCAR COELLO</t>
        </is>
      </c>
      <c r="K702" t="inlineStr">
        <is>
          <t>1792412501001</t>
        </is>
      </c>
      <c r="M702" t="inlineStr">
        <is>
          <t>INDIRECTO</t>
        </is>
      </c>
      <c r="N702" t="inlineStr">
        <is>
          <t>CANAL INDIRECTO</t>
        </is>
      </c>
    </row>
    <row r="703">
      <c r="A703" t="inlineStr">
        <is>
          <t>13/10/2026</t>
        </is>
      </c>
      <c r="B703" t="inlineStr">
        <is>
          <t>2026-08377</t>
        </is>
      </c>
      <c r="C703" t="inlineStr">
        <is>
          <t>163140_06</t>
        </is>
      </c>
      <c r="D703" t="inlineStr">
        <is>
          <t>163140</t>
        </is>
      </c>
      <c r="E703" t="inlineStr">
        <is>
          <t>HALFSIM TIGO PORTABILIDAD</t>
        </is>
      </c>
      <c r="F703" t="n">
        <v>150</v>
      </c>
      <c r="G703" t="n">
        <v>103.49999999999999</v>
      </c>
      <c r="H703" t="inlineStr">
        <is>
          <t>0.69</t>
        </is>
      </c>
      <c r="J703" t="inlineStr">
        <is>
          <t>KATYNA IVONNE VALLADARES SALAZAR_KATYNA VALLADARES</t>
        </is>
      </c>
      <c r="K703" t="inlineStr">
        <is>
          <t>1707929228001</t>
        </is>
      </c>
      <c r="M703" t="inlineStr">
        <is>
          <t>INDIRECTO</t>
        </is>
      </c>
      <c r="N703" t="inlineStr">
        <is>
          <t>CANAL INDIRECTO</t>
        </is>
      </c>
    </row>
    <row r="704">
      <c r="A704" t="inlineStr">
        <is>
          <t>13/10/2026</t>
        </is>
      </c>
      <c r="B704" t="inlineStr">
        <is>
          <t>2026-08378</t>
        </is>
      </c>
      <c r="C704" t="inlineStr">
        <is>
          <t>163140_06</t>
        </is>
      </c>
      <c r="D704" t="inlineStr">
        <is>
          <t>163140</t>
        </is>
      </c>
      <c r="E704" t="inlineStr">
        <is>
          <t>HALFSIM TIGO PORTABILIDAD</t>
        </is>
      </c>
      <c r="F704" t="n">
        <v>100</v>
      </c>
      <c r="G704" t="n">
        <v>69</v>
      </c>
      <c r="H704" t="inlineStr">
        <is>
          <t>0.69</t>
        </is>
      </c>
      <c r="J704" t="inlineStr">
        <is>
          <t>JORGE CENTENO PORTABILIDADES_JORGE ISAAC CENTENO URETA</t>
        </is>
      </c>
      <c r="K704" t="inlineStr">
        <is>
          <t>1307869394001</t>
        </is>
      </c>
      <c r="M704" t="inlineStr">
        <is>
          <t>INDIRECTO</t>
        </is>
      </c>
      <c r="N704" t="inlineStr">
        <is>
          <t>CANAL INDIRECTO</t>
        </is>
      </c>
    </row>
    <row r="705">
      <c r="A705" t="inlineStr">
        <is>
          <t>13/10/2026</t>
        </is>
      </c>
      <c r="B705" t="inlineStr">
        <is>
          <t>16504993</t>
        </is>
      </c>
      <c r="C705" t="inlineStr">
        <is>
          <t>163140</t>
        </is>
      </c>
      <c r="D705" t="inlineStr">
        <is>
          <t>163140</t>
        </is>
      </c>
      <c r="E705" t="inlineStr">
        <is>
          <t>HALFSIM TIGO</t>
        </is>
      </c>
      <c r="F705" t="n">
        <v>1</v>
      </c>
      <c r="G705" t="n">
        <v>0.69</v>
      </c>
      <c r="H705" t="inlineStr">
        <is>
          <t>0.69</t>
        </is>
      </c>
      <c r="J705" t="inlineStr">
        <is>
          <t>MARIA GABRIELA QUISHPE LOPEZ_PRODUCTORA Y COMERCIALIZADORA GUADAPRODUCT</t>
        </is>
      </c>
      <c r="K705" t="inlineStr">
        <is>
          <t>1792734797001</t>
        </is>
      </c>
      <c r="M705" t="inlineStr">
        <is>
          <t>BTB</t>
        </is>
      </c>
      <c r="N705" t="inlineStr">
        <is>
          <t>CANAL DIRECTO</t>
        </is>
      </c>
    </row>
    <row r="706">
      <c r="A706" t="inlineStr">
        <is>
          <t>13/10/2026</t>
        </is>
      </c>
      <c r="B706" t="inlineStr">
        <is>
          <t>16505079</t>
        </is>
      </c>
      <c r="C706" t="inlineStr">
        <is>
          <t>163140</t>
        </is>
      </c>
      <c r="D706" t="inlineStr">
        <is>
          <t>163140</t>
        </is>
      </c>
      <c r="E706" t="inlineStr">
        <is>
          <t>HALFSIM TIGO</t>
        </is>
      </c>
      <c r="F706" t="n">
        <v>1</v>
      </c>
      <c r="G706" t="n">
        <v>0.69</v>
      </c>
      <c r="H706" t="inlineStr">
        <is>
          <t>0.69</t>
        </is>
      </c>
      <c r="J706" t="inlineStr">
        <is>
          <t>KELVIN FLOR_FEILO SYLVANIA N V</t>
        </is>
      </c>
      <c r="K706" t="inlineStr">
        <is>
          <t>1790011119001</t>
        </is>
      </c>
      <c r="M706" t="inlineStr">
        <is>
          <t>BTB</t>
        </is>
      </c>
      <c r="N706" t="inlineStr">
        <is>
          <t>CANAL DIRECTO</t>
        </is>
      </c>
    </row>
    <row r="707">
      <c r="A707" t="inlineStr">
        <is>
          <t>13/10/2026</t>
        </is>
      </c>
      <c r="B707" t="inlineStr">
        <is>
          <t>16505119</t>
        </is>
      </c>
      <c r="C707" t="inlineStr">
        <is>
          <t>163140</t>
        </is>
      </c>
      <c r="D707" t="inlineStr">
        <is>
          <t>163140</t>
        </is>
      </c>
      <c r="E707" t="inlineStr">
        <is>
          <t>HALFSIM TIGO</t>
        </is>
      </c>
      <c r="F707" t="n">
        <v>1</v>
      </c>
      <c r="G707" t="n">
        <v>0.69</v>
      </c>
      <c r="H707" t="inlineStr">
        <is>
          <t>0.69</t>
        </is>
      </c>
      <c r="J707" t="inlineStr">
        <is>
          <t>LUIGI DENNIS BENAVIDES OBANDO_ EMMANUEL JESUS ALEJANDRO RODRIGUEZ CAMPOS</t>
        </is>
      </c>
      <c r="K707" t="inlineStr">
        <is>
          <t>1757865124001</t>
        </is>
      </c>
      <c r="M707" t="inlineStr">
        <is>
          <t>BTB</t>
        </is>
      </c>
      <c r="N707" t="inlineStr">
        <is>
          <t>CANAL DIRECTO</t>
        </is>
      </c>
    </row>
    <row r="708">
      <c r="A708" t="inlineStr">
        <is>
          <t>13/10/2026</t>
        </is>
      </c>
      <c r="B708" t="inlineStr">
        <is>
          <t>16505132</t>
        </is>
      </c>
      <c r="C708" t="inlineStr">
        <is>
          <t>163140</t>
        </is>
      </c>
      <c r="D708" t="inlineStr">
        <is>
          <t>163140</t>
        </is>
      </c>
      <c r="E708" t="inlineStr">
        <is>
          <t>HALFSIM TIGO</t>
        </is>
      </c>
      <c r="F708" t="n">
        <v>1</v>
      </c>
      <c r="G708" t="n">
        <v>0.69</v>
      </c>
      <c r="H708" t="inlineStr">
        <is>
          <t>0.69</t>
        </is>
      </c>
      <c r="J708" t="inlineStr">
        <is>
          <t>FERNANDA GUAMAN_LUIS IVAN CADENA CAIZAPASTO</t>
        </is>
      </c>
      <c r="K708" t="inlineStr">
        <is>
          <t>1705249694001</t>
        </is>
      </c>
      <c r="M708" t="inlineStr">
        <is>
          <t>BTB</t>
        </is>
      </c>
      <c r="N708" t="inlineStr">
        <is>
          <t>CANAL DIRECTO</t>
        </is>
      </c>
    </row>
    <row r="709">
      <c r="A709" t="inlineStr">
        <is>
          <t>14/10/2026</t>
        </is>
      </c>
      <c r="B709" t="inlineStr">
        <is>
          <t>16503113</t>
        </is>
      </c>
      <c r="C709" t="inlineStr">
        <is>
          <t>163140</t>
        </is>
      </c>
      <c r="D709" t="inlineStr">
        <is>
          <t>163140</t>
        </is>
      </c>
      <c r="E709" t="inlineStr">
        <is>
          <t>HALFSIM TIGO</t>
        </is>
      </c>
      <c r="F709" t="n">
        <v>1</v>
      </c>
      <c r="G709" t="n">
        <v>0.69</v>
      </c>
      <c r="H709" t="inlineStr">
        <is>
          <t>0.69</t>
        </is>
      </c>
      <c r="J709" t="inlineStr">
        <is>
          <t>SANCHEZ TOAPANTA TATIANA HIPATIA_SANCHEZ TOAPANTA TATIANA HIPATIA</t>
        </is>
      </c>
      <c r="K709" t="inlineStr">
        <is>
          <t>0502508120001</t>
        </is>
      </c>
      <c r="M709" t="inlineStr">
        <is>
          <t>BTB</t>
        </is>
      </c>
      <c r="N709" t="inlineStr">
        <is>
          <t>CANAL DIRECTO</t>
        </is>
      </c>
    </row>
    <row r="710">
      <c r="A710" t="inlineStr">
        <is>
          <t>14/10/2026</t>
        </is>
      </c>
      <c r="B710" t="inlineStr">
        <is>
          <t>16503364</t>
        </is>
      </c>
      <c r="C710" t="inlineStr">
        <is>
          <t>163140</t>
        </is>
      </c>
      <c r="D710" t="inlineStr">
        <is>
          <t>163140</t>
        </is>
      </c>
      <c r="E710" t="inlineStr">
        <is>
          <t>HALFSIM TIGO</t>
        </is>
      </c>
      <c r="F710" t="n">
        <v>1</v>
      </c>
      <c r="G710" t="n">
        <v>0.69</v>
      </c>
      <c r="H710" t="inlineStr">
        <is>
          <t>0.69</t>
        </is>
      </c>
      <c r="J710" t="inlineStr">
        <is>
          <t>ELIAS JOSE SANCHEZ ROSADO_ESRFINANCIAL Y ACCOUNTING SERVICES S A S</t>
        </is>
      </c>
      <c r="K710" t="inlineStr">
        <is>
          <t>0993397353001</t>
        </is>
      </c>
      <c r="M710" t="inlineStr">
        <is>
          <t>BTB</t>
        </is>
      </c>
      <c r="N710" t="inlineStr">
        <is>
          <t>CANAL DIRECTO</t>
        </is>
      </c>
    </row>
    <row r="711">
      <c r="A711" t="inlineStr">
        <is>
          <t>14/10/2026</t>
        </is>
      </c>
      <c r="B711" t="inlineStr">
        <is>
          <t>16503544</t>
        </is>
      </c>
      <c r="C711" t="inlineStr">
        <is>
          <t>163140</t>
        </is>
      </c>
      <c r="D711" t="inlineStr">
        <is>
          <t>163140</t>
        </is>
      </c>
      <c r="E711" t="inlineStr">
        <is>
          <t>HALFSIM TIGO</t>
        </is>
      </c>
      <c r="F711" t="n">
        <v>1</v>
      </c>
      <c r="G711" t="n">
        <v>0.69</v>
      </c>
      <c r="H711" t="inlineStr">
        <is>
          <t>0.69</t>
        </is>
      </c>
      <c r="J711" t="inlineStr">
        <is>
          <t>JESSENIA RIVERA_CONTROLPLAGX S A</t>
        </is>
      </c>
      <c r="K711" t="inlineStr">
        <is>
          <t>1792810027001</t>
        </is>
      </c>
      <c r="M711" t="inlineStr">
        <is>
          <t>BTB</t>
        </is>
      </c>
      <c r="N711" t="inlineStr">
        <is>
          <t>CANAL DIRECTO</t>
        </is>
      </c>
    </row>
    <row r="712">
      <c r="A712" t="inlineStr">
        <is>
          <t>14/10/2026</t>
        </is>
      </c>
      <c r="B712" t="inlineStr">
        <is>
          <t>16503683</t>
        </is>
      </c>
      <c r="C712" t="inlineStr">
        <is>
          <t>163140</t>
        </is>
      </c>
      <c r="D712" t="inlineStr">
        <is>
          <t>163140</t>
        </is>
      </c>
      <c r="E712" t="inlineStr">
        <is>
          <t>HALFSIM TIGO</t>
        </is>
      </c>
      <c r="F712" t="n">
        <v>1</v>
      </c>
      <c r="G712" t="n">
        <v>0.69</v>
      </c>
      <c r="H712" t="inlineStr">
        <is>
          <t>0.69</t>
        </is>
      </c>
      <c r="J712" t="inlineStr">
        <is>
          <t>MERA VALENCIA GEOVANNY NOVALDO_MERA VALENCIA GEOVANNY NOVALDO</t>
        </is>
      </c>
      <c r="K712" t="inlineStr">
        <is>
          <t>1307347086001</t>
        </is>
      </c>
      <c r="M712" t="inlineStr">
        <is>
          <t>BTB</t>
        </is>
      </c>
      <c r="N712" t="inlineStr">
        <is>
          <t>CANAL DIRECTO</t>
        </is>
      </c>
    </row>
    <row r="713">
      <c r="A713" t="inlineStr">
        <is>
          <t>14/10/2026</t>
        </is>
      </c>
      <c r="B713" t="inlineStr">
        <is>
          <t>16503714</t>
        </is>
      </c>
      <c r="C713" t="inlineStr">
        <is>
          <t>163140</t>
        </is>
      </c>
      <c r="D713" t="inlineStr">
        <is>
          <t>163140</t>
        </is>
      </c>
      <c r="E713" t="inlineStr">
        <is>
          <t>HALFSIM TIGO</t>
        </is>
      </c>
      <c r="F713" t="n">
        <v>3</v>
      </c>
      <c r="G713" t="n">
        <v>2.0699999999999998</v>
      </c>
      <c r="H713" t="inlineStr">
        <is>
          <t>0.69</t>
        </is>
      </c>
      <c r="J713" t="inlineStr">
        <is>
          <t>GUERRERO BONILLA NELSON HUMBERTO_GUERRERO BONILLA NELSON HUMBERTO</t>
        </is>
      </c>
      <c r="K713" t="inlineStr">
        <is>
          <t>1801998350001</t>
        </is>
      </c>
      <c r="M713" t="inlineStr">
        <is>
          <t>BTB</t>
        </is>
      </c>
      <c r="N713" t="inlineStr">
        <is>
          <t>CANAL DIRECTO</t>
        </is>
      </c>
    </row>
    <row r="714">
      <c r="A714" t="inlineStr">
        <is>
          <t>14/10/2026</t>
        </is>
      </c>
      <c r="B714" t="inlineStr">
        <is>
          <t>16503765</t>
        </is>
      </c>
      <c r="C714" t="inlineStr">
        <is>
          <t>163140</t>
        </is>
      </c>
      <c r="D714" t="inlineStr">
        <is>
          <t>163140</t>
        </is>
      </c>
      <c r="E714" t="inlineStr">
        <is>
          <t>HALFSIM TIGO</t>
        </is>
      </c>
      <c r="F714" t="n">
        <v>1</v>
      </c>
      <c r="G714" t="n">
        <v>0.69</v>
      </c>
      <c r="H714" t="inlineStr">
        <is>
          <t>0.69</t>
        </is>
      </c>
      <c r="J714" t="inlineStr">
        <is>
          <t>EDISON MAURICIO CASTRO QUISILEMA_EDISON MAURICIO CASTRO QUISILEMA</t>
        </is>
      </c>
      <c r="K714" t="inlineStr">
        <is>
          <t>0591712969001</t>
        </is>
      </c>
      <c r="M714" t="inlineStr">
        <is>
          <t>BTB</t>
        </is>
      </c>
      <c r="N714" t="inlineStr">
        <is>
          <t>CANAL DIRECTO</t>
        </is>
      </c>
    </row>
    <row r="715">
      <c r="A715" t="inlineStr">
        <is>
          <t>14/10/2026</t>
        </is>
      </c>
      <c r="B715" t="inlineStr">
        <is>
          <t>16504834</t>
        </is>
      </c>
      <c r="C715" t="inlineStr">
        <is>
          <t>163140</t>
        </is>
      </c>
      <c r="D715" t="inlineStr">
        <is>
          <t>163140</t>
        </is>
      </c>
      <c r="E715" t="inlineStr">
        <is>
          <t>HALFSIM TIGO</t>
        </is>
      </c>
      <c r="F715" t="n">
        <v>1</v>
      </c>
      <c r="G715" t="n">
        <v>0.69</v>
      </c>
      <c r="H715" t="inlineStr">
        <is>
          <t>0.69</t>
        </is>
      </c>
      <c r="J715" t="inlineStr">
        <is>
          <t>JUAN AREVALO_ACEROS Y MATERIALES PARA LA CONSTRUCCION ACIMCOECUADOR CIA LTDA</t>
        </is>
      </c>
      <c r="K715" t="inlineStr">
        <is>
          <t>1791989937001</t>
        </is>
      </c>
      <c r="M715" t="inlineStr">
        <is>
          <t>BTB</t>
        </is>
      </c>
      <c r="N715" t="inlineStr">
        <is>
          <t>CANAL DIRECTO</t>
        </is>
      </c>
    </row>
    <row r="716">
      <c r="A716" t="inlineStr">
        <is>
          <t>14/10/2026</t>
        </is>
      </c>
      <c r="B716" t="inlineStr">
        <is>
          <t>16504914</t>
        </is>
      </c>
      <c r="C716" t="inlineStr">
        <is>
          <t>163140</t>
        </is>
      </c>
      <c r="D716" t="inlineStr">
        <is>
          <t>163140</t>
        </is>
      </c>
      <c r="E716" t="inlineStr">
        <is>
          <t>HALFSIM TIGO</t>
        </is>
      </c>
      <c r="F716" t="n">
        <v>1</v>
      </c>
      <c r="G716" t="n">
        <v>0.69</v>
      </c>
      <c r="H716" t="inlineStr">
        <is>
          <t>0.69</t>
        </is>
      </c>
      <c r="J716" t="inlineStr">
        <is>
          <t>CARRION ZAMBRANO DARWIN VINICIO_CARRION ZAMBRANO DARWIN VINICIO</t>
        </is>
      </c>
      <c r="K716" t="inlineStr">
        <is>
          <t>0703294561001</t>
        </is>
      </c>
      <c r="M716" t="inlineStr">
        <is>
          <t>BTB</t>
        </is>
      </c>
      <c r="N716" t="inlineStr">
        <is>
          <t>CANAL DIRECTO</t>
        </is>
      </c>
    </row>
    <row r="717">
      <c r="A717" t="inlineStr">
        <is>
          <t>14/10/2026</t>
        </is>
      </c>
      <c r="B717" t="inlineStr">
        <is>
          <t>16504914</t>
        </is>
      </c>
      <c r="C717" t="inlineStr">
        <is>
          <t>163140</t>
        </is>
      </c>
      <c r="D717" t="inlineStr">
        <is>
          <t>163140</t>
        </is>
      </c>
      <c r="E717" t="inlineStr">
        <is>
          <t>HALFSIM TIGO</t>
        </is>
      </c>
      <c r="F717" t="n">
        <v>1</v>
      </c>
      <c r="G717" t="n">
        <v>0.69</v>
      </c>
      <c r="H717" t="inlineStr">
        <is>
          <t>0.69</t>
        </is>
      </c>
      <c r="J717" t="inlineStr">
        <is>
          <t>CARRION ZAMBRANO DARWIN VINICIO_CARRION ZAMBRANO DARWIN VINICIO</t>
        </is>
      </c>
      <c r="K717" t="inlineStr">
        <is>
          <t>0703294561001</t>
        </is>
      </c>
      <c r="M717" t="inlineStr">
        <is>
          <t>BTB</t>
        </is>
      </c>
      <c r="N717" t="inlineStr">
        <is>
          <t>CANAL DIRECTO</t>
        </is>
      </c>
    </row>
    <row r="718">
      <c r="A718" t="inlineStr">
        <is>
          <t>14/10/2026</t>
        </is>
      </c>
      <c r="B718" t="inlineStr">
        <is>
          <t>2026-08357</t>
        </is>
      </c>
      <c r="C718" t="inlineStr">
        <is>
          <t>163141</t>
        </is>
      </c>
      <c r="D718" t="inlineStr">
        <is>
          <t>163141</t>
        </is>
      </c>
      <c r="E718" t="inlineStr">
        <is>
          <t>ESIM TIGO DIGITAL</t>
        </is>
      </c>
      <c r="F718" t="n">
        <v>60</v>
      </c>
      <c r="G718" t="n">
        <v>12.6</v>
      </c>
      <c r="H718" t="inlineStr">
        <is>
          <t>0.21</t>
        </is>
      </c>
      <c r="J718" t="inlineStr">
        <is>
          <t>KIOSKO CELISTICS PORTAL SHOPPING_TOBAR ZAMBRANO MARIA JOSE</t>
        </is>
      </c>
      <c r="K718" t="inlineStr">
        <is>
          <t>1306571512</t>
        </is>
      </c>
      <c r="M718" t="inlineStr">
        <is>
          <t>INDIRECTO</t>
        </is>
      </c>
      <c r="N718" t="inlineStr">
        <is>
          <t>CANAL INDIRECTO</t>
        </is>
      </c>
    </row>
    <row r="719">
      <c r="A719" t="inlineStr">
        <is>
          <t>14/10/2026</t>
        </is>
      </c>
      <c r="B719" t="inlineStr">
        <is>
          <t>2026-08369</t>
        </is>
      </c>
      <c r="C719" t="inlineStr">
        <is>
          <t>163140_02</t>
        </is>
      </c>
      <c r="D719" t="inlineStr">
        <is>
          <t>163140</t>
        </is>
      </c>
      <c r="E719" t="inlineStr">
        <is>
          <t>HALFSIM TIGO CHIP PREPAGO $3 WP NUMERADO</t>
        </is>
      </c>
      <c r="F719" t="n">
        <v>200</v>
      </c>
      <c r="G719" t="n">
        <v>138</v>
      </c>
      <c r="H719" t="inlineStr">
        <is>
          <t>0.69</t>
        </is>
      </c>
      <c r="J719" t="inlineStr">
        <is>
          <t>KIOSKO SMARTPHONELANDIA CITY MALL_ROMERO RODRIGUEZ CESAR BERNABE</t>
        </is>
      </c>
      <c r="K719" t="inlineStr">
        <is>
          <t>0918930660</t>
        </is>
      </c>
      <c r="M719" t="inlineStr">
        <is>
          <t>INDIRECTO</t>
        </is>
      </c>
      <c r="N719" t="inlineStr">
        <is>
          <t>CANAL INDIRECTO</t>
        </is>
      </c>
    </row>
    <row r="720">
      <c r="A720" t="inlineStr">
        <is>
          <t>14/10/2026</t>
        </is>
      </c>
      <c r="B720" t="inlineStr">
        <is>
          <t>16504920</t>
        </is>
      </c>
      <c r="C720" t="inlineStr">
        <is>
          <t>163140</t>
        </is>
      </c>
      <c r="D720" t="inlineStr">
        <is>
          <t>163140</t>
        </is>
      </c>
      <c r="E720" t="inlineStr">
        <is>
          <t>HALFSIM TIGO</t>
        </is>
      </c>
      <c r="F720" t="n">
        <v>1</v>
      </c>
      <c r="G720" t="n">
        <v>0.69</v>
      </c>
      <c r="H720" t="inlineStr">
        <is>
          <t>0.69</t>
        </is>
      </c>
      <c r="J720" t="inlineStr">
        <is>
          <t>KATHERINE SERNA_REHAB CENTER S A</t>
        </is>
      </c>
      <c r="K720" t="inlineStr">
        <is>
          <t>1793075630001</t>
        </is>
      </c>
      <c r="M720" t="inlineStr">
        <is>
          <t>BTB</t>
        </is>
      </c>
      <c r="N720" t="inlineStr">
        <is>
          <t>CANAL DIRECTO</t>
        </is>
      </c>
    </row>
    <row r="721">
      <c r="A721" t="inlineStr">
        <is>
          <t>14/10/2026</t>
        </is>
      </c>
      <c r="B721" t="inlineStr">
        <is>
          <t>16504921</t>
        </is>
      </c>
      <c r="C721" t="inlineStr">
        <is>
          <t>163140</t>
        </is>
      </c>
      <c r="D721" t="inlineStr">
        <is>
          <t>163140</t>
        </is>
      </c>
      <c r="E721" t="inlineStr">
        <is>
          <t>HALFSIM TIGO</t>
        </is>
      </c>
      <c r="F721" t="n">
        <v>1</v>
      </c>
      <c r="G721" t="n">
        <v>0.69</v>
      </c>
      <c r="H721" t="inlineStr">
        <is>
          <t>0.69</t>
        </is>
      </c>
      <c r="J721" t="inlineStr">
        <is>
          <t>ELIZABETH CUEVA_AUTOMOTORES CONTINENTAL S A S</t>
        </is>
      </c>
      <c r="K721" t="inlineStr">
        <is>
          <t>1790009289001</t>
        </is>
      </c>
      <c r="M721" t="inlineStr">
        <is>
          <t>BTB</t>
        </is>
      </c>
      <c r="N721" t="inlineStr">
        <is>
          <t>CANAL DIRECTO</t>
        </is>
      </c>
    </row>
    <row r="722">
      <c r="A722" t="inlineStr">
        <is>
          <t>14/10/2026</t>
        </is>
      </c>
      <c r="B722" t="inlineStr">
        <is>
          <t>16504922</t>
        </is>
      </c>
      <c r="C722" t="inlineStr">
        <is>
          <t>163140</t>
        </is>
      </c>
      <c r="D722" t="inlineStr">
        <is>
          <t>163140</t>
        </is>
      </c>
      <c r="E722" t="inlineStr">
        <is>
          <t>HALFSIM TIGO</t>
        </is>
      </c>
      <c r="F722" t="n">
        <v>1</v>
      </c>
      <c r="G722" t="n">
        <v>0.69</v>
      </c>
      <c r="H722" t="inlineStr">
        <is>
          <t>0.69</t>
        </is>
      </c>
      <c r="J722" t="inlineStr">
        <is>
          <t>MORENO BRIONES RICARDO AQUILES_MORENO BRIONES RICARDO AQUILES</t>
        </is>
      </c>
      <c r="K722" t="inlineStr">
        <is>
          <t>0926834367001</t>
        </is>
      </c>
      <c r="M722" t="inlineStr">
        <is>
          <t>BTB</t>
        </is>
      </c>
      <c r="N722" t="inlineStr">
        <is>
          <t>CANAL DIRECTO</t>
        </is>
      </c>
    </row>
    <row r="723">
      <c r="A723" t="inlineStr">
        <is>
          <t>14/10/2026</t>
        </is>
      </c>
      <c r="B723" t="inlineStr">
        <is>
          <t>16504926</t>
        </is>
      </c>
      <c r="C723" t="inlineStr">
        <is>
          <t>163140</t>
        </is>
      </c>
      <c r="D723" t="inlineStr">
        <is>
          <t>163140</t>
        </is>
      </c>
      <c r="E723" t="inlineStr">
        <is>
          <t>HALFSIM TIGO</t>
        </is>
      </c>
      <c r="F723" t="n">
        <v>1</v>
      </c>
      <c r="G723" t="n">
        <v>0.69</v>
      </c>
      <c r="H723" t="inlineStr">
        <is>
          <t>0.69</t>
        </is>
      </c>
      <c r="J723" t="inlineStr">
        <is>
          <t>LUZARRAGA INTRIAGO CARLOS ANIBAL_LUZARRAGA INTRIAGO CARLOS ANIBAL</t>
        </is>
      </c>
      <c r="K723" t="inlineStr">
        <is>
          <t>0931757215001</t>
        </is>
      </c>
      <c r="M723" t="inlineStr">
        <is>
          <t>BTB</t>
        </is>
      </c>
      <c r="N723" t="inlineStr">
        <is>
          <t>CANAL DIRECTO</t>
        </is>
      </c>
    </row>
    <row r="724">
      <c r="A724" t="inlineStr">
        <is>
          <t>14/10/2026</t>
        </is>
      </c>
      <c r="B724" t="inlineStr">
        <is>
          <t>16504927</t>
        </is>
      </c>
      <c r="C724" t="inlineStr">
        <is>
          <t>163140</t>
        </is>
      </c>
      <c r="D724" t="inlineStr">
        <is>
          <t>163140</t>
        </is>
      </c>
      <c r="E724" t="inlineStr">
        <is>
          <t>HALFSIM TIGO</t>
        </is>
      </c>
      <c r="F724" t="n">
        <v>2</v>
      </c>
      <c r="G724" t="n">
        <v>1.38</v>
      </c>
      <c r="H724" t="inlineStr">
        <is>
          <t>0.69</t>
        </is>
      </c>
      <c r="J724" t="inlineStr">
        <is>
          <t>CAICEDO PONCE CARLOS MANUEL_CAICEDO PONCE CARLOS MANUEL</t>
        </is>
      </c>
      <c r="K724" t="inlineStr">
        <is>
          <t>1713555728001</t>
        </is>
      </c>
      <c r="M724" t="inlineStr">
        <is>
          <t>BTB</t>
        </is>
      </c>
      <c r="N724" t="inlineStr">
        <is>
          <t>CANAL DIRECTO</t>
        </is>
      </c>
    </row>
    <row r="725">
      <c r="A725" t="inlineStr">
        <is>
          <t>14/10/2026</t>
        </is>
      </c>
      <c r="B725" t="inlineStr">
        <is>
          <t>16504930</t>
        </is>
      </c>
      <c r="C725" t="inlineStr">
        <is>
          <t>163140</t>
        </is>
      </c>
      <c r="D725" t="inlineStr">
        <is>
          <t>163140</t>
        </is>
      </c>
      <c r="E725" t="inlineStr">
        <is>
          <t>HALFSIM TIGO</t>
        </is>
      </c>
      <c r="F725" t="n">
        <v>1</v>
      </c>
      <c r="G725" t="n">
        <v>0.69</v>
      </c>
      <c r="H725" t="inlineStr">
        <is>
          <t>0.69</t>
        </is>
      </c>
      <c r="J725" t="inlineStr">
        <is>
          <t>PONCE GONZABAY GRIZMALDY DIOMENDEZ_PONCE GONZABAY GRIZMALDY DIOMENDEZ</t>
        </is>
      </c>
      <c r="K725" t="inlineStr">
        <is>
          <t>2200079438001</t>
        </is>
      </c>
      <c r="M725" t="inlineStr">
        <is>
          <t>BTB</t>
        </is>
      </c>
      <c r="N725" t="inlineStr">
        <is>
          <t>CANAL DIRECTO</t>
        </is>
      </c>
    </row>
    <row r="726">
      <c r="A726" t="inlineStr">
        <is>
          <t>14/10/2026</t>
        </is>
      </c>
      <c r="B726" t="inlineStr">
        <is>
          <t>16504931</t>
        </is>
      </c>
      <c r="C726" t="inlineStr">
        <is>
          <t>163140</t>
        </is>
      </c>
      <c r="D726" t="inlineStr">
        <is>
          <t>163140</t>
        </is>
      </c>
      <c r="E726" t="inlineStr">
        <is>
          <t>HALFSIM TIGO</t>
        </is>
      </c>
      <c r="F726" t="n">
        <v>1</v>
      </c>
      <c r="G726" t="n">
        <v>0.69</v>
      </c>
      <c r="H726" t="inlineStr">
        <is>
          <t>0.69</t>
        </is>
      </c>
      <c r="J726" t="inlineStr">
        <is>
          <t>ALMANSA DAVILA JAIRO STALIN_ALMANSA DAVILA JAIRO STALIN</t>
        </is>
      </c>
      <c r="K726" t="inlineStr">
        <is>
          <t>0704367473001</t>
        </is>
      </c>
      <c r="M726" t="inlineStr">
        <is>
          <t>BTB</t>
        </is>
      </c>
      <c r="N726" t="inlineStr">
        <is>
          <t>CANAL DIRECTO</t>
        </is>
      </c>
    </row>
    <row r="727">
      <c r="A727" t="inlineStr">
        <is>
          <t>14/10/2026</t>
        </is>
      </c>
      <c r="B727" t="inlineStr">
        <is>
          <t>16504932</t>
        </is>
      </c>
      <c r="C727" t="inlineStr">
        <is>
          <t>163140</t>
        </is>
      </c>
      <c r="D727" t="inlineStr">
        <is>
          <t>163140</t>
        </is>
      </c>
      <c r="E727" t="inlineStr">
        <is>
          <t>HALFSIM TIGO</t>
        </is>
      </c>
      <c r="F727" t="n">
        <v>1</v>
      </c>
      <c r="G727" t="n">
        <v>0.69</v>
      </c>
      <c r="H727" t="inlineStr">
        <is>
          <t>0.69</t>
        </is>
      </c>
      <c r="J727" t="inlineStr">
        <is>
          <t>SALAZAR NOGUERA NAILETH COROMOTO_SALAZAR NOGUERA NAILETH COROMOTO</t>
        </is>
      </c>
      <c r="K727" t="inlineStr">
        <is>
          <t>0967254343001</t>
        </is>
      </c>
      <c r="M727" t="inlineStr">
        <is>
          <t>BTB</t>
        </is>
      </c>
      <c r="N727" t="inlineStr">
        <is>
          <t>CANAL DIRECTO</t>
        </is>
      </c>
    </row>
    <row r="728">
      <c r="A728" t="inlineStr">
        <is>
          <t>14/10/2026</t>
        </is>
      </c>
      <c r="B728" t="inlineStr">
        <is>
          <t>16504939</t>
        </is>
      </c>
      <c r="C728" t="inlineStr">
        <is>
          <t>163140</t>
        </is>
      </c>
      <c r="D728" t="inlineStr">
        <is>
          <t>163140</t>
        </is>
      </c>
      <c r="E728" t="inlineStr">
        <is>
          <t>HALFSIM TIGO</t>
        </is>
      </c>
      <c r="F728" t="n">
        <v>1</v>
      </c>
      <c r="G728" t="n">
        <v>0.69</v>
      </c>
      <c r="H728" t="inlineStr">
        <is>
          <t>0.69</t>
        </is>
      </c>
      <c r="J728" t="inlineStr">
        <is>
          <t>CELI SOTOMAYOR JHIMY PATRICIO_CELI SOTOMAYOR JHIMY PATRICIO</t>
        </is>
      </c>
      <c r="K728" t="inlineStr">
        <is>
          <t>1104553118001</t>
        </is>
      </c>
      <c r="M728" t="inlineStr">
        <is>
          <t>BTB</t>
        </is>
      </c>
      <c r="N728" t="inlineStr">
        <is>
          <t>CANAL DIRECTO</t>
        </is>
      </c>
    </row>
    <row r="729">
      <c r="A729" t="inlineStr">
        <is>
          <t>14/10/2026</t>
        </is>
      </c>
      <c r="B729" t="inlineStr">
        <is>
          <t>16504939</t>
        </is>
      </c>
      <c r="C729" t="inlineStr">
        <is>
          <t>163140</t>
        </is>
      </c>
      <c r="D729" t="inlineStr">
        <is>
          <t>163140</t>
        </is>
      </c>
      <c r="E729" t="inlineStr">
        <is>
          <t>HALFSIM TIGO</t>
        </is>
      </c>
      <c r="F729" t="n">
        <v>1</v>
      </c>
      <c r="G729" t="n">
        <v>0.69</v>
      </c>
      <c r="H729" t="inlineStr">
        <is>
          <t>0.69</t>
        </is>
      </c>
      <c r="J729" t="inlineStr">
        <is>
          <t>CELI SOTOMAYOR JHIMY PATRICIO_CELI SOTOMAYOR JHIMY PATRICIO</t>
        </is>
      </c>
      <c r="K729" t="inlineStr">
        <is>
          <t>1104553118001</t>
        </is>
      </c>
      <c r="M729" t="inlineStr">
        <is>
          <t>BTB</t>
        </is>
      </c>
      <c r="N729" t="inlineStr">
        <is>
          <t>CANAL DIRECTO</t>
        </is>
      </c>
    </row>
    <row r="730">
      <c r="A730" t="inlineStr">
        <is>
          <t>14/10/2026</t>
        </is>
      </c>
      <c r="B730" t="inlineStr">
        <is>
          <t>16504940</t>
        </is>
      </c>
      <c r="C730" t="inlineStr">
        <is>
          <t>163140</t>
        </is>
      </c>
      <c r="D730" t="inlineStr">
        <is>
          <t>163140</t>
        </is>
      </c>
      <c r="E730" t="inlineStr">
        <is>
          <t>HALFSIM TIGO</t>
        </is>
      </c>
      <c r="F730" t="n">
        <v>4</v>
      </c>
      <c r="G730" t="n">
        <v>2.76</v>
      </c>
      <c r="H730" t="inlineStr">
        <is>
          <t>0.69</t>
        </is>
      </c>
      <c r="J730" t="inlineStr">
        <is>
          <t>JESSICA TERAN_COMITE DE EMPRESA DE TRABAJADORES DE LA EMPRESA ELECTRICA REGIONAL NORTE SA EMELNORTE</t>
        </is>
      </c>
      <c r="K730" t="inlineStr">
        <is>
          <t>1091721070001</t>
        </is>
      </c>
      <c r="M730" t="inlineStr">
        <is>
          <t>BTB</t>
        </is>
      </c>
      <c r="N730" t="inlineStr">
        <is>
          <t>CANAL DIRECTO</t>
        </is>
      </c>
    </row>
    <row r="731">
      <c r="A731" t="inlineStr">
        <is>
          <t>14/10/2026</t>
        </is>
      </c>
      <c r="B731" t="inlineStr">
        <is>
          <t>16504944</t>
        </is>
      </c>
      <c r="C731" t="inlineStr">
        <is>
          <t>163140</t>
        </is>
      </c>
      <c r="D731" t="inlineStr">
        <is>
          <t>163140</t>
        </is>
      </c>
      <c r="E731" t="inlineStr">
        <is>
          <t>HALFSIM TIGO</t>
        </is>
      </c>
      <c r="F731" t="n">
        <v>10</v>
      </c>
      <c r="G731" t="n">
        <v>6.8999999999999995</v>
      </c>
      <c r="H731" t="inlineStr">
        <is>
          <t>0.69</t>
        </is>
      </c>
      <c r="J731" t="inlineStr">
        <is>
          <t>ANGELA INFANTE_NOBOA Y TORRES ABOGADOS CIA LTDA</t>
        </is>
      </c>
      <c r="K731" t="inlineStr">
        <is>
          <t>0992717823001</t>
        </is>
      </c>
      <c r="M731" t="inlineStr">
        <is>
          <t>BTB</t>
        </is>
      </c>
      <c r="N731" t="inlineStr">
        <is>
          <t>CANAL DIRECTO</t>
        </is>
      </c>
    </row>
    <row r="732">
      <c r="A732" t="inlineStr">
        <is>
          <t>14/10/2026</t>
        </is>
      </c>
      <c r="B732" t="inlineStr">
        <is>
          <t>16504954</t>
        </is>
      </c>
      <c r="C732" t="inlineStr">
        <is>
          <t>163140</t>
        </is>
      </c>
      <c r="D732" t="inlineStr">
        <is>
          <t>163140</t>
        </is>
      </c>
      <c r="E732" t="inlineStr">
        <is>
          <t>HALFSIM TIGO</t>
        </is>
      </c>
      <c r="F732" t="n">
        <v>1</v>
      </c>
      <c r="G732" t="n">
        <v>0.69</v>
      </c>
      <c r="H732" t="inlineStr">
        <is>
          <t>0.69</t>
        </is>
      </c>
      <c r="J732" t="inlineStr">
        <is>
          <t>LUIGI DENNIS BENAVIDES OBANDO_ALMACENESBESTPC S A S</t>
        </is>
      </c>
      <c r="K732" t="inlineStr">
        <is>
          <t>1793213408001</t>
        </is>
      </c>
      <c r="M732" t="inlineStr">
        <is>
          <t>BTB</t>
        </is>
      </c>
      <c r="N732" t="inlineStr">
        <is>
          <t>CANAL DIRECTO</t>
        </is>
      </c>
    </row>
    <row r="733">
      <c r="A733" t="inlineStr">
        <is>
          <t>14/10/2026</t>
        </is>
      </c>
      <c r="B733" t="inlineStr">
        <is>
          <t>16504955</t>
        </is>
      </c>
      <c r="C733" t="inlineStr">
        <is>
          <t>163140</t>
        </is>
      </c>
      <c r="D733" t="inlineStr">
        <is>
          <t>163140</t>
        </is>
      </c>
      <c r="E733" t="inlineStr">
        <is>
          <t>HALFSIM TIGO</t>
        </is>
      </c>
      <c r="F733" t="n">
        <v>2</v>
      </c>
      <c r="G733" t="n">
        <v>1.38</v>
      </c>
      <c r="H733" t="inlineStr">
        <is>
          <t>0.69</t>
        </is>
      </c>
      <c r="J733" t="inlineStr">
        <is>
          <t>PAOLA CAROLINA GUTIERREZ FIERRO _ PAOLA CAROLINA GUTIERREZ FIERRO</t>
        </is>
      </c>
      <c r="K733" t="inlineStr">
        <is>
          <t>1716603202001</t>
        </is>
      </c>
      <c r="M733" t="inlineStr">
        <is>
          <t>BTB</t>
        </is>
      </c>
      <c r="N733" t="inlineStr">
        <is>
          <t>CANAL DIRECTO</t>
        </is>
      </c>
    </row>
    <row r="734">
      <c r="A734" t="inlineStr">
        <is>
          <t>14/10/2026</t>
        </is>
      </c>
      <c r="B734" t="inlineStr">
        <is>
          <t>16504955</t>
        </is>
      </c>
      <c r="C734" t="inlineStr">
        <is>
          <t>163141</t>
        </is>
      </c>
      <c r="D734" t="inlineStr">
        <is>
          <t>163141</t>
        </is>
      </c>
      <c r="E734" t="inlineStr">
        <is>
          <t>ESIM TIGO DIGITAL</t>
        </is>
      </c>
      <c r="F734" t="n">
        <v>0</v>
      </c>
      <c r="G734" t="n">
        <v>0</v>
      </c>
      <c r="H734" t="inlineStr">
        <is>
          <t>0.21</t>
        </is>
      </c>
      <c r="J734" t="inlineStr">
        <is>
          <t>PAOLA CAROLINA GUTIERREZ FIERRO _ PAOLA CAROLINA GUTIERREZ FIERRO</t>
        </is>
      </c>
      <c r="K734" t="inlineStr">
        <is>
          <t>1716603202001</t>
        </is>
      </c>
      <c r="M734" t="inlineStr">
        <is>
          <t>BTB</t>
        </is>
      </c>
      <c r="N734" t="inlineStr">
        <is>
          <t>CANAL DIRECTO</t>
        </is>
      </c>
    </row>
    <row r="735">
      <c r="A735" t="inlineStr">
        <is>
          <t>14/10/2026</t>
        </is>
      </c>
      <c r="B735" t="inlineStr">
        <is>
          <t>16504975</t>
        </is>
      </c>
      <c r="C735" t="inlineStr">
        <is>
          <t>163140</t>
        </is>
      </c>
      <c r="D735" t="inlineStr">
        <is>
          <t>163140</t>
        </is>
      </c>
      <c r="E735" t="inlineStr">
        <is>
          <t>HALFSIM TIGO</t>
        </is>
      </c>
      <c r="F735" t="n">
        <v>1</v>
      </c>
      <c r="G735" t="n">
        <v>0.69</v>
      </c>
      <c r="H735" t="inlineStr">
        <is>
          <t>0.69</t>
        </is>
      </c>
      <c r="J735" t="inlineStr">
        <is>
          <t>QUISHPE YUMISACA JOSE MANUEL_QUISHPE YUMISACA JOSE MANUEL</t>
        </is>
      </c>
      <c r="K735" t="inlineStr">
        <is>
          <t>0603864539001</t>
        </is>
      </c>
      <c r="M735" t="inlineStr">
        <is>
          <t>BTB</t>
        </is>
      </c>
      <c r="N735" t="inlineStr">
        <is>
          <t>CANAL DIRECTO</t>
        </is>
      </c>
    </row>
    <row r="736">
      <c r="A736" t="inlineStr">
        <is>
          <t>14/10/2026</t>
        </is>
      </c>
      <c r="B736" t="inlineStr">
        <is>
          <t>16504978</t>
        </is>
      </c>
      <c r="C736" t="inlineStr">
        <is>
          <t>163140</t>
        </is>
      </c>
      <c r="D736" t="inlineStr">
        <is>
          <t>163140</t>
        </is>
      </c>
      <c r="E736" t="inlineStr">
        <is>
          <t>HALFSIM TIGO</t>
        </is>
      </c>
      <c r="F736" t="n">
        <v>1</v>
      </c>
      <c r="G736" t="n">
        <v>0.69</v>
      </c>
      <c r="H736" t="inlineStr">
        <is>
          <t>0.69</t>
        </is>
      </c>
      <c r="J736" t="inlineStr">
        <is>
          <t>LUIGI DENNIS BENAVIDES OBANDO_REFACTOR STUDIOS S A S</t>
        </is>
      </c>
      <c r="K736" t="inlineStr">
        <is>
          <t>1793213411001</t>
        </is>
      </c>
      <c r="M736" t="inlineStr">
        <is>
          <t>BTB</t>
        </is>
      </c>
      <c r="N736" t="inlineStr">
        <is>
          <t>CANAL DIRECTO</t>
        </is>
      </c>
    </row>
    <row r="737">
      <c r="A737" t="inlineStr">
        <is>
          <t>14/10/2026</t>
        </is>
      </c>
      <c r="B737" t="inlineStr">
        <is>
          <t>16504980</t>
        </is>
      </c>
      <c r="C737" t="inlineStr">
        <is>
          <t>163140</t>
        </is>
      </c>
      <c r="D737" t="inlineStr">
        <is>
          <t>163140</t>
        </is>
      </c>
      <c r="E737" t="inlineStr">
        <is>
          <t>HALFSIM TIGO</t>
        </is>
      </c>
      <c r="F737" t="n">
        <v>1</v>
      </c>
      <c r="G737" t="n">
        <v>0.69</v>
      </c>
      <c r="H737" t="inlineStr">
        <is>
          <t>0.69</t>
        </is>
      </c>
      <c r="J737" t="inlineStr">
        <is>
          <t>JESSICA TERAN_COMITE DE EMPRESA DE TRABAJADORES DE LA EMPRESA ELECTRICA REGIONAL NORTE SA EMELNORTE</t>
        </is>
      </c>
      <c r="K737" t="inlineStr">
        <is>
          <t>1091721070001</t>
        </is>
      </c>
      <c r="M737" t="inlineStr">
        <is>
          <t>BTB</t>
        </is>
      </c>
      <c r="N737" t="inlineStr">
        <is>
          <t>CANAL DIRECTO</t>
        </is>
      </c>
    </row>
    <row r="738">
      <c r="A738" t="inlineStr">
        <is>
          <t>14/10/2026</t>
        </is>
      </c>
      <c r="B738" t="inlineStr">
        <is>
          <t>16504982</t>
        </is>
      </c>
      <c r="C738" t="inlineStr">
        <is>
          <t>163140</t>
        </is>
      </c>
      <c r="D738" t="inlineStr">
        <is>
          <t>163140</t>
        </is>
      </c>
      <c r="E738" t="inlineStr">
        <is>
          <t>HALFSIM TIGO</t>
        </is>
      </c>
      <c r="F738" t="n">
        <v>1</v>
      </c>
      <c r="G738" t="n">
        <v>0.69</v>
      </c>
      <c r="H738" t="inlineStr">
        <is>
          <t>0.69</t>
        </is>
      </c>
      <c r="J738" t="inlineStr">
        <is>
          <t>CARDENAS BERZOSA BAYRON ALEXIS_CARDENAS BERZOSA BAYRON ALEXIS</t>
        </is>
      </c>
      <c r="K738" t="inlineStr">
        <is>
          <t>0105893390001</t>
        </is>
      </c>
      <c r="M738" t="inlineStr">
        <is>
          <t>BTB</t>
        </is>
      </c>
      <c r="N738" t="inlineStr">
        <is>
          <t>CANAL DIRECTO</t>
        </is>
      </c>
    </row>
    <row r="739">
      <c r="A739" t="inlineStr">
        <is>
          <t>14/10/2026</t>
        </is>
      </c>
      <c r="B739" t="inlineStr">
        <is>
          <t>16504983</t>
        </is>
      </c>
      <c r="C739" t="inlineStr">
        <is>
          <t>163140</t>
        </is>
      </c>
      <c r="D739" t="inlineStr">
        <is>
          <t>163140</t>
        </is>
      </c>
      <c r="E739" t="inlineStr">
        <is>
          <t>HALFSIM TIGO</t>
        </is>
      </c>
      <c r="F739" t="n">
        <v>1</v>
      </c>
      <c r="G739" t="n">
        <v>0.69</v>
      </c>
      <c r="H739" t="inlineStr">
        <is>
          <t>0.69</t>
        </is>
      </c>
      <c r="J739" t="inlineStr">
        <is>
          <t>JIOCONDA TINOCO_FESTHO INMOBILIARIA DEL ECUADOR FESTHOINMO S A</t>
        </is>
      </c>
      <c r="K739" t="inlineStr">
        <is>
          <t>1792809983001</t>
        </is>
      </c>
      <c r="M739" t="inlineStr">
        <is>
          <t>BTB</t>
        </is>
      </c>
      <c r="N739" t="inlineStr">
        <is>
          <t>CANAL DIRECTO</t>
        </is>
      </c>
    </row>
    <row r="740">
      <c r="A740" t="inlineStr">
        <is>
          <t>14/10/2026</t>
        </is>
      </c>
      <c r="B740" t="inlineStr">
        <is>
          <t>16504984</t>
        </is>
      </c>
      <c r="C740" t="inlineStr">
        <is>
          <t>163140</t>
        </is>
      </c>
      <c r="D740" t="inlineStr">
        <is>
          <t>163140</t>
        </is>
      </c>
      <c r="E740" t="inlineStr">
        <is>
          <t>HALFSIM TIGO</t>
        </is>
      </c>
      <c r="F740" t="n">
        <v>1</v>
      </c>
      <c r="G740" t="n">
        <v>0.69</v>
      </c>
      <c r="H740" t="inlineStr">
        <is>
          <t>0.69</t>
        </is>
      </c>
      <c r="J740" t="inlineStr">
        <is>
          <t>DAYANA PALACIOS_CONSEJO GUBERNATIVO DE LOS BIENES DE LA DIOCESIS DE AMBATO</t>
        </is>
      </c>
      <c r="K740" t="inlineStr">
        <is>
          <t>1890016509001</t>
        </is>
      </c>
      <c r="M740" t="inlineStr">
        <is>
          <t>BTB</t>
        </is>
      </c>
      <c r="N740" t="inlineStr">
        <is>
          <t>CANAL DIRECTO</t>
        </is>
      </c>
    </row>
    <row r="741">
      <c r="A741" t="inlineStr">
        <is>
          <t>14/10/2026</t>
        </is>
      </c>
      <c r="B741" t="inlineStr">
        <is>
          <t>16504985</t>
        </is>
      </c>
      <c r="C741" t="inlineStr">
        <is>
          <t>163140</t>
        </is>
      </c>
      <c r="D741" t="inlineStr">
        <is>
          <t>163140</t>
        </is>
      </c>
      <c r="E741" t="inlineStr">
        <is>
          <t>HALFSIM TIGO</t>
        </is>
      </c>
      <c r="F741" t="n">
        <v>1</v>
      </c>
      <c r="G741" t="n">
        <v>0.69</v>
      </c>
      <c r="H741" t="inlineStr">
        <is>
          <t>0.69</t>
        </is>
      </c>
      <c r="J741" t="inlineStr">
        <is>
          <t>PEDRO JERVES_ECUAPAYPHONE C A</t>
        </is>
      </c>
      <c r="K741" t="inlineStr">
        <is>
          <t>0190402452001</t>
        </is>
      </c>
      <c r="M741" t="inlineStr">
        <is>
          <t>BTB</t>
        </is>
      </c>
      <c r="N741" t="inlineStr">
        <is>
          <t>CANAL DIRECTO</t>
        </is>
      </c>
    </row>
    <row r="742">
      <c r="A742" t="inlineStr">
        <is>
          <t>14/10/2026</t>
        </is>
      </c>
      <c r="B742" t="inlineStr">
        <is>
          <t>16504990</t>
        </is>
      </c>
      <c r="C742" t="inlineStr">
        <is>
          <t>163140</t>
        </is>
      </c>
      <c r="D742" t="inlineStr">
        <is>
          <t>163140</t>
        </is>
      </c>
      <c r="E742" t="inlineStr">
        <is>
          <t>HALFSIM TIGO</t>
        </is>
      </c>
      <c r="F742" t="n">
        <v>1</v>
      </c>
      <c r="G742" t="n">
        <v>0.69</v>
      </c>
      <c r="H742" t="inlineStr">
        <is>
          <t>0.69</t>
        </is>
      </c>
      <c r="J742" t="inlineStr">
        <is>
          <t>KARLA BAHAMONDE_PRODUCTOS Y SERVICIOS LATINOAMERICANOS PROYSA S A</t>
        </is>
      </c>
      <c r="K742" t="inlineStr">
        <is>
          <t>0992380861001</t>
        </is>
      </c>
      <c r="M742" t="inlineStr">
        <is>
          <t>BTB</t>
        </is>
      </c>
      <c r="N742" t="inlineStr">
        <is>
          <t>CANAL DIRECTO</t>
        </is>
      </c>
    </row>
    <row r="743">
      <c r="A743" t="inlineStr">
        <is>
          <t>14/10/2026</t>
        </is>
      </c>
      <c r="B743" t="inlineStr">
        <is>
          <t>16504994</t>
        </is>
      </c>
      <c r="C743" t="inlineStr">
        <is>
          <t>163140</t>
        </is>
      </c>
      <c r="D743" t="inlineStr">
        <is>
          <t>163140</t>
        </is>
      </c>
      <c r="E743" t="inlineStr">
        <is>
          <t>HALFSIM TIGO</t>
        </is>
      </c>
      <c r="F743" t="n">
        <v>1</v>
      </c>
      <c r="G743" t="n">
        <v>0.69</v>
      </c>
      <c r="H743" t="inlineStr">
        <is>
          <t>0.69</t>
        </is>
      </c>
      <c r="J743" t="inlineStr">
        <is>
          <t>JENNIFFER VILLACIS_ASOCIACION SOLIDARISTA PROFUTURO</t>
        </is>
      </c>
      <c r="K743" t="inlineStr">
        <is>
          <t>0992424222001</t>
        </is>
      </c>
      <c r="M743" t="inlineStr">
        <is>
          <t>BTB</t>
        </is>
      </c>
      <c r="N743" t="inlineStr">
        <is>
          <t>CANAL DIRECTO</t>
        </is>
      </c>
    </row>
    <row r="744">
      <c r="A744" t="inlineStr">
        <is>
          <t>14/10/2026</t>
        </is>
      </c>
      <c r="B744" t="inlineStr">
        <is>
          <t>16504996</t>
        </is>
      </c>
      <c r="C744" t="inlineStr">
        <is>
          <t>163140</t>
        </is>
      </c>
      <c r="D744" t="inlineStr">
        <is>
          <t>163140</t>
        </is>
      </c>
      <c r="E744" t="inlineStr">
        <is>
          <t>HALFSIM TIGO</t>
        </is>
      </c>
      <c r="F744" t="n">
        <v>1</v>
      </c>
      <c r="G744" t="n">
        <v>0.69</v>
      </c>
      <c r="H744" t="inlineStr">
        <is>
          <t>0.69</t>
        </is>
      </c>
      <c r="J744" t="inlineStr">
        <is>
          <t>LOZADA ALVAREZ PERCY EDUARDO_LOZADA ALVAREZ PERCY EDUARDO</t>
        </is>
      </c>
      <c r="K744" t="inlineStr">
        <is>
          <t>0927873588001</t>
        </is>
      </c>
      <c r="M744" t="inlineStr">
        <is>
          <t>BTB</t>
        </is>
      </c>
      <c r="N744" t="inlineStr">
        <is>
          <t>CANAL DIRECTO</t>
        </is>
      </c>
    </row>
    <row r="745">
      <c r="A745" t="inlineStr">
        <is>
          <t>14/10/2026</t>
        </is>
      </c>
      <c r="B745" t="inlineStr">
        <is>
          <t>16504998</t>
        </is>
      </c>
      <c r="C745" t="inlineStr">
        <is>
          <t>163140</t>
        </is>
      </c>
      <c r="D745" t="inlineStr">
        <is>
          <t>163140</t>
        </is>
      </c>
      <c r="E745" t="inlineStr">
        <is>
          <t>HALFSIM TIGO</t>
        </is>
      </c>
      <c r="F745" t="n">
        <v>1</v>
      </c>
      <c r="G745" t="n">
        <v>0.69</v>
      </c>
      <c r="H745" t="inlineStr">
        <is>
          <t>0.69</t>
        </is>
      </c>
      <c r="J745" t="inlineStr">
        <is>
          <t>SANMARTIN DAVILA GALO MARCELO_SANMARTIN DAVILA GALO MARCELO</t>
        </is>
      </c>
      <c r="K745" t="inlineStr">
        <is>
          <t>0705798361001</t>
        </is>
      </c>
      <c r="M745" t="inlineStr">
        <is>
          <t>BTB</t>
        </is>
      </c>
      <c r="N745" t="inlineStr">
        <is>
          <t>CANAL DIRECTO</t>
        </is>
      </c>
    </row>
    <row r="746">
      <c r="A746" t="inlineStr">
        <is>
          <t>14/10/2026</t>
        </is>
      </c>
      <c r="B746" t="inlineStr">
        <is>
          <t>16505003</t>
        </is>
      </c>
      <c r="C746" t="inlineStr">
        <is>
          <t>163140</t>
        </is>
      </c>
      <c r="D746" t="inlineStr">
        <is>
          <t>163140</t>
        </is>
      </c>
      <c r="E746" t="inlineStr">
        <is>
          <t>HALFSIM TIGO</t>
        </is>
      </c>
      <c r="F746" t="n">
        <v>1</v>
      </c>
      <c r="G746" t="n">
        <v>0.69</v>
      </c>
      <c r="H746" t="inlineStr">
        <is>
          <t>0.69</t>
        </is>
      </c>
      <c r="J746" t="inlineStr">
        <is>
          <t>SERRANO MEJIA TYRONE ALDEMAR_SERRANO MEJIA TYRONE ALDEMAR</t>
        </is>
      </c>
      <c r="K746" t="inlineStr">
        <is>
          <t>0930108857001</t>
        </is>
      </c>
      <c r="M746" t="inlineStr">
        <is>
          <t>BTB</t>
        </is>
      </c>
      <c r="N746" t="inlineStr">
        <is>
          <t>CANAL DIRECTO</t>
        </is>
      </c>
    </row>
    <row r="747">
      <c r="A747" t="inlineStr">
        <is>
          <t>14/10/2026</t>
        </is>
      </c>
      <c r="B747" t="inlineStr">
        <is>
          <t>16505004</t>
        </is>
      </c>
      <c r="C747" t="inlineStr">
        <is>
          <t>163140</t>
        </is>
      </c>
      <c r="D747" t="inlineStr">
        <is>
          <t>163140</t>
        </is>
      </c>
      <c r="E747" t="inlineStr">
        <is>
          <t>HALFSIM TIGO</t>
        </is>
      </c>
      <c r="F747" t="n">
        <v>3</v>
      </c>
      <c r="G747" t="n">
        <v>2.0699999999999998</v>
      </c>
      <c r="H747" t="inlineStr">
        <is>
          <t>0.69</t>
        </is>
      </c>
      <c r="J747" t="inlineStr">
        <is>
          <t>BORIS GRANDA YEPEZ_DEPCONSA S A</t>
        </is>
      </c>
      <c r="K747" t="inlineStr">
        <is>
          <t>0992109777001</t>
        </is>
      </c>
      <c r="M747" t="inlineStr">
        <is>
          <t>BTB</t>
        </is>
      </c>
      <c r="N747" t="inlineStr">
        <is>
          <t>CANAL DIRECTO</t>
        </is>
      </c>
    </row>
    <row r="748">
      <c r="A748" t="inlineStr">
        <is>
          <t>14/10/2026</t>
        </is>
      </c>
      <c r="B748" t="inlineStr">
        <is>
          <t>16505009</t>
        </is>
      </c>
      <c r="C748" t="inlineStr">
        <is>
          <t>163140</t>
        </is>
      </c>
      <c r="D748" t="inlineStr">
        <is>
          <t>163140</t>
        </is>
      </c>
      <c r="E748" t="inlineStr">
        <is>
          <t>HALFSIM TIGO</t>
        </is>
      </c>
      <c r="F748" t="n">
        <v>1</v>
      </c>
      <c r="G748" t="n">
        <v>0.69</v>
      </c>
      <c r="H748" t="inlineStr">
        <is>
          <t>0.69</t>
        </is>
      </c>
      <c r="J748" t="inlineStr">
        <is>
          <t>MARIA ISABEL ESQUETINI _ GRANT THORNTON DBRAG ECUADOR CIA LTDA</t>
        </is>
      </c>
      <c r="K748" t="inlineStr">
        <is>
          <t>1791312481001</t>
        </is>
      </c>
      <c r="M748" t="inlineStr">
        <is>
          <t>BTB</t>
        </is>
      </c>
      <c r="N748" t="inlineStr">
        <is>
          <t>CANAL DIRECTO</t>
        </is>
      </c>
    </row>
    <row r="749">
      <c r="A749" t="inlineStr">
        <is>
          <t>14/10/2026</t>
        </is>
      </c>
      <c r="B749" t="inlineStr">
        <is>
          <t>16505010</t>
        </is>
      </c>
      <c r="C749" t="inlineStr">
        <is>
          <t>163140</t>
        </is>
      </c>
      <c r="D749" t="inlineStr">
        <is>
          <t>163140</t>
        </is>
      </c>
      <c r="E749" t="inlineStr">
        <is>
          <t>HALFSIM TIGO</t>
        </is>
      </c>
      <c r="F749" t="n">
        <v>5</v>
      </c>
      <c r="G749" t="n">
        <v>3.4499999999999997</v>
      </c>
      <c r="H749" t="inlineStr">
        <is>
          <t>0.69</t>
        </is>
      </c>
      <c r="J749" t="inlineStr">
        <is>
          <t>ANLLEL MOSQUERA_CONSORCIO STG</t>
        </is>
      </c>
      <c r="K749" t="inlineStr">
        <is>
          <t>0993371725001</t>
        </is>
      </c>
      <c r="M749" t="inlineStr">
        <is>
          <t>BTB</t>
        </is>
      </c>
      <c r="N749" t="inlineStr">
        <is>
          <t>CANAL DIRECTO</t>
        </is>
      </c>
    </row>
    <row r="750">
      <c r="A750" t="inlineStr">
        <is>
          <t>14/10/2026</t>
        </is>
      </c>
      <c r="B750" t="inlineStr">
        <is>
          <t>16505016</t>
        </is>
      </c>
      <c r="C750" t="inlineStr">
        <is>
          <t>163140</t>
        </is>
      </c>
      <c r="D750" t="inlineStr">
        <is>
          <t>163140</t>
        </is>
      </c>
      <c r="E750" t="inlineStr">
        <is>
          <t>HALFSIM TIGO</t>
        </is>
      </c>
      <c r="F750" t="n">
        <v>2</v>
      </c>
      <c r="G750" t="n">
        <v>1.38</v>
      </c>
      <c r="H750" t="inlineStr">
        <is>
          <t>0.69</t>
        </is>
      </c>
      <c r="J750" t="inlineStr">
        <is>
          <t>MELISSA BONILLA MORA SECRETARIA ADMINISTRATIVA_COMITE DE EMPRESA DE LOS TRABAJADORES DE CONTECON</t>
        </is>
      </c>
      <c r="K750" t="inlineStr">
        <is>
          <t>0992602600001</t>
        </is>
      </c>
      <c r="M750" t="inlineStr">
        <is>
          <t>BTB</t>
        </is>
      </c>
      <c r="N750" t="inlineStr">
        <is>
          <t>CANAL DIRECTO</t>
        </is>
      </c>
    </row>
    <row r="751">
      <c r="A751" t="inlineStr">
        <is>
          <t>14/10/2026</t>
        </is>
      </c>
      <c r="B751" t="inlineStr">
        <is>
          <t>16505019</t>
        </is>
      </c>
      <c r="C751" t="inlineStr">
        <is>
          <t>163140</t>
        </is>
      </c>
      <c r="D751" t="inlineStr">
        <is>
          <t>163140</t>
        </is>
      </c>
      <c r="E751" t="inlineStr">
        <is>
          <t>HALFSIM TIGO</t>
        </is>
      </c>
      <c r="F751" t="n">
        <v>1</v>
      </c>
      <c r="G751" t="n">
        <v>0.69</v>
      </c>
      <c r="H751" t="inlineStr">
        <is>
          <t>0.69</t>
        </is>
      </c>
      <c r="J751" t="inlineStr">
        <is>
          <t>LILIANA ALEJANDRINA ARICO ESPIN_FLEXNET DEL ECUADOR CIA LTDA</t>
        </is>
      </c>
      <c r="K751" t="inlineStr">
        <is>
          <t>1791890663001</t>
        </is>
      </c>
      <c r="M751" t="inlineStr">
        <is>
          <t>BTB</t>
        </is>
      </c>
      <c r="N751" t="inlineStr">
        <is>
          <t>CANAL DIRECTO</t>
        </is>
      </c>
    </row>
    <row r="752">
      <c r="A752" t="inlineStr">
        <is>
          <t>14/10/2026</t>
        </is>
      </c>
      <c r="B752" t="inlineStr">
        <is>
          <t>16505020</t>
        </is>
      </c>
      <c r="C752" t="inlineStr">
        <is>
          <t>163140</t>
        </is>
      </c>
      <c r="D752" t="inlineStr">
        <is>
          <t>163140</t>
        </is>
      </c>
      <c r="E752" t="inlineStr">
        <is>
          <t>HALFSIM TIGO</t>
        </is>
      </c>
      <c r="F752" t="n">
        <v>30</v>
      </c>
      <c r="G752" t="n">
        <v>20.7</v>
      </c>
      <c r="H752" t="inlineStr">
        <is>
          <t>0.69</t>
        </is>
      </c>
      <c r="J752" t="inlineStr">
        <is>
          <t>ELIZABETH CUEVA_AUTOMOTORES CONTINENTAL S A S</t>
        </is>
      </c>
      <c r="K752" t="inlineStr">
        <is>
          <t>1790009289001</t>
        </is>
      </c>
      <c r="M752" t="inlineStr">
        <is>
          <t>BTB</t>
        </is>
      </c>
      <c r="N752" t="inlineStr">
        <is>
          <t>CANAL DIRECTO</t>
        </is>
      </c>
    </row>
    <row r="753">
      <c r="A753" t="inlineStr">
        <is>
          <t>14/10/2026</t>
        </is>
      </c>
      <c r="B753" t="inlineStr">
        <is>
          <t>16505050</t>
        </is>
      </c>
      <c r="C753" t="inlineStr">
        <is>
          <t>163140</t>
        </is>
      </c>
      <c r="D753" t="inlineStr">
        <is>
          <t>163140</t>
        </is>
      </c>
      <c r="E753" t="inlineStr">
        <is>
          <t>HALFSIM TIGO</t>
        </is>
      </c>
      <c r="F753" t="n">
        <v>1</v>
      </c>
      <c r="G753" t="n">
        <v>0.69</v>
      </c>
      <c r="H753" t="inlineStr">
        <is>
          <t>0.69</t>
        </is>
      </c>
      <c r="J753" t="inlineStr">
        <is>
          <t>IRVIN MENDOZA_ ASOCIACION DE COPROPIETARIOS DE MARINA BLUE URBANIZACION PRIVADA</t>
        </is>
      </c>
      <c r="K753" t="inlineStr">
        <is>
          <t>1391865929001</t>
        </is>
      </c>
      <c r="M753" t="inlineStr">
        <is>
          <t>BTB</t>
        </is>
      </c>
      <c r="N753" t="inlineStr">
        <is>
          <t>CANAL DIRECTO</t>
        </is>
      </c>
    </row>
    <row r="754">
      <c r="A754" t="inlineStr">
        <is>
          <t>14/10/2026</t>
        </is>
      </c>
      <c r="B754" t="inlineStr">
        <is>
          <t>16505053</t>
        </is>
      </c>
      <c r="C754" t="inlineStr">
        <is>
          <t>163140</t>
        </is>
      </c>
      <c r="D754" t="inlineStr">
        <is>
          <t>163140</t>
        </is>
      </c>
      <c r="E754" t="inlineStr">
        <is>
          <t>HALFSIM TIGO</t>
        </is>
      </c>
      <c r="F754" t="n">
        <v>1</v>
      </c>
      <c r="G754" t="n">
        <v>0.69</v>
      </c>
      <c r="H754" t="inlineStr">
        <is>
          <t>0.69</t>
        </is>
      </c>
      <c r="J754" t="inlineStr">
        <is>
          <t>PIEDAD MONTOYA_PIEDAD MONTOYA</t>
        </is>
      </c>
      <c r="K754" t="inlineStr">
        <is>
          <t>1791809491001</t>
        </is>
      </c>
      <c r="M754" t="inlineStr">
        <is>
          <t>BTB</t>
        </is>
      </c>
      <c r="N754" t="inlineStr">
        <is>
          <t>CANAL DIRECTO</t>
        </is>
      </c>
    </row>
    <row r="755">
      <c r="A755" t="inlineStr">
        <is>
          <t>14/10/2026</t>
        </is>
      </c>
      <c r="B755" t="inlineStr">
        <is>
          <t>16505138</t>
        </is>
      </c>
      <c r="C755" t="inlineStr">
        <is>
          <t>163140</t>
        </is>
      </c>
      <c r="D755" t="inlineStr">
        <is>
          <t>163140</t>
        </is>
      </c>
      <c r="E755" t="inlineStr">
        <is>
          <t>HALFSIM TIGO</t>
        </is>
      </c>
      <c r="F755" t="n">
        <v>1</v>
      </c>
      <c r="G755" t="n">
        <v>0.69</v>
      </c>
      <c r="H755" t="inlineStr">
        <is>
          <t>0.69</t>
        </is>
      </c>
      <c r="J755" t="inlineStr">
        <is>
          <t>ANDREA BELEN OBANDO RODRIGUEZ_ANDREA BELEN OBANDO RODRIGUEZ</t>
        </is>
      </c>
      <c r="K755" t="inlineStr">
        <is>
          <t>2150001234001</t>
        </is>
      </c>
      <c r="M755" t="inlineStr">
        <is>
          <t>BTB</t>
        </is>
      </c>
      <c r="N755" t="inlineStr">
        <is>
          <t>CANAL DIRECTO</t>
        </is>
      </c>
    </row>
    <row r="756">
      <c r="A756" t="inlineStr">
        <is>
          <t>14/10/2026</t>
        </is>
      </c>
      <c r="B756" t="inlineStr">
        <is>
          <t>16505061</t>
        </is>
      </c>
      <c r="C756" t="inlineStr">
        <is>
          <t>163140</t>
        </is>
      </c>
      <c r="D756" t="inlineStr">
        <is>
          <t>163140</t>
        </is>
      </c>
      <c r="E756" t="inlineStr">
        <is>
          <t>HALFSIM TIGO</t>
        </is>
      </c>
      <c r="F756" t="n">
        <v>10</v>
      </c>
      <c r="G756" t="n">
        <v>6.8999999999999995</v>
      </c>
      <c r="H756" t="inlineStr">
        <is>
          <t>0.69</t>
        </is>
      </c>
      <c r="J756" t="inlineStr">
        <is>
          <t>TAMARA ESCUDERO_SAXIMAN S A</t>
        </is>
      </c>
      <c r="K756" t="inlineStr">
        <is>
          <t>0992278102001</t>
        </is>
      </c>
      <c r="M756" t="inlineStr">
        <is>
          <t>BTB</t>
        </is>
      </c>
      <c r="N756" t="inlineStr">
        <is>
          <t>CANAL DIRECTO</t>
        </is>
      </c>
    </row>
    <row r="757">
      <c r="A757" t="inlineStr">
        <is>
          <t>14/10/2026</t>
        </is>
      </c>
      <c r="B757" t="inlineStr">
        <is>
          <t>16505071</t>
        </is>
      </c>
      <c r="C757" t="inlineStr">
        <is>
          <t>163140</t>
        </is>
      </c>
      <c r="D757" t="inlineStr">
        <is>
          <t>163140</t>
        </is>
      </c>
      <c r="E757" t="inlineStr">
        <is>
          <t>HALFSIM TIGO</t>
        </is>
      </c>
      <c r="F757" t="n">
        <v>7</v>
      </c>
      <c r="G757" t="n">
        <v>4.83</v>
      </c>
      <c r="H757" t="inlineStr">
        <is>
          <t>0.69</t>
        </is>
      </c>
      <c r="J757" t="inlineStr">
        <is>
          <t>CARLOS APONTE_ASESORES E IMPORTADORES DE MATERIALES INDUSTRIALES INDUSDEAL S A</t>
        </is>
      </c>
      <c r="K757" t="inlineStr">
        <is>
          <t>0992914602001</t>
        </is>
      </c>
      <c r="M757" t="inlineStr">
        <is>
          <t>BTB</t>
        </is>
      </c>
      <c r="N757" t="inlineStr">
        <is>
          <t>CANAL DIRECTO</t>
        </is>
      </c>
    </row>
    <row r="758">
      <c r="A758" t="inlineStr">
        <is>
          <t>14/10/2026</t>
        </is>
      </c>
      <c r="B758" t="inlineStr">
        <is>
          <t>16505093</t>
        </is>
      </c>
      <c r="C758" t="inlineStr">
        <is>
          <t>163140</t>
        </is>
      </c>
      <c r="D758" t="inlineStr">
        <is>
          <t>163140</t>
        </is>
      </c>
      <c r="E758" t="inlineStr">
        <is>
          <t>HALFSIM TIGO</t>
        </is>
      </c>
      <c r="F758" t="n">
        <v>5</v>
      </c>
      <c r="G758" t="n">
        <v>3.4499999999999997</v>
      </c>
      <c r="H758" t="inlineStr">
        <is>
          <t>0.69</t>
        </is>
      </c>
      <c r="J758" t="inlineStr">
        <is>
          <t>KATY TANDAZO_TIPTI SA</t>
        </is>
      </c>
      <c r="K758" t="inlineStr">
        <is>
          <t>1792694337001</t>
        </is>
      </c>
      <c r="M758" t="inlineStr">
        <is>
          <t>BTB</t>
        </is>
      </c>
      <c r="N758" t="inlineStr">
        <is>
          <t>CANAL DIRECTO</t>
        </is>
      </c>
    </row>
    <row r="759">
      <c r="A759" t="inlineStr">
        <is>
          <t>14/10/2026</t>
        </is>
      </c>
      <c r="B759" t="inlineStr">
        <is>
          <t>16505100</t>
        </is>
      </c>
      <c r="C759" t="inlineStr">
        <is>
          <t>163140</t>
        </is>
      </c>
      <c r="D759" t="inlineStr">
        <is>
          <t>163140</t>
        </is>
      </c>
      <c r="E759" t="inlineStr">
        <is>
          <t>HALFSIM TIGO</t>
        </is>
      </c>
      <c r="F759" t="n">
        <v>3</v>
      </c>
      <c r="G759" t="n">
        <v>2.0699999999999998</v>
      </c>
      <c r="H759" t="inlineStr">
        <is>
          <t>0.69</t>
        </is>
      </c>
      <c r="J759" t="inlineStr">
        <is>
          <t>PRISCILA SIGUENZA _SODICE CIA LTDA</t>
        </is>
      </c>
      <c r="K759" t="inlineStr">
        <is>
          <t>0993379504001</t>
        </is>
      </c>
      <c r="M759" t="inlineStr">
        <is>
          <t>BTB</t>
        </is>
      </c>
      <c r="N759" t="inlineStr">
        <is>
          <t>CANAL DIRECTO</t>
        </is>
      </c>
    </row>
    <row r="760">
      <c r="A760" t="inlineStr">
        <is>
          <t>14/10/2026</t>
        </is>
      </c>
      <c r="B760" t="inlineStr">
        <is>
          <t>16505104</t>
        </is>
      </c>
      <c r="C760" t="inlineStr">
        <is>
          <t>163140</t>
        </is>
      </c>
      <c r="D760" t="inlineStr">
        <is>
          <t>163140</t>
        </is>
      </c>
      <c r="E760" t="inlineStr">
        <is>
          <t>HALFSIM TIGO</t>
        </is>
      </c>
      <c r="F760" t="n">
        <v>15</v>
      </c>
      <c r="G760" t="n">
        <v>10.35</v>
      </c>
      <c r="H760" t="inlineStr">
        <is>
          <t>0.69</t>
        </is>
      </c>
      <c r="J760" t="inlineStr">
        <is>
          <t>KATY TANDAZO_TIPTI SA</t>
        </is>
      </c>
      <c r="K760" t="inlineStr">
        <is>
          <t>1792694337001</t>
        </is>
      </c>
      <c r="M760" t="inlineStr">
        <is>
          <t>BTB</t>
        </is>
      </c>
      <c r="N760" t="inlineStr">
        <is>
          <t>CANAL DIRECTO</t>
        </is>
      </c>
    </row>
    <row r="761">
      <c r="A761" t="inlineStr">
        <is>
          <t>14/10/2026</t>
        </is>
      </c>
      <c r="B761" t="inlineStr">
        <is>
          <t>16505133</t>
        </is>
      </c>
      <c r="C761" t="inlineStr">
        <is>
          <t>163140</t>
        </is>
      </c>
      <c r="D761" t="inlineStr">
        <is>
          <t>163140</t>
        </is>
      </c>
      <c r="E761" t="inlineStr">
        <is>
          <t>HALFSIM TIGO</t>
        </is>
      </c>
      <c r="F761" t="n">
        <v>2</v>
      </c>
      <c r="G761" t="n">
        <v>1.38</v>
      </c>
      <c r="H761" t="inlineStr">
        <is>
          <t>0.69</t>
        </is>
      </c>
      <c r="J761" t="inlineStr">
        <is>
          <t>ANGELICA MERA_CORRUCHECSA CORRUGADOS CHILENOS ECUATORIANOS S A</t>
        </is>
      </c>
      <c r="K761" t="inlineStr">
        <is>
          <t>0992109386001</t>
        </is>
      </c>
      <c r="M761" t="inlineStr">
        <is>
          <t>BTB</t>
        </is>
      </c>
      <c r="N761" t="inlineStr">
        <is>
          <t>CANAL DIRECTO</t>
        </is>
      </c>
    </row>
    <row r="762">
      <c r="A762" t="inlineStr">
        <is>
          <t>14/10/2026</t>
        </is>
      </c>
      <c r="B762" t="inlineStr">
        <is>
          <t>2026-08387</t>
        </is>
      </c>
      <c r="C762" t="inlineStr">
        <is>
          <t>163140_02</t>
        </is>
      </c>
      <c r="D762" t="inlineStr">
        <is>
          <t>163140</t>
        </is>
      </c>
      <c r="E762" t="inlineStr">
        <is>
          <t>HALFSIM TIGO CHIP PREPAGO $3 WP NUMERADO</t>
        </is>
      </c>
      <c r="F762" t="n">
        <v>700</v>
      </c>
      <c r="G762" t="n">
        <v>482.99999999999994</v>
      </c>
      <c r="H762" t="inlineStr">
        <is>
          <t>0.69</t>
        </is>
      </c>
      <c r="J762" t="inlineStr">
        <is>
          <t>AGILCOM UIO_AZUCENA LOPEZ</t>
        </is>
      </c>
      <c r="K762" t="inlineStr">
        <is>
          <t>1713470456001</t>
        </is>
      </c>
      <c r="M762" t="inlineStr">
        <is>
          <t>INDIRECTO</t>
        </is>
      </c>
      <c r="N762" t="inlineStr">
        <is>
          <t>CANAL INDIRECTO</t>
        </is>
      </c>
    </row>
    <row r="763">
      <c r="A763" t="inlineStr">
        <is>
          <t>14/10/2026</t>
        </is>
      </c>
      <c r="B763" t="inlineStr">
        <is>
          <t>2026-08388</t>
        </is>
      </c>
      <c r="C763" t="inlineStr">
        <is>
          <t>163140</t>
        </is>
      </c>
      <c r="D763" t="inlineStr">
        <is>
          <t>163140</t>
        </is>
      </c>
      <c r="E763" t="inlineStr">
        <is>
          <t>HALFSIM TIGO</t>
        </is>
      </c>
      <c r="F763" t="n">
        <v>100</v>
      </c>
      <c r="G763" t="n">
        <v>69</v>
      </c>
      <c r="H763" t="inlineStr">
        <is>
          <t>0.69</t>
        </is>
      </c>
      <c r="J763" t="inlineStr">
        <is>
          <t>AE BLUECHIP PORTOVIEJO_PAOLA MORAN</t>
        </is>
      </c>
      <c r="K763" t="inlineStr">
        <is>
          <t>0916791601</t>
        </is>
      </c>
      <c r="L763" t="inlineStr">
        <is>
          <t>PORTOVIEJO</t>
        </is>
      </c>
      <c r="M763" t="inlineStr">
        <is>
          <t>INDIRECTO</t>
        </is>
      </c>
      <c r="N763" t="inlineStr">
        <is>
          <t>CANAL INDIRECTO</t>
        </is>
      </c>
    </row>
    <row r="764">
      <c r="A764" t="inlineStr">
        <is>
          <t>14/10/2026</t>
        </is>
      </c>
      <c r="B764" t="inlineStr">
        <is>
          <t>2026-08388</t>
        </is>
      </c>
      <c r="C764" t="inlineStr">
        <is>
          <t>163141</t>
        </is>
      </c>
      <c r="D764" t="inlineStr">
        <is>
          <t>163141</t>
        </is>
      </c>
      <c r="E764" t="inlineStr">
        <is>
          <t>ESIM TIGO DIGITAL</t>
        </is>
      </c>
      <c r="F764" t="n">
        <v>100</v>
      </c>
      <c r="G764" t="n">
        <v>21</v>
      </c>
      <c r="H764" t="inlineStr">
        <is>
          <t>0.21</t>
        </is>
      </c>
      <c r="J764" t="inlineStr">
        <is>
          <t>AE BLUECHIP PORTOVIEJO_PAOLA MORAN</t>
        </is>
      </c>
      <c r="K764" t="inlineStr">
        <is>
          <t>0916791601</t>
        </is>
      </c>
      <c r="L764" t="inlineStr">
        <is>
          <t>PORTOVIEJO</t>
        </is>
      </c>
      <c r="M764" t="inlineStr">
        <is>
          <t>INDIRECTO</t>
        </is>
      </c>
      <c r="N764" t="inlineStr">
        <is>
          <t>CANAL INDIRECTO</t>
        </is>
      </c>
    </row>
    <row r="765">
      <c r="A765" t="inlineStr">
        <is>
          <t>14/10/2026</t>
        </is>
      </c>
      <c r="B765" t="inlineStr">
        <is>
          <t>2026-08390</t>
        </is>
      </c>
      <c r="C765" t="inlineStr">
        <is>
          <t>163140_06</t>
        </is>
      </c>
      <c r="D765" t="inlineStr">
        <is>
          <t>163140</t>
        </is>
      </c>
      <c r="E765" t="inlineStr">
        <is>
          <t>HALFSIM TIGO PORTABILIDAD</t>
        </is>
      </c>
      <c r="F765" t="n">
        <v>200</v>
      </c>
      <c r="G765" t="n">
        <v>138</v>
      </c>
      <c r="H765" t="inlineStr">
        <is>
          <t>0.69</t>
        </is>
      </c>
      <c r="J765" t="inlineStr">
        <is>
          <t>ICCORP INSIGHT SOLUTIONS S.A.S. QUITO_RICARDO ESCOBAR</t>
        </is>
      </c>
      <c r="K765" t="inlineStr">
        <is>
          <t>1793201910001</t>
        </is>
      </c>
      <c r="M765" t="inlineStr">
        <is>
          <t>INDIRECTO</t>
        </is>
      </c>
      <c r="N765" t="inlineStr">
        <is>
          <t>CANAL INDIRECTO</t>
        </is>
      </c>
    </row>
    <row r="766">
      <c r="A766" t="inlineStr">
        <is>
          <t>14/10/2026</t>
        </is>
      </c>
      <c r="B766" t="inlineStr">
        <is>
          <t>2026-08393</t>
        </is>
      </c>
      <c r="C766" t="inlineStr">
        <is>
          <t>163140</t>
        </is>
      </c>
      <c r="D766" t="inlineStr">
        <is>
          <t>163140</t>
        </is>
      </c>
      <c r="E766" t="inlineStr">
        <is>
          <t>HALFSIM TIGO</t>
        </is>
      </c>
      <c r="F766" t="n">
        <v>100</v>
      </c>
      <c r="G766" t="n">
        <v>69</v>
      </c>
      <c r="H766" t="inlineStr">
        <is>
          <t>0.69</t>
        </is>
      </c>
      <c r="J766" t="inlineStr">
        <is>
          <t>BLUECHIP RIOCENTRO SUR_PAOLA MORAN</t>
        </is>
      </c>
      <c r="K766" t="inlineStr">
        <is>
          <t>0916791601</t>
        </is>
      </c>
      <c r="L766" t="inlineStr">
        <is>
          <t>GUAYAQUIL</t>
        </is>
      </c>
      <c r="M766" t="inlineStr">
        <is>
          <t>INDIRECTO</t>
        </is>
      </c>
      <c r="N766" t="inlineStr">
        <is>
          <t>CANAL INDIRECTO</t>
        </is>
      </c>
    </row>
    <row r="767">
      <c r="A767" t="inlineStr">
        <is>
          <t>14/10/2026</t>
        </is>
      </c>
      <c r="B767" t="inlineStr">
        <is>
          <t>2026-08393</t>
        </is>
      </c>
      <c r="C767" t="inlineStr">
        <is>
          <t>163141</t>
        </is>
      </c>
      <c r="D767" t="inlineStr">
        <is>
          <t>163141</t>
        </is>
      </c>
      <c r="E767" t="inlineStr">
        <is>
          <t>ESIM TIGO DIGITAL</t>
        </is>
      </c>
      <c r="F767" t="n">
        <v>50</v>
      </c>
      <c r="G767" t="n">
        <v>10.5</v>
      </c>
      <c r="H767" t="inlineStr">
        <is>
          <t>0.21</t>
        </is>
      </c>
      <c r="J767" t="inlineStr">
        <is>
          <t>BLUECHIP RIOCENTRO SUR_PAOLA MORAN</t>
        </is>
      </c>
      <c r="K767" t="inlineStr">
        <is>
          <t>0916791601</t>
        </is>
      </c>
      <c r="L767" t="inlineStr">
        <is>
          <t>GUAYAQUIL</t>
        </is>
      </c>
      <c r="M767" t="inlineStr">
        <is>
          <t>INDIRECTO</t>
        </is>
      </c>
      <c r="N767" t="inlineStr">
        <is>
          <t>CANAL INDIRECTO</t>
        </is>
      </c>
    </row>
    <row r="768">
      <c r="A768" t="inlineStr">
        <is>
          <t>14/10/2026</t>
        </is>
      </c>
      <c r="B768" t="inlineStr">
        <is>
          <t>2026-08395</t>
        </is>
      </c>
      <c r="C768" t="inlineStr">
        <is>
          <t>163140</t>
        </is>
      </c>
      <c r="D768" t="inlineStr">
        <is>
          <t>163140</t>
        </is>
      </c>
      <c r="E768" t="inlineStr">
        <is>
          <t>HALFSIM TIGO</t>
        </is>
      </c>
      <c r="F768" t="n">
        <v>200</v>
      </c>
      <c r="G768" t="n">
        <v>138</v>
      </c>
      <c r="H768" t="inlineStr">
        <is>
          <t>0.69</t>
        </is>
      </c>
      <c r="J768" t="inlineStr">
        <is>
          <t>CAVS AE NORPHONE EL CONDADO_PAOLA MORAN</t>
        </is>
      </c>
      <c r="K768" t="inlineStr">
        <is>
          <t>1091717898001</t>
        </is>
      </c>
      <c r="M768" t="inlineStr">
        <is>
          <t>INDIRECTO</t>
        </is>
      </c>
      <c r="N768" t="inlineStr">
        <is>
          <t>CANAL INDIRECTO</t>
        </is>
      </c>
    </row>
    <row r="769">
      <c r="A769" t="inlineStr">
        <is>
          <t>14/10/2026</t>
        </is>
      </c>
      <c r="B769" t="inlineStr">
        <is>
          <t>2026-08395</t>
        </is>
      </c>
      <c r="C769" t="inlineStr">
        <is>
          <t>163141</t>
        </is>
      </c>
      <c r="D769" t="inlineStr">
        <is>
          <t>163141</t>
        </is>
      </c>
      <c r="E769" t="inlineStr">
        <is>
          <t>ESIM TIGO DIGITAL</t>
        </is>
      </c>
      <c r="F769" t="n">
        <v>200</v>
      </c>
      <c r="G769" t="n">
        <v>42</v>
      </c>
      <c r="H769" t="inlineStr">
        <is>
          <t>0.21</t>
        </is>
      </c>
      <c r="J769" t="inlineStr">
        <is>
          <t>CAVS AE NORPHONE EL CONDADO_PAOLA MORAN</t>
        </is>
      </c>
      <c r="K769" t="inlineStr">
        <is>
          <t>1091717898001</t>
        </is>
      </c>
      <c r="M769" t="inlineStr">
        <is>
          <t>INDIRECTO</t>
        </is>
      </c>
      <c r="N769" t="inlineStr">
        <is>
          <t>CANAL INDIRECTO</t>
        </is>
      </c>
    </row>
    <row r="770">
      <c r="A770" t="inlineStr">
        <is>
          <t>14/10/2026</t>
        </is>
      </c>
      <c r="B770" t="inlineStr">
        <is>
          <t>2026-08396</t>
        </is>
      </c>
      <c r="C770" t="inlineStr">
        <is>
          <t>163140_01</t>
        </is>
      </c>
      <c r="D770" t="inlineStr">
        <is>
          <t>163140</t>
        </is>
      </c>
      <c r="E770" t="inlineStr">
        <is>
          <t>HALFSIM TIGO REPOSICIÓN</t>
        </is>
      </c>
      <c r="F770" t="n">
        <v>200</v>
      </c>
      <c r="G770" t="n">
        <v>138</v>
      </c>
      <c r="H770" t="inlineStr">
        <is>
          <t>0.69</t>
        </is>
      </c>
      <c r="J770" t="inlineStr">
        <is>
          <t>CELL EXPRESS LATACUNGA_GALO PINTADO</t>
        </is>
      </c>
      <c r="K770" t="inlineStr">
        <is>
          <t>0502401268001</t>
        </is>
      </c>
      <c r="M770" t="inlineStr">
        <is>
          <t>INDIRECTO</t>
        </is>
      </c>
      <c r="N770" t="inlineStr">
        <is>
          <t>CANAL INDIRECTO</t>
        </is>
      </c>
    </row>
    <row r="771">
      <c r="A771" t="inlineStr">
        <is>
          <t>14/10/2026</t>
        </is>
      </c>
      <c r="B771" t="inlineStr">
        <is>
          <t>2026-08396</t>
        </is>
      </c>
      <c r="C771" t="inlineStr">
        <is>
          <t>163141</t>
        </is>
      </c>
      <c r="D771" t="inlineStr">
        <is>
          <t>163141</t>
        </is>
      </c>
      <c r="E771" t="inlineStr">
        <is>
          <t>ESIM TIGO DIGITAL</t>
        </is>
      </c>
      <c r="F771" t="n">
        <v>100</v>
      </c>
      <c r="G771" t="n">
        <v>21</v>
      </c>
      <c r="H771" t="inlineStr">
        <is>
          <t>0.21</t>
        </is>
      </c>
      <c r="J771" t="inlineStr">
        <is>
          <t>CELL EXPRESS LATACUNGA_GALO PINTADO</t>
        </is>
      </c>
      <c r="K771" t="inlineStr">
        <is>
          <t>0502401268001</t>
        </is>
      </c>
      <c r="M771" t="inlineStr">
        <is>
          <t>INDIRECTO</t>
        </is>
      </c>
      <c r="N771" t="inlineStr">
        <is>
          <t>CANAL INDIRECTO</t>
        </is>
      </c>
    </row>
    <row r="772">
      <c r="A772" t="inlineStr">
        <is>
          <t>14/10/2026</t>
        </is>
      </c>
      <c r="B772" t="inlineStr">
        <is>
          <t>2026-08404</t>
        </is>
      </c>
      <c r="C772" t="inlineStr">
        <is>
          <t>163140</t>
        </is>
      </c>
      <c r="D772" t="inlineStr">
        <is>
          <t>163140</t>
        </is>
      </c>
      <c r="E772" t="inlineStr">
        <is>
          <t>HALFSIM TIGO</t>
        </is>
      </c>
      <c r="F772" t="n">
        <v>100</v>
      </c>
      <c r="G772" t="n">
        <v>69</v>
      </c>
      <c r="H772" t="inlineStr">
        <is>
          <t>0.69</t>
        </is>
      </c>
      <c r="J772" t="inlineStr">
        <is>
          <t>BLUECHIP RIOCENTRO CEIBOS_PAOLA MORAN</t>
        </is>
      </c>
      <c r="K772" t="inlineStr">
        <is>
          <t>0916791601</t>
        </is>
      </c>
      <c r="M772" t="inlineStr">
        <is>
          <t>INDIRECTO</t>
        </is>
      </c>
      <c r="N772" t="inlineStr">
        <is>
          <t>CANAL INDIRECTO</t>
        </is>
      </c>
    </row>
    <row r="773">
      <c r="A773" t="inlineStr">
        <is>
          <t>14/10/2026</t>
        </is>
      </c>
      <c r="B773" t="inlineStr">
        <is>
          <t>2026-08404</t>
        </is>
      </c>
      <c r="C773" t="inlineStr">
        <is>
          <t>163141</t>
        </is>
      </c>
      <c r="D773" t="inlineStr">
        <is>
          <t>163141</t>
        </is>
      </c>
      <c r="E773" t="inlineStr">
        <is>
          <t>ESIM TIGO DIGITAL</t>
        </is>
      </c>
      <c r="F773" t="n">
        <v>100</v>
      </c>
      <c r="G773" t="n">
        <v>21</v>
      </c>
      <c r="H773" t="inlineStr">
        <is>
          <t>0.21</t>
        </is>
      </c>
      <c r="J773" t="inlineStr">
        <is>
          <t>BLUECHIP RIOCENTRO CEIBOS_PAOLA MORAN</t>
        </is>
      </c>
      <c r="K773" t="inlineStr">
        <is>
          <t>0916791601</t>
        </is>
      </c>
      <c r="M773" t="inlineStr">
        <is>
          <t>INDIRECTO</t>
        </is>
      </c>
      <c r="N773" t="inlineStr">
        <is>
          <t>CANAL INDIRECTO</t>
        </is>
      </c>
    </row>
    <row r="774">
      <c r="A774" t="inlineStr">
        <is>
          <t>14/10/2026</t>
        </is>
      </c>
      <c r="B774" t="inlineStr">
        <is>
          <t>2026-08405</t>
        </is>
      </c>
      <c r="C774" t="inlineStr">
        <is>
          <t>163140</t>
        </is>
      </c>
      <c r="D774" t="inlineStr">
        <is>
          <t>163140</t>
        </is>
      </c>
      <c r="E774" t="inlineStr">
        <is>
          <t>HALFSIM TIGO</t>
        </is>
      </c>
      <c r="F774" t="n">
        <v>300</v>
      </c>
      <c r="G774" t="n">
        <v>206.99999999999997</v>
      </c>
      <c r="H774" t="inlineStr">
        <is>
          <t>0.69</t>
        </is>
      </c>
      <c r="J774" t="inlineStr">
        <is>
          <t>AE NORPHONE RIOBAMBA _PAOLA MORAN</t>
        </is>
      </c>
      <c r="K774" t="inlineStr">
        <is>
          <t>1091717898001</t>
        </is>
      </c>
      <c r="M774" t="inlineStr">
        <is>
          <t>INDIRECTO</t>
        </is>
      </c>
      <c r="N774" t="inlineStr">
        <is>
          <t>CANAL INDIRECTO</t>
        </is>
      </c>
    </row>
    <row r="775">
      <c r="A775" t="inlineStr">
        <is>
          <t>14/10/2026</t>
        </is>
      </c>
      <c r="B775" t="inlineStr">
        <is>
          <t>2026-08405</t>
        </is>
      </c>
      <c r="C775" t="inlineStr">
        <is>
          <t>163141</t>
        </is>
      </c>
      <c r="D775" t="inlineStr">
        <is>
          <t>163141</t>
        </is>
      </c>
      <c r="E775" t="inlineStr">
        <is>
          <t>ESIM TIGO DIGITAL</t>
        </is>
      </c>
      <c r="F775" t="n">
        <v>100</v>
      </c>
      <c r="G775" t="n">
        <v>21</v>
      </c>
      <c r="H775" t="inlineStr">
        <is>
          <t>0.21</t>
        </is>
      </c>
      <c r="J775" t="inlineStr">
        <is>
          <t>AE NORPHONE RIOBAMBA _PAOLA MORAN</t>
        </is>
      </c>
      <c r="K775" t="inlineStr">
        <is>
          <t>1091717898001</t>
        </is>
      </c>
      <c r="M775" t="inlineStr">
        <is>
          <t>INDIRECTO</t>
        </is>
      </c>
      <c r="N775" t="inlineStr">
        <is>
          <t>CANAL INDIRECTO</t>
        </is>
      </c>
    </row>
    <row r="776">
      <c r="A776" t="inlineStr">
        <is>
          <t>14/10/2026</t>
        </is>
      </c>
      <c r="B776" t="inlineStr">
        <is>
          <t>2026-08407</t>
        </is>
      </c>
      <c r="C776" t="inlineStr">
        <is>
          <t>163140_02</t>
        </is>
      </c>
      <c r="D776" t="inlineStr">
        <is>
          <t>163140</t>
        </is>
      </c>
      <c r="E776" t="inlineStr">
        <is>
          <t>HALFSIM TIGO CHIP PREPAGO $3 WP NUMERADO</t>
        </is>
      </c>
      <c r="F776" t="n">
        <v>300</v>
      </c>
      <c r="G776" t="n">
        <v>206.99999999999997</v>
      </c>
      <c r="H776" t="inlineStr">
        <is>
          <t>0.69</t>
        </is>
      </c>
      <c r="J776" t="inlineStr">
        <is>
          <t>SEPMGROUPSEPM S.A.S. AZUAY_JARA PESANTEZ JOSE DAVID</t>
        </is>
      </c>
      <c r="K776" t="inlineStr">
        <is>
          <t>0105108419</t>
        </is>
      </c>
      <c r="M776" t="inlineStr">
        <is>
          <t>INDIRECTO</t>
        </is>
      </c>
      <c r="N776" t="inlineStr">
        <is>
          <t>CANAL INDIRECTO</t>
        </is>
      </c>
    </row>
    <row r="777">
      <c r="A777" t="inlineStr">
        <is>
          <t>14/10/2026</t>
        </is>
      </c>
      <c r="B777" t="inlineStr">
        <is>
          <t>16505139</t>
        </is>
      </c>
      <c r="C777" t="inlineStr">
        <is>
          <t>163140</t>
        </is>
      </c>
      <c r="D777" t="inlineStr">
        <is>
          <t>163140</t>
        </is>
      </c>
      <c r="E777" t="inlineStr">
        <is>
          <t>HALFSIM TIGO</t>
        </is>
      </c>
      <c r="F777" t="n">
        <v>1</v>
      </c>
      <c r="G777" t="n">
        <v>0.69</v>
      </c>
      <c r="H777" t="inlineStr">
        <is>
          <t>0.69</t>
        </is>
      </c>
      <c r="J777" t="inlineStr">
        <is>
          <t>HIDALGO CASTRO ANA ELIZABETH_HIDALGO CASTRO ANA ELIZABETH</t>
        </is>
      </c>
      <c r="K777" t="inlineStr">
        <is>
          <t>1720669058001</t>
        </is>
      </c>
      <c r="M777" t="inlineStr">
        <is>
          <t>BTB</t>
        </is>
      </c>
      <c r="N777" t="inlineStr">
        <is>
          <t>CANAL DIRECTO</t>
        </is>
      </c>
    </row>
    <row r="778">
      <c r="A778" t="inlineStr">
        <is>
          <t>14/10/2026</t>
        </is>
      </c>
      <c r="B778" t="inlineStr">
        <is>
          <t>16505186</t>
        </is>
      </c>
      <c r="C778" t="inlineStr">
        <is>
          <t>163140</t>
        </is>
      </c>
      <c r="D778" t="inlineStr">
        <is>
          <t>163140</t>
        </is>
      </c>
      <c r="E778" t="inlineStr">
        <is>
          <t>HALFSIM TIGO</t>
        </is>
      </c>
      <c r="F778" t="n">
        <v>1</v>
      </c>
      <c r="G778" t="n">
        <v>0.69</v>
      </c>
      <c r="H778" t="inlineStr">
        <is>
          <t>0.69</t>
        </is>
      </c>
      <c r="J778" t="inlineStr">
        <is>
          <t>CHRISTIAN SANTIAGO GUZMAN ALBORNOZ_GUZMAN ALBORNOZ CHRISTIAN SANTIAGO</t>
        </is>
      </c>
      <c r="K778" t="inlineStr">
        <is>
          <t>1711467769001</t>
        </is>
      </c>
      <c r="M778" t="inlineStr">
        <is>
          <t>BTB</t>
        </is>
      </c>
      <c r="N778" t="inlineStr">
        <is>
          <t>CANAL DIRECTO</t>
        </is>
      </c>
    </row>
    <row r="779">
      <c r="A779" t="inlineStr">
        <is>
          <t>14/10/2026</t>
        </is>
      </c>
      <c r="B779" t="inlineStr">
        <is>
          <t>16505225</t>
        </is>
      </c>
      <c r="C779" t="inlineStr">
        <is>
          <t>163140</t>
        </is>
      </c>
      <c r="D779" t="inlineStr">
        <is>
          <t>163140</t>
        </is>
      </c>
      <c r="E779" t="inlineStr">
        <is>
          <t>HALFSIM TIGO</t>
        </is>
      </c>
      <c r="F779" t="n">
        <v>1</v>
      </c>
      <c r="G779" t="n">
        <v>0.69</v>
      </c>
      <c r="H779" t="inlineStr">
        <is>
          <t>0.69</t>
        </is>
      </c>
      <c r="J779" t="inlineStr">
        <is>
          <t>GUAMAN GUAMAN ANDRES FELIPE_GUAMAN GUAMAN ANDRES FELIPE</t>
        </is>
      </c>
      <c r="K779" t="inlineStr">
        <is>
          <t>0104230438001</t>
        </is>
      </c>
      <c r="M779" t="inlineStr">
        <is>
          <t>BTB</t>
        </is>
      </c>
      <c r="N779" t="inlineStr">
        <is>
          <t>CANAL DIRECTO</t>
        </is>
      </c>
    </row>
    <row r="780">
      <c r="A780" t="inlineStr">
        <is>
          <t>14/10/2026</t>
        </is>
      </c>
      <c r="B780" t="inlineStr">
        <is>
          <t>16505226</t>
        </is>
      </c>
      <c r="C780" t="inlineStr">
        <is>
          <t>163140</t>
        </is>
      </c>
      <c r="D780" t="inlineStr">
        <is>
          <t>163140</t>
        </is>
      </c>
      <c r="E780" t="inlineStr">
        <is>
          <t>HALFSIM TIGO</t>
        </is>
      </c>
      <c r="F780" t="n">
        <v>1</v>
      </c>
      <c r="G780" t="n">
        <v>0.69</v>
      </c>
      <c r="H780" t="inlineStr">
        <is>
          <t>0.69</t>
        </is>
      </c>
      <c r="J780" t="inlineStr">
        <is>
          <t>LOGRONO ARGUELLO JIMMY JOHN_LOGRONO ARGUELLO JIMMY JOHN</t>
        </is>
      </c>
      <c r="K780" t="inlineStr">
        <is>
          <t>0914079850001</t>
        </is>
      </c>
      <c r="M780" t="inlineStr">
        <is>
          <t>BTB</t>
        </is>
      </c>
      <c r="N780" t="inlineStr">
        <is>
          <t>CANAL DIRECTO</t>
        </is>
      </c>
    </row>
    <row r="781">
      <c r="A781" t="inlineStr">
        <is>
          <t>14/10/2026</t>
        </is>
      </c>
      <c r="B781" t="inlineStr">
        <is>
          <t>16505291</t>
        </is>
      </c>
      <c r="C781" t="inlineStr">
        <is>
          <t>163140</t>
        </is>
      </c>
      <c r="D781" t="inlineStr">
        <is>
          <t>163140</t>
        </is>
      </c>
      <c r="E781" t="inlineStr">
        <is>
          <t>HALFSIM TIGO</t>
        </is>
      </c>
      <c r="F781" t="n">
        <v>1</v>
      </c>
      <c r="G781" t="n">
        <v>0.69</v>
      </c>
      <c r="H781" t="inlineStr">
        <is>
          <t>0.69</t>
        </is>
      </c>
      <c r="J781" t="inlineStr">
        <is>
          <t>ROSERO VENEGAS MONICA MARICELA_ROSERO VENEGAS MONICA MARICELA</t>
        </is>
      </c>
      <c r="K781" t="inlineStr">
        <is>
          <t>1710934363001</t>
        </is>
      </c>
      <c r="M781" t="inlineStr">
        <is>
          <t>BTB</t>
        </is>
      </c>
      <c r="N781" t="inlineStr">
        <is>
          <t>CANAL DIRECTO</t>
        </is>
      </c>
    </row>
    <row r="782">
      <c r="A782" t="inlineStr">
        <is>
          <t>14/10/2026</t>
        </is>
      </c>
      <c r="B782" t="inlineStr">
        <is>
          <t>16505308</t>
        </is>
      </c>
      <c r="C782" t="inlineStr">
        <is>
          <t>163140</t>
        </is>
      </c>
      <c r="D782" t="inlineStr">
        <is>
          <t>163140</t>
        </is>
      </c>
      <c r="E782" t="inlineStr">
        <is>
          <t>HALFSIM TIGO</t>
        </is>
      </c>
      <c r="F782" t="n">
        <v>1</v>
      </c>
      <c r="G782" t="n">
        <v>0.69</v>
      </c>
      <c r="H782" t="inlineStr">
        <is>
          <t>0.69</t>
        </is>
      </c>
      <c r="J782" t="inlineStr">
        <is>
          <t>PARDO ZURITA MERCEDES ELIZABETH_PARDO ZURITA MERCEDES ELIZABETH</t>
        </is>
      </c>
      <c r="K782" t="inlineStr">
        <is>
          <t>0952298644001</t>
        </is>
      </c>
      <c r="M782" t="inlineStr">
        <is>
          <t>BTB</t>
        </is>
      </c>
      <c r="N782" t="inlineStr">
        <is>
          <t>CANAL DIRECTO</t>
        </is>
      </c>
    </row>
    <row r="783">
      <c r="A783" t="inlineStr">
        <is>
          <t>14/10/2026</t>
        </is>
      </c>
      <c r="B783" t="inlineStr">
        <is>
          <t>16505315</t>
        </is>
      </c>
      <c r="C783" t="inlineStr">
        <is>
          <t>163140</t>
        </is>
      </c>
      <c r="D783" t="inlineStr">
        <is>
          <t>163140</t>
        </is>
      </c>
      <c r="E783" t="inlineStr">
        <is>
          <t>HALFSIM TIGO</t>
        </is>
      </c>
      <c r="F783" t="n">
        <v>1</v>
      </c>
      <c r="G783" t="n">
        <v>0.69</v>
      </c>
      <c r="H783" t="inlineStr">
        <is>
          <t>0.69</t>
        </is>
      </c>
      <c r="J783" t="inlineStr">
        <is>
          <t>RIVADENEIRA MORILLO STEPHANY NICOLE_RIVADENEIRA MORILLO STEPHANY NICOLE</t>
        </is>
      </c>
      <c r="K783" t="inlineStr">
        <is>
          <t>1727311993001</t>
        </is>
      </c>
      <c r="M783" t="inlineStr">
        <is>
          <t>BTB</t>
        </is>
      </c>
      <c r="N783" t="inlineStr">
        <is>
          <t>CANAL DIRECTO</t>
        </is>
      </c>
    </row>
    <row r="784">
      <c r="A784" t="inlineStr">
        <is>
          <t>14/10/2026</t>
        </is>
      </c>
      <c r="B784" t="inlineStr">
        <is>
          <t>16505316</t>
        </is>
      </c>
      <c r="C784" t="inlineStr">
        <is>
          <t>163140</t>
        </is>
      </c>
      <c r="D784" t="inlineStr">
        <is>
          <t>163140</t>
        </is>
      </c>
      <c r="E784" t="inlineStr">
        <is>
          <t>HALFSIM TIGO</t>
        </is>
      </c>
      <c r="F784" t="n">
        <v>1</v>
      </c>
      <c r="G784" t="n">
        <v>0.69</v>
      </c>
      <c r="H784" t="inlineStr">
        <is>
          <t>0.69</t>
        </is>
      </c>
      <c r="J784" t="inlineStr">
        <is>
          <t>LAINES BASAN CHRISTIAN JONNATHAN_LAINES BASAN CHRISTIAN JONNATHAN</t>
        </is>
      </c>
      <c r="K784" t="inlineStr">
        <is>
          <t>1716131808001</t>
        </is>
      </c>
      <c r="M784" t="inlineStr">
        <is>
          <t>BTB</t>
        </is>
      </c>
      <c r="N784" t="inlineStr">
        <is>
          <t>CANAL DIRECTO</t>
        </is>
      </c>
    </row>
    <row r="785">
      <c r="A785" t="inlineStr">
        <is>
          <t>14/10/2026</t>
        </is>
      </c>
      <c r="B785" t="inlineStr">
        <is>
          <t>16505152</t>
        </is>
      </c>
      <c r="C785" t="inlineStr">
        <is>
          <t>163140</t>
        </is>
      </c>
      <c r="D785" t="inlineStr">
        <is>
          <t>163140</t>
        </is>
      </c>
      <c r="E785" t="inlineStr">
        <is>
          <t>HALFSIM TIGO</t>
        </is>
      </c>
      <c r="F785" t="n">
        <v>30</v>
      </c>
      <c r="G785" t="n">
        <v>20.7</v>
      </c>
      <c r="H785" t="inlineStr">
        <is>
          <t>0.69</t>
        </is>
      </c>
      <c r="J785" t="inlineStr">
        <is>
          <t>VALERIA INIGUEZ_CORPORACION FAVORITA C A</t>
        </is>
      </c>
      <c r="K785" t="inlineStr">
        <is>
          <t>1790016919001</t>
        </is>
      </c>
      <c r="M785" t="inlineStr">
        <is>
          <t>BTB</t>
        </is>
      </c>
      <c r="N785" t="inlineStr">
        <is>
          <t>CANAL DIRECTO</t>
        </is>
      </c>
    </row>
    <row r="786">
      <c r="A786" t="inlineStr">
        <is>
          <t>14/10/2026</t>
        </is>
      </c>
      <c r="B786" t="inlineStr">
        <is>
          <t>16505182</t>
        </is>
      </c>
      <c r="C786" t="inlineStr">
        <is>
          <t>163140</t>
        </is>
      </c>
      <c r="D786" t="inlineStr">
        <is>
          <t>163140</t>
        </is>
      </c>
      <c r="E786" t="inlineStr">
        <is>
          <t>HALFSIM TIGO</t>
        </is>
      </c>
      <c r="F786" t="n">
        <v>1</v>
      </c>
      <c r="G786" t="n">
        <v>0.69</v>
      </c>
      <c r="H786" t="inlineStr">
        <is>
          <t>0.69</t>
        </is>
      </c>
      <c r="J786" t="inlineStr">
        <is>
          <t>PATRICIA PILCO_LIRIS S A</t>
        </is>
      </c>
      <c r="K786" t="inlineStr">
        <is>
          <t>0990865477001</t>
        </is>
      </c>
      <c r="M786" t="inlineStr">
        <is>
          <t>BTB</t>
        </is>
      </c>
      <c r="N786" t="inlineStr">
        <is>
          <t>CANAL DIRECTO</t>
        </is>
      </c>
    </row>
    <row r="787">
      <c r="A787" t="inlineStr">
        <is>
          <t>14/10/2026</t>
        </is>
      </c>
      <c r="B787" t="inlineStr">
        <is>
          <t>16505201</t>
        </is>
      </c>
      <c r="C787" t="inlineStr">
        <is>
          <t>163140</t>
        </is>
      </c>
      <c r="D787" t="inlineStr">
        <is>
          <t>163140</t>
        </is>
      </c>
      <c r="E787" t="inlineStr">
        <is>
          <t>HALFSIM TIGO</t>
        </is>
      </c>
      <c r="F787" t="n">
        <v>10</v>
      </c>
      <c r="G787" t="n">
        <v>6.8999999999999995</v>
      </c>
      <c r="H787" t="inlineStr">
        <is>
          <t>0.69</t>
        </is>
      </c>
      <c r="J787" t="inlineStr">
        <is>
          <t>STEVEN CRESPO_FARMACOS Y COSMETICOS VETERINARIOS S A FARCOVETSA</t>
        </is>
      </c>
      <c r="K787" t="inlineStr">
        <is>
          <t>0992675586001</t>
        </is>
      </c>
      <c r="M787" t="inlineStr">
        <is>
          <t>BTB</t>
        </is>
      </c>
      <c r="N787" t="inlineStr">
        <is>
          <t>CANAL DIRECTO</t>
        </is>
      </c>
    </row>
    <row r="788">
      <c r="A788" t="inlineStr">
        <is>
          <t>14/10/2026</t>
        </is>
      </c>
      <c r="B788" t="inlineStr">
        <is>
          <t>16505211</t>
        </is>
      </c>
      <c r="C788" t="inlineStr">
        <is>
          <t>163140</t>
        </is>
      </c>
      <c r="D788" t="inlineStr">
        <is>
          <t>163140</t>
        </is>
      </c>
      <c r="E788" t="inlineStr">
        <is>
          <t>HALFSIM TIGO</t>
        </is>
      </c>
      <c r="F788" t="n">
        <v>10</v>
      </c>
      <c r="G788" t="n">
        <v>6.8999999999999995</v>
      </c>
      <c r="H788" t="inlineStr">
        <is>
          <t>0.69</t>
        </is>
      </c>
      <c r="J788" t="inlineStr">
        <is>
          <t>MARIA LEONOR CACERES_DISAMP S A S</t>
        </is>
      </c>
      <c r="K788" t="inlineStr">
        <is>
          <t>0993370914001</t>
        </is>
      </c>
      <c r="M788" t="inlineStr">
        <is>
          <t>BTB</t>
        </is>
      </c>
      <c r="N788" t="inlineStr">
        <is>
          <t>CANAL DIRECTO</t>
        </is>
      </c>
    </row>
    <row r="789">
      <c r="A789" t="inlineStr">
        <is>
          <t>14/10/2026</t>
        </is>
      </c>
      <c r="B789" t="inlineStr">
        <is>
          <t>16505221</t>
        </is>
      </c>
      <c r="C789" t="inlineStr">
        <is>
          <t>163140</t>
        </is>
      </c>
      <c r="D789" t="inlineStr">
        <is>
          <t>163140</t>
        </is>
      </c>
      <c r="E789" t="inlineStr">
        <is>
          <t>HALFSIM TIGO</t>
        </is>
      </c>
      <c r="F789" t="n">
        <v>1</v>
      </c>
      <c r="G789" t="n">
        <v>0.69</v>
      </c>
      <c r="H789" t="inlineStr">
        <is>
          <t>0.69</t>
        </is>
      </c>
      <c r="J789" t="inlineStr">
        <is>
          <t>LINA DIAZ_TRECX S A</t>
        </is>
      </c>
      <c r="K789" t="inlineStr">
        <is>
          <t>1791812484001</t>
        </is>
      </c>
      <c r="M789" t="inlineStr">
        <is>
          <t>BTB</t>
        </is>
      </c>
      <c r="N789" t="inlineStr">
        <is>
          <t>CANAL DIRECTO</t>
        </is>
      </c>
    </row>
    <row r="790">
      <c r="A790" t="inlineStr">
        <is>
          <t>14/10/2026</t>
        </is>
      </c>
      <c r="B790" t="inlineStr">
        <is>
          <t>16505223</t>
        </is>
      </c>
      <c r="C790" t="inlineStr">
        <is>
          <t>163140</t>
        </is>
      </c>
      <c r="D790" t="inlineStr">
        <is>
          <t>163140</t>
        </is>
      </c>
      <c r="E790" t="inlineStr">
        <is>
          <t>HALFSIM TIGO</t>
        </is>
      </c>
      <c r="F790" t="n">
        <v>2</v>
      </c>
      <c r="G790" t="n">
        <v>1.38</v>
      </c>
      <c r="H790" t="inlineStr">
        <is>
          <t>0.69</t>
        </is>
      </c>
      <c r="J790" t="inlineStr">
        <is>
          <t>FABIAN GUERRERO MARIA SOL GUERRERO_SANSUR IMPORTACIONES Y COMPANIA</t>
        </is>
      </c>
      <c r="K790" t="inlineStr">
        <is>
          <t>0591707159001</t>
        </is>
      </c>
      <c r="M790" t="inlineStr">
        <is>
          <t>BTB</t>
        </is>
      </c>
      <c r="N790" t="inlineStr">
        <is>
          <t>CANAL DIRECTO</t>
        </is>
      </c>
    </row>
    <row r="791">
      <c r="A791" t="inlineStr">
        <is>
          <t>14/10/2026</t>
        </is>
      </c>
      <c r="B791" t="inlineStr">
        <is>
          <t>16505227</t>
        </is>
      </c>
      <c r="C791" t="inlineStr">
        <is>
          <t>163140</t>
        </is>
      </c>
      <c r="D791" t="inlineStr">
        <is>
          <t>163140</t>
        </is>
      </c>
      <c r="E791" t="inlineStr">
        <is>
          <t>HALFSIM TIGO</t>
        </is>
      </c>
      <c r="F791" t="n">
        <v>1</v>
      </c>
      <c r="G791" t="n">
        <v>0.69</v>
      </c>
      <c r="H791" t="inlineStr">
        <is>
          <t>0.69</t>
        </is>
      </c>
      <c r="J791" t="inlineStr">
        <is>
          <t>PRISCILA RUGEL JOHNNY BARBECH_HOTEL COLON GUAYAQUIL S A</t>
        </is>
      </c>
      <c r="K791" t="inlineStr">
        <is>
          <t>0991189432001</t>
        </is>
      </c>
      <c r="M791" t="inlineStr">
        <is>
          <t>BTB</t>
        </is>
      </c>
      <c r="N791" t="inlineStr">
        <is>
          <t>CANAL DIRECTO</t>
        </is>
      </c>
    </row>
    <row r="792">
      <c r="A792" t="inlineStr">
        <is>
          <t>14/10/2026</t>
        </is>
      </c>
      <c r="B792" t="inlineStr">
        <is>
          <t>16505229</t>
        </is>
      </c>
      <c r="C792" t="inlineStr">
        <is>
          <t>163140</t>
        </is>
      </c>
      <c r="D792" t="inlineStr">
        <is>
          <t>163140</t>
        </is>
      </c>
      <c r="E792" t="inlineStr">
        <is>
          <t>HALFSIM TIGO</t>
        </is>
      </c>
      <c r="F792" t="n">
        <v>1</v>
      </c>
      <c r="G792" t="n">
        <v>0.69</v>
      </c>
      <c r="H792" t="inlineStr">
        <is>
          <t>0.69</t>
        </is>
      </c>
      <c r="J792" t="inlineStr">
        <is>
          <t>LUIGI DENNIS BENAVIDES OBANDO_ EMMANUEL JESUS ALEJANDRO RODRIGUEZ CAMPOS</t>
        </is>
      </c>
      <c r="K792" t="inlineStr">
        <is>
          <t>1757865124001</t>
        </is>
      </c>
      <c r="M792" t="inlineStr">
        <is>
          <t>BTB</t>
        </is>
      </c>
      <c r="N792" t="inlineStr">
        <is>
          <t>CANAL DIRECTO</t>
        </is>
      </c>
    </row>
    <row r="793">
      <c r="A793" t="inlineStr">
        <is>
          <t>14/10/2026</t>
        </is>
      </c>
      <c r="B793" t="inlineStr">
        <is>
          <t>16505231</t>
        </is>
      </c>
      <c r="C793" t="inlineStr">
        <is>
          <t>163140</t>
        </is>
      </c>
      <c r="D793" t="inlineStr">
        <is>
          <t>163140</t>
        </is>
      </c>
      <c r="E793" t="inlineStr">
        <is>
          <t>HALFSIM TIGO</t>
        </is>
      </c>
      <c r="F793" t="n">
        <v>60</v>
      </c>
      <c r="G793" t="n">
        <v>41.4</v>
      </c>
      <c r="H793" t="inlineStr">
        <is>
          <t>0.69</t>
        </is>
      </c>
      <c r="J793" t="inlineStr">
        <is>
          <t>PABLO MOSQUERA_ANGEL GUSTAVO MOSQUERA SIMBANA</t>
        </is>
      </c>
      <c r="K793" t="inlineStr">
        <is>
          <t>1704171360001</t>
        </is>
      </c>
      <c r="M793" t="inlineStr">
        <is>
          <t>BTB</t>
        </is>
      </c>
      <c r="N793" t="inlineStr">
        <is>
          <t>CANAL DIRECTO</t>
        </is>
      </c>
    </row>
    <row r="794">
      <c r="A794" t="inlineStr">
        <is>
          <t>14/10/2026</t>
        </is>
      </c>
      <c r="B794" t="inlineStr">
        <is>
          <t>16505292</t>
        </is>
      </c>
      <c r="C794" t="inlineStr">
        <is>
          <t>163140</t>
        </is>
      </c>
      <c r="D794" t="inlineStr">
        <is>
          <t>163140</t>
        </is>
      </c>
      <c r="E794" t="inlineStr">
        <is>
          <t>HALFSIM TIGO</t>
        </is>
      </c>
      <c r="F794" t="n">
        <v>1</v>
      </c>
      <c r="G794" t="n">
        <v>0.69</v>
      </c>
      <c r="H794" t="inlineStr">
        <is>
          <t>0.69</t>
        </is>
      </c>
      <c r="J794" t="inlineStr">
        <is>
          <t>PAULINA LARA_VITA ALIMENTOS C A</t>
        </is>
      </c>
      <c r="K794" t="inlineStr">
        <is>
          <t>1790050564001</t>
        </is>
      </c>
      <c r="M794" t="inlineStr">
        <is>
          <t>BTB</t>
        </is>
      </c>
      <c r="N794" t="inlineStr">
        <is>
          <t>CANAL DIRECTO</t>
        </is>
      </c>
    </row>
    <row r="795">
      <c r="A795" t="inlineStr">
        <is>
          <t>14/10/2026</t>
        </is>
      </c>
      <c r="B795" t="inlineStr">
        <is>
          <t>16505294</t>
        </is>
      </c>
      <c r="C795" t="inlineStr">
        <is>
          <t>163140</t>
        </is>
      </c>
      <c r="D795" t="inlineStr">
        <is>
          <t>163140</t>
        </is>
      </c>
      <c r="E795" t="inlineStr">
        <is>
          <t>HALFSIM TIGO</t>
        </is>
      </c>
      <c r="F795" t="n">
        <v>1</v>
      </c>
      <c r="G795" t="n">
        <v>0.69</v>
      </c>
      <c r="H795" t="inlineStr">
        <is>
          <t>0.69</t>
        </is>
      </c>
      <c r="J795" t="inlineStr">
        <is>
          <t>ANDREA INIGUEZ_ CORPORACION FAVORITA C A</t>
        </is>
      </c>
      <c r="K795" t="inlineStr">
        <is>
          <t>1790016919001</t>
        </is>
      </c>
      <c r="M795" t="inlineStr">
        <is>
          <t>BTB</t>
        </is>
      </c>
      <c r="N795" t="inlineStr">
        <is>
          <t>CANAL DIRECTO</t>
        </is>
      </c>
    </row>
    <row r="796">
      <c r="A796" t="inlineStr">
        <is>
          <t>14/10/2026</t>
        </is>
      </c>
      <c r="B796" t="inlineStr">
        <is>
          <t>16505295</t>
        </is>
      </c>
      <c r="C796" t="inlineStr">
        <is>
          <t>163140</t>
        </is>
      </c>
      <c r="D796" t="inlineStr">
        <is>
          <t>163140</t>
        </is>
      </c>
      <c r="E796" t="inlineStr">
        <is>
          <t>HALFSIM TIGO</t>
        </is>
      </c>
      <c r="F796" t="n">
        <v>2</v>
      </c>
      <c r="G796" t="n">
        <v>1.38</v>
      </c>
      <c r="H796" t="inlineStr">
        <is>
          <t>0.69</t>
        </is>
      </c>
      <c r="J796" t="inlineStr">
        <is>
          <t>MARIA LEONOR CACERES_DISAMP S A S</t>
        </is>
      </c>
      <c r="K796" t="inlineStr">
        <is>
          <t>0993370914001</t>
        </is>
      </c>
      <c r="M796" t="inlineStr">
        <is>
          <t>BTB</t>
        </is>
      </c>
      <c r="N796" t="inlineStr">
        <is>
          <t>CANAL DIRECTO</t>
        </is>
      </c>
    </row>
    <row r="797">
      <c r="A797" t="inlineStr">
        <is>
          <t>14/10/2026</t>
        </is>
      </c>
      <c r="B797" t="inlineStr">
        <is>
          <t>16505298</t>
        </is>
      </c>
      <c r="C797" t="inlineStr">
        <is>
          <t>163140</t>
        </is>
      </c>
      <c r="D797" t="inlineStr">
        <is>
          <t>163140</t>
        </is>
      </c>
      <c r="E797" t="inlineStr">
        <is>
          <t>HALFSIM TIGO</t>
        </is>
      </c>
      <c r="F797" t="n">
        <v>10</v>
      </c>
      <c r="G797" t="n">
        <v>6.8999999999999995</v>
      </c>
      <c r="H797" t="inlineStr">
        <is>
          <t>0.69</t>
        </is>
      </c>
      <c r="J797" t="inlineStr">
        <is>
          <t>MA DE LOURDES CANIZARES_ MEDIKEN MEDICINA INTEGRAL KENNEDY S A</t>
        </is>
      </c>
      <c r="K797" t="inlineStr">
        <is>
          <t>0990631425001</t>
        </is>
      </c>
      <c r="M797" t="inlineStr">
        <is>
          <t>BTB</t>
        </is>
      </c>
      <c r="N797" t="inlineStr">
        <is>
          <t>CANAL DIRECTO</t>
        </is>
      </c>
    </row>
    <row r="798">
      <c r="A798" t="inlineStr">
        <is>
          <t>14/10/2026</t>
        </is>
      </c>
      <c r="B798" t="inlineStr">
        <is>
          <t>16505311</t>
        </is>
      </c>
      <c r="C798" t="inlineStr">
        <is>
          <t>163140</t>
        </is>
      </c>
      <c r="D798" t="inlineStr">
        <is>
          <t>163140</t>
        </is>
      </c>
      <c r="E798" t="inlineStr">
        <is>
          <t>HALFSIM TIGO</t>
        </is>
      </c>
      <c r="F798" t="n">
        <v>1</v>
      </c>
      <c r="G798" t="n">
        <v>0.69</v>
      </c>
      <c r="H798" t="inlineStr">
        <is>
          <t>0.69</t>
        </is>
      </c>
      <c r="J798" t="inlineStr">
        <is>
          <t>PRISCILA RUGEL JOHNNY BARBECH_HOTEL COLON GUAYAQUIL S A</t>
        </is>
      </c>
      <c r="K798" t="inlineStr">
        <is>
          <t>0991189432001</t>
        </is>
      </c>
      <c r="M798" t="inlineStr">
        <is>
          <t>BTB</t>
        </is>
      </c>
      <c r="N798" t="inlineStr">
        <is>
          <t>CANAL DIRECTO</t>
        </is>
      </c>
    </row>
    <row r="799">
      <c r="A799" t="inlineStr">
        <is>
          <t>14/10/2026</t>
        </is>
      </c>
      <c r="B799" t="inlineStr">
        <is>
          <t>16505314</t>
        </is>
      </c>
      <c r="C799" t="inlineStr">
        <is>
          <t>163140</t>
        </is>
      </c>
      <c r="D799" t="inlineStr">
        <is>
          <t>163140</t>
        </is>
      </c>
      <c r="E799" t="inlineStr">
        <is>
          <t>HALFSIM TIGO</t>
        </is>
      </c>
      <c r="F799" t="n">
        <v>1</v>
      </c>
      <c r="G799" t="n">
        <v>0.69</v>
      </c>
      <c r="H799" t="inlineStr">
        <is>
          <t>0.69</t>
        </is>
      </c>
      <c r="J799" t="inlineStr">
        <is>
          <t>MONICA MAGDALENA FONSECA_MILAGRO NUMEROS</t>
        </is>
      </c>
      <c r="K799" t="inlineStr">
        <is>
          <t>0992996420001</t>
        </is>
      </c>
      <c r="M799" t="inlineStr">
        <is>
          <t>BTB</t>
        </is>
      </c>
      <c r="N799" t="inlineStr">
        <is>
          <t>CANAL DIRECTO</t>
        </is>
      </c>
    </row>
    <row r="800">
      <c r="A800" t="inlineStr">
        <is>
          <t>14/10/2026</t>
        </is>
      </c>
      <c r="B800" t="inlineStr">
        <is>
          <t>16505324</t>
        </is>
      </c>
      <c r="C800" t="inlineStr">
        <is>
          <t>163140</t>
        </is>
      </c>
      <c r="D800" t="inlineStr">
        <is>
          <t>163140</t>
        </is>
      </c>
      <c r="E800" t="inlineStr">
        <is>
          <t>HALFSIM TIGO</t>
        </is>
      </c>
      <c r="F800" t="n">
        <v>1</v>
      </c>
      <c r="G800" t="n">
        <v>0.69</v>
      </c>
      <c r="H800" t="inlineStr">
        <is>
          <t>0.69</t>
        </is>
      </c>
      <c r="J800" t="inlineStr">
        <is>
          <t>MARTHA TAMAYO VERA_ASOCIACION DE EMPLEADOS DEL BANCO DEL PICHINCHA</t>
        </is>
      </c>
      <c r="K800" t="inlineStr">
        <is>
          <t>0992117699001</t>
        </is>
      </c>
      <c r="M800" t="inlineStr">
        <is>
          <t>BTB</t>
        </is>
      </c>
      <c r="N800" t="inlineStr">
        <is>
          <t>CANAL DIRECTO</t>
        </is>
      </c>
    </row>
    <row r="801">
      <c r="A801" t="inlineStr">
        <is>
          <t>14/10/2026</t>
        </is>
      </c>
      <c r="B801" t="inlineStr">
        <is>
          <t>16505389</t>
        </is>
      </c>
      <c r="C801" t="inlineStr">
        <is>
          <t>163140</t>
        </is>
      </c>
      <c r="D801" t="inlineStr">
        <is>
          <t>163140</t>
        </is>
      </c>
      <c r="E801" t="inlineStr">
        <is>
          <t>HALFSIM TIGO</t>
        </is>
      </c>
      <c r="F801" t="n">
        <v>1</v>
      </c>
      <c r="G801" t="n">
        <v>0.69</v>
      </c>
      <c r="H801" t="inlineStr">
        <is>
          <t>0.69</t>
        </is>
      </c>
      <c r="J801" t="inlineStr">
        <is>
          <t>MARIA GABRIELA QUISHPE LOPEZ_MARIA DE LOS ANGELES CUESTA BUCHELI</t>
        </is>
      </c>
      <c r="K801" t="inlineStr">
        <is>
          <t>1717524860001</t>
        </is>
      </c>
      <c r="M801" t="inlineStr">
        <is>
          <t>BTB</t>
        </is>
      </c>
      <c r="N801" t="inlineStr">
        <is>
          <t>CANAL DIRECTO</t>
        </is>
      </c>
    </row>
    <row r="802">
      <c r="A802" t="inlineStr">
        <is>
          <t>14/10/2026</t>
        </is>
      </c>
      <c r="B802" t="inlineStr">
        <is>
          <t>16505399</t>
        </is>
      </c>
      <c r="C802" t="inlineStr">
        <is>
          <t>163140</t>
        </is>
      </c>
      <c r="D802" t="inlineStr">
        <is>
          <t>163140</t>
        </is>
      </c>
      <c r="E802" t="inlineStr">
        <is>
          <t>HALFSIM TIGO</t>
        </is>
      </c>
      <c r="F802" t="n">
        <v>5</v>
      </c>
      <c r="G802" t="n">
        <v>3.4499999999999997</v>
      </c>
      <c r="H802" t="inlineStr">
        <is>
          <t>0.69</t>
        </is>
      </c>
      <c r="J802" t="inlineStr">
        <is>
          <t>SILVIA JIMENA CESPEDES TERAN_BANCO DEL LITORAL S A</t>
        </is>
      </c>
      <c r="K802" t="inlineStr">
        <is>
          <t>0990981930001</t>
        </is>
      </c>
      <c r="M802" t="inlineStr">
        <is>
          <t>BTB</t>
        </is>
      </c>
      <c r="N802" t="inlineStr">
        <is>
          <t>CANAL DIRECTO</t>
        </is>
      </c>
    </row>
    <row r="803">
      <c r="A803" t="inlineStr">
        <is>
          <t>14/10/2026</t>
        </is>
      </c>
      <c r="B803" t="inlineStr">
        <is>
          <t>16505405</t>
        </is>
      </c>
      <c r="C803" t="inlineStr">
        <is>
          <t>163140</t>
        </is>
      </c>
      <c r="D803" t="inlineStr">
        <is>
          <t>163140</t>
        </is>
      </c>
      <c r="E803" t="inlineStr">
        <is>
          <t>HALFSIM TIGO</t>
        </is>
      </c>
      <c r="F803" t="n">
        <v>2</v>
      </c>
      <c r="G803" t="n">
        <v>1.38</v>
      </c>
      <c r="H803" t="inlineStr">
        <is>
          <t>0.69</t>
        </is>
      </c>
      <c r="J803" t="inlineStr">
        <is>
          <t>MARIA JOSE REYES ALVAREZ _ASOCIACION DE EMPLEADOS HOSPITAL ENRIQUE GARCES</t>
        </is>
      </c>
      <c r="K803" t="inlineStr">
        <is>
          <t>1791709276001</t>
        </is>
      </c>
      <c r="M803" t="inlineStr">
        <is>
          <t>BTB</t>
        </is>
      </c>
      <c r="N803" t="inlineStr">
        <is>
          <t>CANAL DIRECTO</t>
        </is>
      </c>
    </row>
    <row r="804">
      <c r="A804" t="inlineStr">
        <is>
          <t>15/10/2026</t>
        </is>
      </c>
      <c r="B804" t="inlineStr">
        <is>
          <t>16502396</t>
        </is>
      </c>
      <c r="C804" t="inlineStr">
        <is>
          <t>163140</t>
        </is>
      </c>
      <c r="D804" t="inlineStr">
        <is>
          <t>163140</t>
        </is>
      </c>
      <c r="E804" t="inlineStr">
        <is>
          <t>HALFSIM TIGO</t>
        </is>
      </c>
      <c r="F804" t="n">
        <v>1</v>
      </c>
      <c r="G804" t="n">
        <v>0.69</v>
      </c>
      <c r="H804" t="inlineStr">
        <is>
          <t>0.69</t>
        </is>
      </c>
      <c r="J804" t="inlineStr">
        <is>
          <t>CAIZA CAIZA EDWIN PATRICIO_CAIZA CAIZA EDWIN PATRICIO</t>
        </is>
      </c>
      <c r="K804" t="inlineStr">
        <is>
          <t>1713305843001</t>
        </is>
      </c>
      <c r="M804" t="inlineStr">
        <is>
          <t>BTB</t>
        </is>
      </c>
      <c r="N804" t="inlineStr">
        <is>
          <t>CANAL DIRECTO</t>
        </is>
      </c>
    </row>
    <row r="805">
      <c r="A805" t="inlineStr">
        <is>
          <t>15/10/2026</t>
        </is>
      </c>
      <c r="B805" t="inlineStr">
        <is>
          <t>16503377</t>
        </is>
      </c>
      <c r="C805" t="inlineStr">
        <is>
          <t>163140</t>
        </is>
      </c>
      <c r="D805" t="inlineStr">
        <is>
          <t>163140</t>
        </is>
      </c>
      <c r="E805" t="inlineStr">
        <is>
          <t>HALFSIM TIGO</t>
        </is>
      </c>
      <c r="F805" t="n">
        <v>1</v>
      </c>
      <c r="G805" t="n">
        <v>0.69</v>
      </c>
      <c r="H805" t="inlineStr">
        <is>
          <t>0.69</t>
        </is>
      </c>
      <c r="J805" t="inlineStr">
        <is>
          <t>ZUNIGA ARAUZ ROBERTO ANDRES_ZUNIGA ARAUZ ROBERTO ANDRES</t>
        </is>
      </c>
      <c r="K805" t="inlineStr">
        <is>
          <t>1717094294001</t>
        </is>
      </c>
      <c r="M805" t="inlineStr">
        <is>
          <t>BTB</t>
        </is>
      </c>
      <c r="N805" t="inlineStr">
        <is>
          <t>CANAL DIRECTO</t>
        </is>
      </c>
    </row>
    <row r="806">
      <c r="A806" t="inlineStr">
        <is>
          <t>15/10/2026</t>
        </is>
      </c>
      <c r="B806" t="inlineStr">
        <is>
          <t>16503364</t>
        </is>
      </c>
      <c r="C806" t="inlineStr">
        <is>
          <t>163140</t>
        </is>
      </c>
      <c r="D806" t="inlineStr">
        <is>
          <t>163140</t>
        </is>
      </c>
      <c r="E806" t="inlineStr">
        <is>
          <t>HALFSIM TIGO</t>
        </is>
      </c>
      <c r="F806" t="n">
        <v>1</v>
      </c>
      <c r="G806" t="n">
        <v>0.69</v>
      </c>
      <c r="H806" t="inlineStr">
        <is>
          <t>0.69</t>
        </is>
      </c>
      <c r="J806" t="inlineStr">
        <is>
          <t>ELIAS JOSE SANCHEZ ROSADO_ESRFINANCIAL Y ACCOUNTING SERVICES S A S</t>
        </is>
      </c>
      <c r="K806" t="inlineStr">
        <is>
          <t>0993397353001</t>
        </is>
      </c>
      <c r="M806" t="inlineStr">
        <is>
          <t>BTB</t>
        </is>
      </c>
      <c r="N806" t="inlineStr">
        <is>
          <t>CANAL DIRECTO</t>
        </is>
      </c>
    </row>
    <row r="807">
      <c r="A807" t="inlineStr">
        <is>
          <t>15/10/2026</t>
        </is>
      </c>
      <c r="B807" t="inlineStr">
        <is>
          <t>16503606</t>
        </is>
      </c>
      <c r="C807" t="inlineStr">
        <is>
          <t>163140</t>
        </is>
      </c>
      <c r="D807" t="inlineStr">
        <is>
          <t>163140</t>
        </is>
      </c>
      <c r="E807" t="inlineStr">
        <is>
          <t>HALFSIM TIGO</t>
        </is>
      </c>
      <c r="F807" t="n">
        <v>1</v>
      </c>
      <c r="G807" t="n">
        <v>0.69</v>
      </c>
      <c r="H807" t="inlineStr">
        <is>
          <t>0.69</t>
        </is>
      </c>
      <c r="J807" t="inlineStr">
        <is>
          <t>MARMOL CRISTINA_ BANCO PICHINCHA CA</t>
        </is>
      </c>
      <c r="K807" t="inlineStr">
        <is>
          <t>1791297121001</t>
        </is>
      </c>
      <c r="M807" t="inlineStr">
        <is>
          <t>BTB</t>
        </is>
      </c>
      <c r="N807" t="inlineStr">
        <is>
          <t>CANAL DIRECTO</t>
        </is>
      </c>
    </row>
    <row r="808">
      <c r="A808" t="inlineStr">
        <is>
          <t>15/10/2026</t>
        </is>
      </c>
      <c r="B808" t="inlineStr">
        <is>
          <t>16503544</t>
        </is>
      </c>
      <c r="C808" t="inlineStr">
        <is>
          <t>163140</t>
        </is>
      </c>
      <c r="D808" t="inlineStr">
        <is>
          <t>163140</t>
        </is>
      </c>
      <c r="E808" t="inlineStr">
        <is>
          <t>HALFSIM TIGO</t>
        </is>
      </c>
      <c r="F808" t="n">
        <v>1</v>
      </c>
      <c r="G808" t="n">
        <v>0.69</v>
      </c>
      <c r="H808" t="inlineStr">
        <is>
          <t>0.69</t>
        </is>
      </c>
      <c r="J808" t="inlineStr">
        <is>
          <t>JESSENIA RIVERA_CONTROLPLAGX S A</t>
        </is>
      </c>
      <c r="K808" t="inlineStr">
        <is>
          <t>1792810027001</t>
        </is>
      </c>
      <c r="M808" t="inlineStr">
        <is>
          <t>BTB</t>
        </is>
      </c>
      <c r="N808" t="inlineStr">
        <is>
          <t>CANAL DIRECTO</t>
        </is>
      </c>
    </row>
    <row r="809">
      <c r="A809" t="inlineStr">
        <is>
          <t>15/10/2026</t>
        </is>
      </c>
      <c r="B809" t="inlineStr">
        <is>
          <t>16504728</t>
        </is>
      </c>
      <c r="C809" t="inlineStr">
        <is>
          <t>162141</t>
        </is>
      </c>
      <c r="D809" t="inlineStr">
        <is>
          <t>162141</t>
        </is>
      </c>
      <c r="E809" t="inlineStr">
        <is>
          <t>HALFSIM MOVISTAR</t>
        </is>
      </c>
      <c r="F809" t="n">
        <v>0</v>
      </c>
      <c r="G809" t="n">
        <v>0</v>
      </c>
      <c r="H809" t="inlineStr">
        <is>
          <t>0.69</t>
        </is>
      </c>
      <c r="J809" t="inlineStr">
        <is>
          <t>MARTHA TAMAYO VERA_ ASOCIACION DE EMPLEADOS DEL BANCO DEL PICHINCHA</t>
        </is>
      </c>
      <c r="K809" t="inlineStr">
        <is>
          <t>0992117699001</t>
        </is>
      </c>
      <c r="M809" t="inlineStr">
        <is>
          <t>BTB</t>
        </is>
      </c>
      <c r="N809" t="inlineStr">
        <is>
          <t>CANAL DIRECTO</t>
        </is>
      </c>
    </row>
    <row r="810">
      <c r="A810" t="inlineStr">
        <is>
          <t>15/10/2026</t>
        </is>
      </c>
      <c r="B810" t="inlineStr">
        <is>
          <t>2026-08331</t>
        </is>
      </c>
      <c r="C810" t="inlineStr">
        <is>
          <t>163140</t>
        </is>
      </c>
      <c r="D810" t="inlineStr">
        <is>
          <t>163140</t>
        </is>
      </c>
      <c r="E810" t="inlineStr">
        <is>
          <t>HALFSIM TIGO</t>
        </is>
      </c>
      <c r="F810" t="n">
        <v>300</v>
      </c>
      <c r="G810" t="n">
        <v>206.99999999999997</v>
      </c>
      <c r="H810" t="inlineStr">
        <is>
          <t>0.69</t>
        </is>
      </c>
      <c r="J810" t="inlineStr">
        <is>
          <t>SMARTPHONELANDIA S.A.S. (LA LIBERTAD)_JOSIELY GILER</t>
        </is>
      </c>
      <c r="K810" t="inlineStr">
        <is>
          <t>0918930660</t>
        </is>
      </c>
      <c r="M810" t="inlineStr">
        <is>
          <t>INDIRECTO</t>
        </is>
      </c>
      <c r="N810" t="inlineStr">
        <is>
          <t>CANAL INDIRECTO</t>
        </is>
      </c>
    </row>
    <row r="811">
      <c r="A811" t="inlineStr">
        <is>
          <t>15/10/2026</t>
        </is>
      </c>
      <c r="B811" t="inlineStr">
        <is>
          <t>2026-08331</t>
        </is>
      </c>
      <c r="C811" t="inlineStr">
        <is>
          <t>163141</t>
        </is>
      </c>
      <c r="D811" t="inlineStr">
        <is>
          <t>163141</t>
        </is>
      </c>
      <c r="E811" t="inlineStr">
        <is>
          <t>ESIM TIGO DIGITAL</t>
        </is>
      </c>
      <c r="F811" t="n">
        <v>50</v>
      </c>
      <c r="G811" t="n">
        <v>10.5</v>
      </c>
      <c r="H811" t="inlineStr">
        <is>
          <t>0.21</t>
        </is>
      </c>
      <c r="J811" t="inlineStr">
        <is>
          <t>SMARTPHONELANDIA S.A.S. (LA LIBERTAD)_JOSIELY GILER</t>
        </is>
      </c>
      <c r="K811" t="inlineStr">
        <is>
          <t>0918930660</t>
        </is>
      </c>
      <c r="M811" t="inlineStr">
        <is>
          <t>INDIRECTO</t>
        </is>
      </c>
      <c r="N811" t="inlineStr">
        <is>
          <t>CANAL INDIRECTO</t>
        </is>
      </c>
    </row>
    <row r="812">
      <c r="A812" t="inlineStr">
        <is>
          <t>15/10/2026</t>
        </is>
      </c>
      <c r="B812" t="inlineStr">
        <is>
          <t>16504907</t>
        </is>
      </c>
      <c r="C812" t="inlineStr">
        <is>
          <t>162141</t>
        </is>
      </c>
      <c r="D812" t="inlineStr">
        <is>
          <t>162141</t>
        </is>
      </c>
      <c r="E812" t="inlineStr">
        <is>
          <t>HALFSIM MOVISTAR</t>
        </is>
      </c>
      <c r="F812" t="n">
        <v>0</v>
      </c>
      <c r="G812" t="n">
        <v>0</v>
      </c>
      <c r="H812" t="inlineStr">
        <is>
          <t>0.69</t>
        </is>
      </c>
      <c r="J812" t="inlineStr">
        <is>
          <t>CARMEN ABELINA UCHO VILLA Y O VICTOR SANTIAGO BUESTAN GORDILLO</t>
        </is>
      </c>
      <c r="K812" t="inlineStr">
        <is>
          <t>0190160289001</t>
        </is>
      </c>
      <c r="M812" t="inlineStr">
        <is>
          <t>BTB</t>
        </is>
      </c>
      <c r="N812" t="inlineStr">
        <is>
          <t>CANAL DIRECTO</t>
        </is>
      </c>
    </row>
    <row r="813">
      <c r="A813" t="inlineStr">
        <is>
          <t>15/10/2026</t>
        </is>
      </c>
      <c r="B813" t="inlineStr">
        <is>
          <t>2026-08371</t>
        </is>
      </c>
      <c r="C813" t="inlineStr">
        <is>
          <t>163140_02</t>
        </is>
      </c>
      <c r="D813" t="inlineStr">
        <is>
          <t>163140</t>
        </is>
      </c>
      <c r="E813" t="inlineStr">
        <is>
          <t>HALFSIM TIGO CHIP PREPAGO $3 WP NUMERADO</t>
        </is>
      </c>
      <c r="F813" t="n">
        <v>100</v>
      </c>
      <c r="G813" t="n">
        <v>69</v>
      </c>
      <c r="H813" t="inlineStr">
        <is>
          <t>0.69</t>
        </is>
      </c>
      <c r="J813" t="inlineStr">
        <is>
          <t>SMARTPHONELANDIA S.A.S. (LA LIBERTAD)_JOSIELY GILER</t>
        </is>
      </c>
      <c r="K813" t="inlineStr">
        <is>
          <t>0918930660</t>
        </is>
      </c>
      <c r="M813" t="inlineStr">
        <is>
          <t>INDIRECTO</t>
        </is>
      </c>
      <c r="N813" t="inlineStr">
        <is>
          <t>CANAL INDIRECTO</t>
        </is>
      </c>
    </row>
    <row r="814">
      <c r="A814" t="inlineStr">
        <is>
          <t>15/10/2026</t>
        </is>
      </c>
      <c r="B814" t="inlineStr">
        <is>
          <t>16504955</t>
        </is>
      </c>
      <c r="C814" t="inlineStr">
        <is>
          <t>163140</t>
        </is>
      </c>
      <c r="D814" t="inlineStr">
        <is>
          <t>163140</t>
        </is>
      </c>
      <c r="E814" t="inlineStr">
        <is>
          <t>HALFSIM TIGO</t>
        </is>
      </c>
      <c r="F814" t="n">
        <v>2</v>
      </c>
      <c r="G814" t="n">
        <v>1.38</v>
      </c>
      <c r="H814" t="inlineStr">
        <is>
          <t>0.69</t>
        </is>
      </c>
      <c r="J814" t="inlineStr">
        <is>
          <t>PAOLA CAROLINA GUTIERREZ FIERRO _ PAOLA CAROLINA GUTIERREZ FIERRO</t>
        </is>
      </c>
      <c r="K814" t="inlineStr">
        <is>
          <t>1716603202001</t>
        </is>
      </c>
      <c r="M814" t="inlineStr">
        <is>
          <t>BTB</t>
        </is>
      </c>
      <c r="N814" t="inlineStr">
        <is>
          <t>CANAL DIRECTO</t>
        </is>
      </c>
    </row>
    <row r="815">
      <c r="A815" t="inlineStr">
        <is>
          <t>15/10/2026</t>
        </is>
      </c>
      <c r="B815" t="inlineStr">
        <is>
          <t>16504955</t>
        </is>
      </c>
      <c r="C815" t="inlineStr">
        <is>
          <t>163141</t>
        </is>
      </c>
      <c r="D815" t="inlineStr">
        <is>
          <t>163141</t>
        </is>
      </c>
      <c r="E815" t="inlineStr">
        <is>
          <t>ESIM TIGO DIGITAL</t>
        </is>
      </c>
      <c r="F815" t="n">
        <v>0</v>
      </c>
      <c r="G815" t="n">
        <v>0</v>
      </c>
      <c r="H815" t="inlineStr">
        <is>
          <t>0.21</t>
        </is>
      </c>
      <c r="J815" t="inlineStr">
        <is>
          <t>PAOLA CAROLINA GUTIERREZ FIERRO _ PAOLA CAROLINA GUTIERREZ FIERRO</t>
        </is>
      </c>
      <c r="K815" t="inlineStr">
        <is>
          <t>1716603202001</t>
        </is>
      </c>
      <c r="M815" t="inlineStr">
        <is>
          <t>BTB</t>
        </is>
      </c>
      <c r="N815" t="inlineStr">
        <is>
          <t>CANAL DIRECTO</t>
        </is>
      </c>
    </row>
    <row r="816">
      <c r="A816" t="inlineStr">
        <is>
          <t>15/10/2026</t>
        </is>
      </c>
      <c r="B816" t="inlineStr">
        <is>
          <t>16504982</t>
        </is>
      </c>
      <c r="C816" t="inlineStr">
        <is>
          <t>163140</t>
        </is>
      </c>
      <c r="D816" t="inlineStr">
        <is>
          <t>163140</t>
        </is>
      </c>
      <c r="E816" t="inlineStr">
        <is>
          <t>HALFSIM TIGO</t>
        </is>
      </c>
      <c r="F816" t="n">
        <v>1</v>
      </c>
      <c r="G816" t="n">
        <v>0.69</v>
      </c>
      <c r="H816" t="inlineStr">
        <is>
          <t>0.69</t>
        </is>
      </c>
      <c r="J816" t="inlineStr">
        <is>
          <t>CARDENAS BERZOSA BAYRON ALEXIS_CARDENAS BERZOSA BAYRON ALEXIS</t>
        </is>
      </c>
      <c r="K816" t="inlineStr">
        <is>
          <t>0105893390001</t>
        </is>
      </c>
      <c r="M816" t="inlineStr">
        <is>
          <t>BTB</t>
        </is>
      </c>
      <c r="N816" t="inlineStr">
        <is>
          <t>CANAL DIRECTO</t>
        </is>
      </c>
    </row>
    <row r="817">
      <c r="A817" t="inlineStr">
        <is>
          <t>15/10/2026</t>
        </is>
      </c>
      <c r="B817" t="inlineStr">
        <is>
          <t>16505132</t>
        </is>
      </c>
      <c r="C817" t="inlineStr">
        <is>
          <t>163140</t>
        </is>
      </c>
      <c r="D817" t="inlineStr">
        <is>
          <t>163140</t>
        </is>
      </c>
      <c r="E817" t="inlineStr">
        <is>
          <t>HALFSIM TIGO</t>
        </is>
      </c>
      <c r="F817" t="n">
        <v>1</v>
      </c>
      <c r="G817" t="n">
        <v>0.69</v>
      </c>
      <c r="H817" t="inlineStr">
        <is>
          <t>0.69</t>
        </is>
      </c>
      <c r="J817" t="inlineStr">
        <is>
          <t>FERNANDA GUAMAN_LUIS IVAN CADENA CAIZAPASTO</t>
        </is>
      </c>
      <c r="K817" t="inlineStr">
        <is>
          <t>1705249694001</t>
        </is>
      </c>
      <c r="M817" t="inlineStr">
        <is>
          <t>BTB</t>
        </is>
      </c>
      <c r="N817" t="inlineStr">
        <is>
          <t>CANAL DIRECTO</t>
        </is>
      </c>
    </row>
    <row r="818">
      <c r="A818" t="inlineStr">
        <is>
          <t>15/10/2026</t>
        </is>
      </c>
      <c r="B818" t="inlineStr">
        <is>
          <t>16505226</t>
        </is>
      </c>
      <c r="C818" t="inlineStr">
        <is>
          <t>163140</t>
        </is>
      </c>
      <c r="D818" t="inlineStr">
        <is>
          <t>163140</t>
        </is>
      </c>
      <c r="E818" t="inlineStr">
        <is>
          <t>HALFSIM TIGO</t>
        </is>
      </c>
      <c r="F818" t="n">
        <v>1</v>
      </c>
      <c r="G818" t="n">
        <v>0.69</v>
      </c>
      <c r="H818" t="inlineStr">
        <is>
          <t>0.69</t>
        </is>
      </c>
      <c r="J818" t="inlineStr">
        <is>
          <t>LOGRONO ARGUELLO JIMMY JOHN_LOGRONO ARGUELLO JIMMY JOHN</t>
        </is>
      </c>
      <c r="K818" t="inlineStr">
        <is>
          <t>0914079850001</t>
        </is>
      </c>
      <c r="M818" t="inlineStr">
        <is>
          <t>BTB</t>
        </is>
      </c>
      <c r="N818" t="inlineStr">
        <is>
          <t>CANAL DIRECTO</t>
        </is>
      </c>
    </row>
    <row r="819">
      <c r="A819" t="inlineStr">
        <is>
          <t>15/10/2026</t>
        </is>
      </c>
      <c r="B819" t="inlineStr">
        <is>
          <t>16505152</t>
        </is>
      </c>
      <c r="C819" t="inlineStr">
        <is>
          <t>163140</t>
        </is>
      </c>
      <c r="D819" t="inlineStr">
        <is>
          <t>163140</t>
        </is>
      </c>
      <c r="E819" t="inlineStr">
        <is>
          <t>HALFSIM TIGO</t>
        </is>
      </c>
      <c r="F819" t="n">
        <v>30</v>
      </c>
      <c r="G819" t="n">
        <v>20.7</v>
      </c>
      <c r="H819" t="inlineStr">
        <is>
          <t>0.69</t>
        </is>
      </c>
      <c r="J819" t="inlineStr">
        <is>
          <t>VALERIA INIGUEZ_CORPORACION FAVORITA C A</t>
        </is>
      </c>
      <c r="K819" t="inlineStr">
        <is>
          <t>1790016919001</t>
        </is>
      </c>
      <c r="M819" t="inlineStr">
        <is>
          <t>BTB</t>
        </is>
      </c>
      <c r="N819" t="inlineStr">
        <is>
          <t>CANAL DIRECTO</t>
        </is>
      </c>
    </row>
    <row r="820">
      <c r="A820" t="inlineStr">
        <is>
          <t>15/10/2026</t>
        </is>
      </c>
      <c r="B820" t="inlineStr">
        <is>
          <t>16505294</t>
        </is>
      </c>
      <c r="C820" t="inlineStr">
        <is>
          <t>163140</t>
        </is>
      </c>
      <c r="D820" t="inlineStr">
        <is>
          <t>163140</t>
        </is>
      </c>
      <c r="E820" t="inlineStr">
        <is>
          <t>HALFSIM TIGO</t>
        </is>
      </c>
      <c r="F820" t="n">
        <v>1</v>
      </c>
      <c r="G820" t="n">
        <v>0.69</v>
      </c>
      <c r="H820" t="inlineStr">
        <is>
          <t>0.69</t>
        </is>
      </c>
      <c r="J820" t="inlineStr">
        <is>
          <t>ANDREA INIGUEZ_ CORPORACION FAVORITA C A</t>
        </is>
      </c>
      <c r="K820" t="inlineStr">
        <is>
          <t>1790016919001</t>
        </is>
      </c>
      <c r="M820" t="inlineStr">
        <is>
          <t>BTB</t>
        </is>
      </c>
      <c r="N820" t="inlineStr">
        <is>
          <t>CANAL DIRECTO</t>
        </is>
      </c>
    </row>
    <row r="821">
      <c r="A821" t="inlineStr">
        <is>
          <t>15/10/2026</t>
        </is>
      </c>
      <c r="B821" t="inlineStr">
        <is>
          <t>2026-08408</t>
        </is>
      </c>
      <c r="C821" t="inlineStr">
        <is>
          <t>162699</t>
        </is>
      </c>
      <c r="D821" t="inlineStr">
        <is>
          <t>162699</t>
        </is>
      </c>
      <c r="E821" t="inlineStr">
        <is>
          <t>HALFSIM KITE M2M 4FF DEVICE CONTROL TELEFONICA</t>
        </is>
      </c>
      <c r="F821" t="n">
        <v>50</v>
      </c>
      <c r="G821" t="n">
        <v>34.5</v>
      </c>
      <c r="H821" t="inlineStr">
        <is>
          <t>0.69</t>
        </is>
      </c>
      <c r="J821" t="inlineStr">
        <is>
          <t>INARPI S.A._GREGORY BARCIA</t>
        </is>
      </c>
      <c r="K821" t="inlineStr">
        <is>
          <t>0992247932001</t>
        </is>
      </c>
      <c r="M821" t="inlineStr">
        <is>
          <t>INDIRECTO</t>
        </is>
      </c>
      <c r="N821" t="inlineStr">
        <is>
          <t>CANAL INDIRECTO</t>
        </is>
      </c>
    </row>
    <row r="822">
      <c r="A822" t="inlineStr">
        <is>
          <t>15/10/2026</t>
        </is>
      </c>
      <c r="B822" t="inlineStr">
        <is>
          <t>16505337</t>
        </is>
      </c>
      <c r="C822" t="inlineStr">
        <is>
          <t>163140</t>
        </is>
      </c>
      <c r="D822" t="inlineStr">
        <is>
          <t>163140</t>
        </is>
      </c>
      <c r="E822" t="inlineStr">
        <is>
          <t>HALFSIM TIGO</t>
        </is>
      </c>
      <c r="F822" t="n">
        <v>1</v>
      </c>
      <c r="G822" t="n">
        <v>0.69</v>
      </c>
      <c r="H822" t="inlineStr">
        <is>
          <t>0.69</t>
        </is>
      </c>
      <c r="J822" t="inlineStr">
        <is>
          <t>YANNUZZELLI RIVADENEIRA TONIO ANDRES_YANNUZZELLI RIVADENEIRA TONIO ANDRES</t>
        </is>
      </c>
      <c r="K822" t="inlineStr">
        <is>
          <t>0950473504001</t>
        </is>
      </c>
      <c r="M822" t="inlineStr">
        <is>
          <t>BTB</t>
        </is>
      </c>
      <c r="N822" t="inlineStr">
        <is>
          <t>CANAL DIRECTO</t>
        </is>
      </c>
    </row>
    <row r="823">
      <c r="A823" t="inlineStr">
        <is>
          <t>15/10/2026</t>
        </is>
      </c>
      <c r="B823" t="inlineStr">
        <is>
          <t>16505339</t>
        </is>
      </c>
      <c r="C823" t="inlineStr">
        <is>
          <t>163140</t>
        </is>
      </c>
      <c r="D823" t="inlineStr">
        <is>
          <t>163140</t>
        </is>
      </c>
      <c r="E823" t="inlineStr">
        <is>
          <t>HALFSIM TIGO</t>
        </is>
      </c>
      <c r="F823" t="n">
        <v>1</v>
      </c>
      <c r="G823" t="n">
        <v>0.69</v>
      </c>
      <c r="H823" t="inlineStr">
        <is>
          <t>0.69</t>
        </is>
      </c>
      <c r="J823" t="inlineStr">
        <is>
          <t>MARTINEZ GONZALES MAYRA MADELINE_MARTINEZ GONZALES MAYRA MADELINE</t>
        </is>
      </c>
      <c r="K823" t="inlineStr">
        <is>
          <t>0804988855001</t>
        </is>
      </c>
      <c r="M823" t="inlineStr">
        <is>
          <t>BTB</t>
        </is>
      </c>
      <c r="N823" t="inlineStr">
        <is>
          <t>CANAL DIRECTO</t>
        </is>
      </c>
    </row>
    <row r="824">
      <c r="A824" t="inlineStr">
        <is>
          <t>15/10/2026</t>
        </is>
      </c>
      <c r="B824" t="inlineStr">
        <is>
          <t>16505340</t>
        </is>
      </c>
      <c r="C824" t="inlineStr">
        <is>
          <t>163140</t>
        </is>
      </c>
      <c r="D824" t="inlineStr">
        <is>
          <t>163140</t>
        </is>
      </c>
      <c r="E824" t="inlineStr">
        <is>
          <t>HALFSIM TIGO</t>
        </is>
      </c>
      <c r="F824" t="n">
        <v>1</v>
      </c>
      <c r="G824" t="n">
        <v>0.69</v>
      </c>
      <c r="H824" t="inlineStr">
        <is>
          <t>0.69</t>
        </is>
      </c>
      <c r="J824" t="inlineStr">
        <is>
          <t>FAJARDO QUINONEZ STEFANIA ROSELLA_FAJARDO QUINONEZ STEFANIA ROSELLA</t>
        </is>
      </c>
      <c r="K824" t="inlineStr">
        <is>
          <t>2000081428001</t>
        </is>
      </c>
      <c r="M824" t="inlineStr">
        <is>
          <t>BTB</t>
        </is>
      </c>
      <c r="N824" t="inlineStr">
        <is>
          <t>CANAL DIRECTO</t>
        </is>
      </c>
    </row>
    <row r="825">
      <c r="A825" t="inlineStr">
        <is>
          <t>15/10/2026</t>
        </is>
      </c>
      <c r="B825" t="inlineStr">
        <is>
          <t>16505342</t>
        </is>
      </c>
      <c r="C825" t="inlineStr">
        <is>
          <t>163140</t>
        </is>
      </c>
      <c r="D825" t="inlineStr">
        <is>
          <t>163140</t>
        </is>
      </c>
      <c r="E825" t="inlineStr">
        <is>
          <t>HALFSIM TIGO</t>
        </is>
      </c>
      <c r="F825" t="n">
        <v>1</v>
      </c>
      <c r="G825" t="n">
        <v>0.69</v>
      </c>
      <c r="H825" t="inlineStr">
        <is>
          <t>0.69</t>
        </is>
      </c>
      <c r="J825" t="inlineStr">
        <is>
          <t>ORTEGA LIMONES ALBERTO RODOLFO_ORTEGA LIMONES ALBERTO RODOLFO</t>
        </is>
      </c>
      <c r="K825" t="inlineStr">
        <is>
          <t>0929368850001</t>
        </is>
      </c>
      <c r="M825" t="inlineStr">
        <is>
          <t>BTB</t>
        </is>
      </c>
      <c r="N825" t="inlineStr">
        <is>
          <t>CANAL DIRECTO</t>
        </is>
      </c>
    </row>
    <row r="826">
      <c r="A826" t="inlineStr">
        <is>
          <t>15/10/2026</t>
        </is>
      </c>
      <c r="B826" t="inlineStr">
        <is>
          <t>16505343</t>
        </is>
      </c>
      <c r="C826" t="inlineStr">
        <is>
          <t>163140</t>
        </is>
      </c>
      <c r="D826" t="inlineStr">
        <is>
          <t>163140</t>
        </is>
      </c>
      <c r="E826" t="inlineStr">
        <is>
          <t>HALFSIM TIGO</t>
        </is>
      </c>
      <c r="F826" t="n">
        <v>2</v>
      </c>
      <c r="G826" t="n">
        <v>1.38</v>
      </c>
      <c r="H826" t="inlineStr">
        <is>
          <t>0.69</t>
        </is>
      </c>
      <c r="J826" t="inlineStr">
        <is>
          <t>JIMA SARANGO FRANKLIN FRANCISCO_JIMA SARANGO FRANKLIN FRANCISCO</t>
        </is>
      </c>
      <c r="K826" t="inlineStr">
        <is>
          <t>1103370233001</t>
        </is>
      </c>
      <c r="M826" t="inlineStr">
        <is>
          <t>BTB</t>
        </is>
      </c>
      <c r="N826" t="inlineStr">
        <is>
          <t>CANAL DIRECTO</t>
        </is>
      </c>
    </row>
    <row r="827">
      <c r="A827" t="inlineStr">
        <is>
          <t>15/10/2026</t>
        </is>
      </c>
      <c r="B827" t="inlineStr">
        <is>
          <t>16505385</t>
        </is>
      </c>
      <c r="C827" t="inlineStr">
        <is>
          <t>163140</t>
        </is>
      </c>
      <c r="D827" t="inlineStr">
        <is>
          <t>163140</t>
        </is>
      </c>
      <c r="E827" t="inlineStr">
        <is>
          <t>HALFSIM TIGO</t>
        </is>
      </c>
      <c r="F827" t="n">
        <v>1</v>
      </c>
      <c r="G827" t="n">
        <v>0.69</v>
      </c>
      <c r="H827" t="inlineStr">
        <is>
          <t>0.69</t>
        </is>
      </c>
      <c r="J827" t="inlineStr">
        <is>
          <t>VILLA LEON LUIS HUMBERTO_VILLA LEON LUIS HUMBERTO</t>
        </is>
      </c>
      <c r="K827" t="inlineStr">
        <is>
          <t>0603203514001</t>
        </is>
      </c>
      <c r="M827" t="inlineStr">
        <is>
          <t>BTB</t>
        </is>
      </c>
      <c r="N827" t="inlineStr">
        <is>
          <t>CANAL DIRECTO</t>
        </is>
      </c>
    </row>
    <row r="828">
      <c r="A828" t="inlineStr">
        <is>
          <t>15/10/2026</t>
        </is>
      </c>
      <c r="B828" t="inlineStr">
        <is>
          <t>16505325</t>
        </is>
      </c>
      <c r="C828" t="inlineStr">
        <is>
          <t>163140</t>
        </is>
      </c>
      <c r="D828" t="inlineStr">
        <is>
          <t>163140</t>
        </is>
      </c>
      <c r="E828" t="inlineStr">
        <is>
          <t>HALFSIM TIGO</t>
        </is>
      </c>
      <c r="F828" t="n">
        <v>1</v>
      </c>
      <c r="G828" t="n">
        <v>0.69</v>
      </c>
      <c r="H828" t="inlineStr">
        <is>
          <t>0.69</t>
        </is>
      </c>
      <c r="J828" t="inlineStr">
        <is>
          <t>DANIEL GONZALEZ_SUPTELCOM CIA LTDA</t>
        </is>
      </c>
      <c r="K828" t="inlineStr">
        <is>
          <t>1792788498001</t>
        </is>
      </c>
      <c r="M828" t="inlineStr">
        <is>
          <t>BTB</t>
        </is>
      </c>
      <c r="N828" t="inlineStr">
        <is>
          <t>CANAL DIRECTO</t>
        </is>
      </c>
    </row>
    <row r="829">
      <c r="A829" t="inlineStr">
        <is>
          <t>15/10/2026</t>
        </is>
      </c>
      <c r="B829" t="inlineStr">
        <is>
          <t>16505329</t>
        </is>
      </c>
      <c r="C829" t="inlineStr">
        <is>
          <t>163140</t>
        </is>
      </c>
      <c r="D829" t="inlineStr">
        <is>
          <t>163140</t>
        </is>
      </c>
      <c r="E829" t="inlineStr">
        <is>
          <t>HALFSIM TIGO</t>
        </is>
      </c>
      <c r="F829" t="n">
        <v>1</v>
      </c>
      <c r="G829" t="n">
        <v>0.69</v>
      </c>
      <c r="H829" t="inlineStr">
        <is>
          <t>0.69</t>
        </is>
      </c>
      <c r="J829" t="inlineStr">
        <is>
          <t>JENNIFFER VILLACIS_ASOCIACION SOLIDARISTA PROFUTURO</t>
        </is>
      </c>
      <c r="K829" t="inlineStr">
        <is>
          <t>0992424222001</t>
        </is>
      </c>
      <c r="M829" t="inlineStr">
        <is>
          <t>BTB</t>
        </is>
      </c>
      <c r="N829" t="inlineStr">
        <is>
          <t>CANAL DIRECTO</t>
        </is>
      </c>
    </row>
    <row r="830">
      <c r="A830" t="inlineStr">
        <is>
          <t>15/10/2026</t>
        </is>
      </c>
      <c r="B830" t="inlineStr">
        <is>
          <t>16505332</t>
        </is>
      </c>
      <c r="C830" t="inlineStr">
        <is>
          <t>163140</t>
        </is>
      </c>
      <c r="D830" t="inlineStr">
        <is>
          <t>163140</t>
        </is>
      </c>
      <c r="E830" t="inlineStr">
        <is>
          <t>HALFSIM TIGO</t>
        </is>
      </c>
      <c r="F830" t="n">
        <v>1</v>
      </c>
      <c r="G830" t="n">
        <v>0.69</v>
      </c>
      <c r="H830" t="inlineStr">
        <is>
          <t>0.69</t>
        </is>
      </c>
      <c r="J830" t="inlineStr">
        <is>
          <t>JENNIFFER VILLACIS_ASOCIACION SOLIDARISTA PROFUTURO</t>
        </is>
      </c>
      <c r="K830" t="inlineStr">
        <is>
          <t>0992424222001</t>
        </is>
      </c>
      <c r="M830" t="inlineStr">
        <is>
          <t>BTB</t>
        </is>
      </c>
      <c r="N830" t="inlineStr">
        <is>
          <t>CANAL DIRECTO</t>
        </is>
      </c>
    </row>
    <row r="831">
      <c r="A831" t="inlineStr">
        <is>
          <t>15/10/2026</t>
        </is>
      </c>
      <c r="B831" t="inlineStr">
        <is>
          <t>16505336</t>
        </is>
      </c>
      <c r="C831" t="inlineStr">
        <is>
          <t>163140</t>
        </is>
      </c>
      <c r="D831" t="inlineStr">
        <is>
          <t>163140</t>
        </is>
      </c>
      <c r="E831" t="inlineStr">
        <is>
          <t>HALFSIM TIGO</t>
        </is>
      </c>
      <c r="F831" t="n">
        <v>1</v>
      </c>
      <c r="G831" t="n">
        <v>0.69</v>
      </c>
      <c r="H831" t="inlineStr">
        <is>
          <t>0.69</t>
        </is>
      </c>
      <c r="J831" t="inlineStr">
        <is>
          <t>KAREN VELOZ_COMPANIA DE FUMIGACION PESTSCONTROL S A</t>
        </is>
      </c>
      <c r="K831" t="inlineStr">
        <is>
          <t>0993076562001</t>
        </is>
      </c>
      <c r="M831" t="inlineStr">
        <is>
          <t>BTB</t>
        </is>
      </c>
      <c r="N831" t="inlineStr">
        <is>
          <t>CANAL DIRECTO</t>
        </is>
      </c>
    </row>
    <row r="832">
      <c r="A832" t="inlineStr">
        <is>
          <t>15/10/2026</t>
        </is>
      </c>
      <c r="B832" t="inlineStr">
        <is>
          <t>16505345</t>
        </is>
      </c>
      <c r="C832" t="inlineStr">
        <is>
          <t>163140</t>
        </is>
      </c>
      <c r="D832" t="inlineStr">
        <is>
          <t>163140</t>
        </is>
      </c>
      <c r="E832" t="inlineStr">
        <is>
          <t>HALFSIM TIGO</t>
        </is>
      </c>
      <c r="F832" t="n">
        <v>2</v>
      </c>
      <c r="G832" t="n">
        <v>1.38</v>
      </c>
      <c r="H832" t="inlineStr">
        <is>
          <t>0.69</t>
        </is>
      </c>
      <c r="J832" t="inlineStr">
        <is>
          <t>LESLI GOMEZ_MIVSELL TECHONOLOGY COMPANY S A</t>
        </is>
      </c>
      <c r="K832" t="inlineStr">
        <is>
          <t>1792361575001</t>
        </is>
      </c>
      <c r="M832" t="inlineStr">
        <is>
          <t>BTB</t>
        </is>
      </c>
      <c r="N832" t="inlineStr">
        <is>
          <t>CANAL DIRECTO</t>
        </is>
      </c>
    </row>
    <row r="833">
      <c r="A833" t="inlineStr">
        <is>
          <t>15/10/2026</t>
        </is>
      </c>
      <c r="B833" t="inlineStr">
        <is>
          <t>16505347</t>
        </is>
      </c>
      <c r="C833" t="inlineStr">
        <is>
          <t>163140</t>
        </is>
      </c>
      <c r="D833" t="inlineStr">
        <is>
          <t>163140</t>
        </is>
      </c>
      <c r="E833" t="inlineStr">
        <is>
          <t>HALFSIM TIGO</t>
        </is>
      </c>
      <c r="F833" t="n">
        <v>1</v>
      </c>
      <c r="G833" t="n">
        <v>0.69</v>
      </c>
      <c r="H833" t="inlineStr">
        <is>
          <t>0.69</t>
        </is>
      </c>
      <c r="J833" t="inlineStr">
        <is>
          <t>KARINA TORRES_ASOCIACION DE EMPLEADOS PUBLICOS DE ETAPA EP</t>
        </is>
      </c>
      <c r="K833" t="inlineStr">
        <is>
          <t>0190313905001</t>
        </is>
      </c>
      <c r="M833" t="inlineStr">
        <is>
          <t>BTB</t>
        </is>
      </c>
      <c r="N833" t="inlineStr">
        <is>
          <t>CANAL DIRECTO</t>
        </is>
      </c>
    </row>
    <row r="834">
      <c r="A834" t="inlineStr">
        <is>
          <t>15/10/2026</t>
        </is>
      </c>
      <c r="B834" t="inlineStr">
        <is>
          <t>16505349</t>
        </is>
      </c>
      <c r="C834" t="inlineStr">
        <is>
          <t>163140</t>
        </is>
      </c>
      <c r="D834" t="inlineStr">
        <is>
          <t>163140</t>
        </is>
      </c>
      <c r="E834" t="inlineStr">
        <is>
          <t>HALFSIM TIGO</t>
        </is>
      </c>
      <c r="F834" t="n">
        <v>10</v>
      </c>
      <c r="G834" t="n">
        <v>6.8999999999999995</v>
      </c>
      <c r="H834" t="inlineStr">
        <is>
          <t>0.69</t>
        </is>
      </c>
      <c r="J834" t="inlineStr">
        <is>
          <t>LUIGI BENAVIDES_ REFACTOR STUDIOS S A S S A</t>
        </is>
      </c>
      <c r="K834" t="inlineStr">
        <is>
          <t>1793213411001</t>
        </is>
      </c>
      <c r="M834" t="inlineStr">
        <is>
          <t>BTB</t>
        </is>
      </c>
      <c r="N834" t="inlineStr">
        <is>
          <t>CANAL DIRECTO</t>
        </is>
      </c>
    </row>
    <row r="835">
      <c r="A835" t="inlineStr">
        <is>
          <t>15/10/2026</t>
        </is>
      </c>
      <c r="B835" t="inlineStr">
        <is>
          <t>16505360</t>
        </is>
      </c>
      <c r="C835" t="inlineStr">
        <is>
          <t>163140</t>
        </is>
      </c>
      <c r="D835" t="inlineStr">
        <is>
          <t>163140</t>
        </is>
      </c>
      <c r="E835" t="inlineStr">
        <is>
          <t>HALFSIM TIGO</t>
        </is>
      </c>
      <c r="F835" t="n">
        <v>5</v>
      </c>
      <c r="G835" t="n">
        <v>3.4499999999999997</v>
      </c>
      <c r="H835" t="inlineStr">
        <is>
          <t>0.69</t>
        </is>
      </c>
      <c r="J835" t="inlineStr">
        <is>
          <t>ANLLEL MOSQUERA_CONSORCIO STG</t>
        </is>
      </c>
      <c r="K835" t="inlineStr">
        <is>
          <t>0993371725001</t>
        </is>
      </c>
      <c r="M835" t="inlineStr">
        <is>
          <t>BTB</t>
        </is>
      </c>
      <c r="N835" t="inlineStr">
        <is>
          <t>CANAL DIRECTO</t>
        </is>
      </c>
    </row>
    <row r="836">
      <c r="A836" t="inlineStr">
        <is>
          <t>15/10/2026</t>
        </is>
      </c>
      <c r="B836" t="inlineStr">
        <is>
          <t>16505367</t>
        </is>
      </c>
      <c r="C836" t="inlineStr">
        <is>
          <t>163140</t>
        </is>
      </c>
      <c r="D836" t="inlineStr">
        <is>
          <t>163140</t>
        </is>
      </c>
      <c r="E836" t="inlineStr">
        <is>
          <t>HALFSIM TIGO</t>
        </is>
      </c>
      <c r="F836" t="n">
        <v>1</v>
      </c>
      <c r="G836" t="n">
        <v>0.69</v>
      </c>
      <c r="H836" t="inlineStr">
        <is>
          <t>0.69</t>
        </is>
      </c>
      <c r="J836" t="inlineStr">
        <is>
          <t>GONZALO ALVARADO_ALVARADO VASQUEZ NAOMI DAYANARA</t>
        </is>
      </c>
      <c r="K836" t="inlineStr">
        <is>
          <t>1754756896001</t>
        </is>
      </c>
      <c r="M836" t="inlineStr">
        <is>
          <t>BTB</t>
        </is>
      </c>
      <c r="N836" t="inlineStr">
        <is>
          <t>CANAL DIRECTO</t>
        </is>
      </c>
    </row>
    <row r="837">
      <c r="A837" t="inlineStr">
        <is>
          <t>15/10/2026</t>
        </is>
      </c>
      <c r="B837" t="inlineStr">
        <is>
          <t>16505384</t>
        </is>
      </c>
      <c r="C837" t="inlineStr">
        <is>
          <t>163140</t>
        </is>
      </c>
      <c r="D837" t="inlineStr">
        <is>
          <t>163140</t>
        </is>
      </c>
      <c r="E837" t="inlineStr">
        <is>
          <t>HALFSIM TIGO</t>
        </is>
      </c>
      <c r="F837" t="n">
        <v>1</v>
      </c>
      <c r="G837" t="n">
        <v>0.69</v>
      </c>
      <c r="H837" t="inlineStr">
        <is>
          <t>0.69</t>
        </is>
      </c>
      <c r="J837" t="inlineStr">
        <is>
          <t>SARMIENTO MEJIA JOSE IGNACIO_SARMIENTO MEJIA JOSE IGNACIO</t>
        </is>
      </c>
      <c r="K837" t="inlineStr">
        <is>
          <t>0929213924001</t>
        </is>
      </c>
      <c r="M837" t="inlineStr">
        <is>
          <t>BTB</t>
        </is>
      </c>
      <c r="N837" t="inlineStr">
        <is>
          <t>CANAL DIRECTO</t>
        </is>
      </c>
    </row>
    <row r="838">
      <c r="A838" t="inlineStr">
        <is>
          <t>15/10/2026</t>
        </is>
      </c>
      <c r="B838" t="inlineStr">
        <is>
          <t>16505405</t>
        </is>
      </c>
      <c r="C838" t="inlineStr">
        <is>
          <t>163140</t>
        </is>
      </c>
      <c r="D838" t="inlineStr">
        <is>
          <t>163140</t>
        </is>
      </c>
      <c r="E838" t="inlineStr">
        <is>
          <t>HALFSIM TIGO</t>
        </is>
      </c>
      <c r="F838" t="n">
        <v>2</v>
      </c>
      <c r="G838" t="n">
        <v>1.38</v>
      </c>
      <c r="H838" t="inlineStr">
        <is>
          <t>0.69</t>
        </is>
      </c>
      <c r="J838" t="inlineStr">
        <is>
          <t>MARIA JOSE REYES ALVAREZ _ASOCIACION DE EMPLEADOS HOSPITAL ENRIQUE GARCES</t>
        </is>
      </c>
      <c r="K838" t="inlineStr">
        <is>
          <t>1791709276001</t>
        </is>
      </c>
      <c r="M838" t="inlineStr">
        <is>
          <t>BTB</t>
        </is>
      </c>
      <c r="N838" t="inlineStr">
        <is>
          <t>CANAL DIRECTO</t>
        </is>
      </c>
    </row>
    <row r="839">
      <c r="A839" t="inlineStr">
        <is>
          <t>15/10/2026</t>
        </is>
      </c>
      <c r="B839" t="inlineStr">
        <is>
          <t>16505408</t>
        </is>
      </c>
      <c r="C839" t="inlineStr">
        <is>
          <t>163140</t>
        </is>
      </c>
      <c r="D839" t="inlineStr">
        <is>
          <t>163140</t>
        </is>
      </c>
      <c r="E839" t="inlineStr">
        <is>
          <t>HALFSIM TIGO</t>
        </is>
      </c>
      <c r="F839" t="n">
        <v>1</v>
      </c>
      <c r="G839" t="n">
        <v>0.69</v>
      </c>
      <c r="H839" t="inlineStr">
        <is>
          <t>0.69</t>
        </is>
      </c>
      <c r="J839" t="inlineStr">
        <is>
          <t>CHAMBA QUINONEZ ALEXANDER PAUL_CHAMBA QUINONEZ ALEXANDER PAUL</t>
        </is>
      </c>
      <c r="K839" t="inlineStr">
        <is>
          <t>1104622111001</t>
        </is>
      </c>
      <c r="M839" t="inlineStr">
        <is>
          <t>BTB</t>
        </is>
      </c>
      <c r="N839" t="inlineStr">
        <is>
          <t>CANAL DIRECTO</t>
        </is>
      </c>
    </row>
    <row r="840">
      <c r="A840" t="inlineStr">
        <is>
          <t>15/10/2026</t>
        </is>
      </c>
      <c r="B840" t="inlineStr">
        <is>
          <t>16505414</t>
        </is>
      </c>
      <c r="C840" t="inlineStr">
        <is>
          <t>163140</t>
        </is>
      </c>
      <c r="D840" t="inlineStr">
        <is>
          <t>163140</t>
        </is>
      </c>
      <c r="E840" t="inlineStr">
        <is>
          <t>HALFSIM TIGO</t>
        </is>
      </c>
      <c r="F840" t="n">
        <v>1</v>
      </c>
      <c r="G840" t="n">
        <v>0.69</v>
      </c>
      <c r="H840" t="inlineStr">
        <is>
          <t>0.69</t>
        </is>
      </c>
      <c r="J840" t="inlineStr">
        <is>
          <t>JANETA FALCONI MAURICIO ENRIQUE_JANETA FALCONI MAURICIO ENRIQUE</t>
        </is>
      </c>
      <c r="K840" t="inlineStr">
        <is>
          <t>0604256826001</t>
        </is>
      </c>
      <c r="M840" t="inlineStr">
        <is>
          <t>BTB</t>
        </is>
      </c>
      <c r="N840" t="inlineStr">
        <is>
          <t>CANAL DIRECTO</t>
        </is>
      </c>
    </row>
    <row r="841">
      <c r="A841" t="inlineStr">
        <is>
          <t>15/10/2026</t>
        </is>
      </c>
      <c r="B841" t="inlineStr">
        <is>
          <t>16505415</t>
        </is>
      </c>
      <c r="C841" t="inlineStr">
        <is>
          <t>163140</t>
        </is>
      </c>
      <c r="D841" t="inlineStr">
        <is>
          <t>163140</t>
        </is>
      </c>
      <c r="E841" t="inlineStr">
        <is>
          <t>HALFSIM TIGO</t>
        </is>
      </c>
      <c r="F841" t="n">
        <v>1</v>
      </c>
      <c r="G841" t="n">
        <v>0.69</v>
      </c>
      <c r="H841" t="inlineStr">
        <is>
          <t>0.69</t>
        </is>
      </c>
      <c r="J841" t="inlineStr">
        <is>
          <t>REGALADO BUSTAMANTE DANIEL_REGALADO BUSTAMANTE DANIEL</t>
        </is>
      </c>
      <c r="K841" t="inlineStr">
        <is>
          <t>0151623758001</t>
        </is>
      </c>
      <c r="M841" t="inlineStr">
        <is>
          <t>BTB</t>
        </is>
      </c>
      <c r="N841" t="inlineStr">
        <is>
          <t>CANAL DIRECTO</t>
        </is>
      </c>
    </row>
    <row r="842">
      <c r="A842" t="inlineStr">
        <is>
          <t>15/10/2026</t>
        </is>
      </c>
      <c r="B842" t="inlineStr">
        <is>
          <t>16505416</t>
        </is>
      </c>
      <c r="C842" t="inlineStr">
        <is>
          <t>163140</t>
        </is>
      </c>
      <c r="D842" t="inlineStr">
        <is>
          <t>163140</t>
        </is>
      </c>
      <c r="E842" t="inlineStr">
        <is>
          <t>HALFSIM TIGO</t>
        </is>
      </c>
      <c r="F842" t="n">
        <v>2</v>
      </c>
      <c r="G842" t="n">
        <v>1.38</v>
      </c>
      <c r="H842" t="inlineStr">
        <is>
          <t>0.69</t>
        </is>
      </c>
      <c r="J842" t="inlineStr">
        <is>
          <t>LUZARRAGA INTRIAGO CARLOS ANIBAL_LUZARRAGA INTRIAGO CARLOS ANIBAL</t>
        </is>
      </c>
      <c r="K842" t="inlineStr">
        <is>
          <t>0931757215001</t>
        </is>
      </c>
      <c r="M842" t="inlineStr">
        <is>
          <t>BTB</t>
        </is>
      </c>
      <c r="N842" t="inlineStr">
        <is>
          <t>CANAL DIRECTO</t>
        </is>
      </c>
    </row>
    <row r="843">
      <c r="A843" t="inlineStr">
        <is>
          <t>15/10/2026</t>
        </is>
      </c>
      <c r="B843" t="inlineStr">
        <is>
          <t>16505423</t>
        </is>
      </c>
      <c r="C843" t="inlineStr">
        <is>
          <t>163140</t>
        </is>
      </c>
      <c r="D843" t="inlineStr">
        <is>
          <t>163140</t>
        </is>
      </c>
      <c r="E843" t="inlineStr">
        <is>
          <t>HALFSIM TIGO</t>
        </is>
      </c>
      <c r="F843" t="n">
        <v>1</v>
      </c>
      <c r="G843" t="n">
        <v>0.69</v>
      </c>
      <c r="H843" t="inlineStr">
        <is>
          <t>0.69</t>
        </is>
      </c>
      <c r="J843" t="inlineStr">
        <is>
          <t>ESPINOZA ALCIVAR ALEX PATRICIO_ESPINOZA ALCIVAR ALEX PATRICIO</t>
        </is>
      </c>
      <c r="K843" t="inlineStr">
        <is>
          <t>1719802199001</t>
        </is>
      </c>
      <c r="M843" t="inlineStr">
        <is>
          <t>BTB</t>
        </is>
      </c>
      <c r="N843" t="inlineStr">
        <is>
          <t>CANAL DIRECTO</t>
        </is>
      </c>
    </row>
    <row r="844">
      <c r="A844" t="inlineStr">
        <is>
          <t>15/10/2026</t>
        </is>
      </c>
      <c r="B844" t="inlineStr">
        <is>
          <t>16505424</t>
        </is>
      </c>
      <c r="C844" t="inlineStr">
        <is>
          <t>163140</t>
        </is>
      </c>
      <c r="D844" t="inlineStr">
        <is>
          <t>163140</t>
        </is>
      </c>
      <c r="E844" t="inlineStr">
        <is>
          <t>HALFSIM TIGO</t>
        </is>
      </c>
      <c r="F844" t="n">
        <v>1</v>
      </c>
      <c r="G844" t="n">
        <v>0.69</v>
      </c>
      <c r="H844" t="inlineStr">
        <is>
          <t>0.69</t>
        </is>
      </c>
      <c r="J844" t="inlineStr">
        <is>
          <t>PINARGOTE REAL VICENTE EDDY_PINARGOTE REAL VICENTE EDDY</t>
        </is>
      </c>
      <c r="K844" t="inlineStr">
        <is>
          <t>0930512181001</t>
        </is>
      </c>
      <c r="M844" t="inlineStr">
        <is>
          <t>BTB</t>
        </is>
      </c>
      <c r="N844" t="inlineStr">
        <is>
          <t>CANAL DIRECTO</t>
        </is>
      </c>
    </row>
    <row r="845">
      <c r="A845" t="inlineStr">
        <is>
          <t>15/10/2026</t>
        </is>
      </c>
      <c r="B845" t="inlineStr">
        <is>
          <t>16505425</t>
        </is>
      </c>
      <c r="C845" t="inlineStr">
        <is>
          <t>163140</t>
        </is>
      </c>
      <c r="D845" t="inlineStr">
        <is>
          <t>163140</t>
        </is>
      </c>
      <c r="E845" t="inlineStr">
        <is>
          <t>HALFSIM TIGO</t>
        </is>
      </c>
      <c r="F845" t="n">
        <v>1</v>
      </c>
      <c r="G845" t="n">
        <v>0.69</v>
      </c>
      <c r="H845" t="inlineStr">
        <is>
          <t>0.69</t>
        </is>
      </c>
      <c r="J845" t="inlineStr">
        <is>
          <t>BASANTES SAMANIEGO JUAN PABLO_BASANTES SAMANIEGO JUAN PABLO</t>
        </is>
      </c>
      <c r="K845" t="inlineStr">
        <is>
          <t>1802981603001</t>
        </is>
      </c>
      <c r="M845" t="inlineStr">
        <is>
          <t>BTB</t>
        </is>
      </c>
      <c r="N845" t="inlineStr">
        <is>
          <t>CANAL DIRECTO</t>
        </is>
      </c>
    </row>
    <row r="846">
      <c r="A846" t="inlineStr">
        <is>
          <t>15/10/2026</t>
        </is>
      </c>
      <c r="B846" t="inlineStr">
        <is>
          <t>16505426</t>
        </is>
      </c>
      <c r="C846" t="inlineStr">
        <is>
          <t>163140</t>
        </is>
      </c>
      <c r="D846" t="inlineStr">
        <is>
          <t>163140</t>
        </is>
      </c>
      <c r="E846" t="inlineStr">
        <is>
          <t>HALFSIM TIGO</t>
        </is>
      </c>
      <c r="F846" t="n">
        <v>1</v>
      </c>
      <c r="G846" t="n">
        <v>0.69</v>
      </c>
      <c r="H846" t="inlineStr">
        <is>
          <t>0.69</t>
        </is>
      </c>
      <c r="J846" t="inlineStr">
        <is>
          <t>ALVAREZ ORELLANA JAMIL ALEJANDRO_ALVAREZ ORELLANA JAMIL ALEJANDRO</t>
        </is>
      </c>
      <c r="K846" t="inlineStr">
        <is>
          <t>1104392954001</t>
        </is>
      </c>
      <c r="M846" t="inlineStr">
        <is>
          <t>BTB</t>
        </is>
      </c>
      <c r="N846" t="inlineStr">
        <is>
          <t>CANAL DIRECTO</t>
        </is>
      </c>
    </row>
    <row r="847">
      <c r="A847" t="inlineStr">
        <is>
          <t>15/10/2026</t>
        </is>
      </c>
      <c r="B847" t="inlineStr">
        <is>
          <t>16505427</t>
        </is>
      </c>
      <c r="C847" t="inlineStr">
        <is>
          <t>163140</t>
        </is>
      </c>
      <c r="D847" t="inlineStr">
        <is>
          <t>163140</t>
        </is>
      </c>
      <c r="E847" t="inlineStr">
        <is>
          <t>HALFSIM TIGO</t>
        </is>
      </c>
      <c r="F847" t="n">
        <v>1</v>
      </c>
      <c r="G847" t="n">
        <v>0.69</v>
      </c>
      <c r="H847" t="inlineStr">
        <is>
          <t>0.69</t>
        </is>
      </c>
      <c r="J847" t="inlineStr">
        <is>
          <t>PINELA ZAMORA THALIA CRISTINA_PINELA ZAMORA THALIA CRISTINA</t>
        </is>
      </c>
      <c r="K847" t="inlineStr">
        <is>
          <t>1313681429001</t>
        </is>
      </c>
      <c r="M847" t="inlineStr">
        <is>
          <t>BTB</t>
        </is>
      </c>
      <c r="N847" t="inlineStr">
        <is>
          <t>CANAL DIRECTO</t>
        </is>
      </c>
    </row>
    <row r="848">
      <c r="A848" t="inlineStr">
        <is>
          <t>15/10/2026</t>
        </is>
      </c>
      <c r="B848" t="inlineStr">
        <is>
          <t>16505430</t>
        </is>
      </c>
      <c r="C848" t="inlineStr">
        <is>
          <t>163140</t>
        </is>
      </c>
      <c r="D848" t="inlineStr">
        <is>
          <t>163140</t>
        </is>
      </c>
      <c r="E848" t="inlineStr">
        <is>
          <t>HALFSIM TIGO</t>
        </is>
      </c>
      <c r="F848" t="n">
        <v>1</v>
      </c>
      <c r="G848" t="n">
        <v>0.69</v>
      </c>
      <c r="H848" t="inlineStr">
        <is>
          <t>0.69</t>
        </is>
      </c>
      <c r="J848" t="inlineStr">
        <is>
          <t>MURILLO DAVALOS MARIA GABRIELA_MURILLO DAVALOS MARIA GABRIELA</t>
        </is>
      </c>
      <c r="K848" t="inlineStr">
        <is>
          <t>1803740206001</t>
        </is>
      </c>
      <c r="M848" t="inlineStr">
        <is>
          <t>BTB</t>
        </is>
      </c>
      <c r="N848" t="inlineStr">
        <is>
          <t>CANAL DIRECTO</t>
        </is>
      </c>
    </row>
    <row r="849">
      <c r="A849" t="inlineStr">
        <is>
          <t>15/10/2026</t>
        </is>
      </c>
      <c r="B849" t="inlineStr">
        <is>
          <t>16505413</t>
        </is>
      </c>
      <c r="C849" t="inlineStr">
        <is>
          <t>163140</t>
        </is>
      </c>
      <c r="D849" t="inlineStr">
        <is>
          <t>163140</t>
        </is>
      </c>
      <c r="E849" t="inlineStr">
        <is>
          <t>HALFSIM TIGO</t>
        </is>
      </c>
      <c r="F849" t="n">
        <v>1</v>
      </c>
      <c r="G849" t="n">
        <v>0.69</v>
      </c>
      <c r="H849" t="inlineStr">
        <is>
          <t>0.69</t>
        </is>
      </c>
      <c r="J849" t="inlineStr">
        <is>
          <t>VERONICA SALGUERO_PRONAVALLE S C C I</t>
        </is>
      </c>
      <c r="K849" t="inlineStr">
        <is>
          <t>1791748727001</t>
        </is>
      </c>
      <c r="M849" t="inlineStr">
        <is>
          <t>BTB</t>
        </is>
      </c>
      <c r="N849" t="inlineStr">
        <is>
          <t>CANAL DIRECTO</t>
        </is>
      </c>
    </row>
    <row r="850">
      <c r="A850" t="inlineStr">
        <is>
          <t>15/10/2026</t>
        </is>
      </c>
      <c r="B850" t="inlineStr">
        <is>
          <t>16505419</t>
        </is>
      </c>
      <c r="C850" t="inlineStr">
        <is>
          <t>163140</t>
        </is>
      </c>
      <c r="D850" t="inlineStr">
        <is>
          <t>163140</t>
        </is>
      </c>
      <c r="E850" t="inlineStr">
        <is>
          <t>HALFSIM TIGO</t>
        </is>
      </c>
      <c r="F850" t="n">
        <v>4</v>
      </c>
      <c r="G850" t="n">
        <v>2.76</v>
      </c>
      <c r="H850" t="inlineStr">
        <is>
          <t>0.69</t>
        </is>
      </c>
      <c r="J850" t="inlineStr">
        <is>
          <t>KARLA CUETO_COELLO PILAY ALAN DANIEL</t>
        </is>
      </c>
      <c r="K850" t="inlineStr">
        <is>
          <t>0954108197001</t>
        </is>
      </c>
      <c r="M850" t="inlineStr">
        <is>
          <t>BTB</t>
        </is>
      </c>
      <c r="N850" t="inlineStr">
        <is>
          <t>CANAL DIRECTO</t>
        </is>
      </c>
    </row>
    <row r="851">
      <c r="A851" t="inlineStr">
        <is>
          <t>15/10/2026</t>
        </is>
      </c>
      <c r="B851" t="inlineStr">
        <is>
          <t>2026-08409</t>
        </is>
      </c>
      <c r="C851" t="inlineStr">
        <is>
          <t>163140_06</t>
        </is>
      </c>
      <c r="D851" t="inlineStr">
        <is>
          <t>163140</t>
        </is>
      </c>
      <c r="E851" t="inlineStr">
        <is>
          <t>HALFSIM TIGO PORTABILIDAD</t>
        </is>
      </c>
      <c r="F851" t="n">
        <v>100</v>
      </c>
      <c r="G851" t="n">
        <v>69</v>
      </c>
      <c r="H851" t="inlineStr">
        <is>
          <t>0.69</t>
        </is>
      </c>
      <c r="J851" t="inlineStr">
        <is>
          <t>SKYCELL S.A. PYMES GYE_GONZALEZ RODRIGUEZ JUAN SEBASTIAN</t>
        </is>
      </c>
      <c r="K851" t="inlineStr">
        <is>
          <t>0917961625</t>
        </is>
      </c>
      <c r="M851" t="inlineStr">
        <is>
          <t>INDIRECTO</t>
        </is>
      </c>
      <c r="N851" t="inlineStr">
        <is>
          <t>CANAL INDIRECTO</t>
        </is>
      </c>
    </row>
    <row r="852">
      <c r="A852" t="inlineStr">
        <is>
          <t>15/10/2026</t>
        </is>
      </c>
      <c r="B852" t="inlineStr">
        <is>
          <t>2026-08409</t>
        </is>
      </c>
      <c r="C852" t="inlineStr">
        <is>
          <t>163141</t>
        </is>
      </c>
      <c r="D852" t="inlineStr">
        <is>
          <t>163141</t>
        </is>
      </c>
      <c r="E852" t="inlineStr">
        <is>
          <t>ESIM TIGO DIGITAL</t>
        </is>
      </c>
      <c r="F852" t="n">
        <v>10</v>
      </c>
      <c r="G852" t="n">
        <v>2.1</v>
      </c>
      <c r="H852" t="inlineStr">
        <is>
          <t>0.21</t>
        </is>
      </c>
      <c r="J852" t="inlineStr">
        <is>
          <t>SKYCELL S.A. PYMES GYE_GONZALEZ RODRIGUEZ JUAN SEBASTIAN</t>
        </is>
      </c>
      <c r="K852" t="inlineStr">
        <is>
          <t>0917961625</t>
        </is>
      </c>
      <c r="M852" t="inlineStr">
        <is>
          <t>INDIRECTO</t>
        </is>
      </c>
      <c r="N852" t="inlineStr">
        <is>
          <t>CANAL INDIRECTO</t>
        </is>
      </c>
    </row>
    <row r="853">
      <c r="A853" t="inlineStr">
        <is>
          <t>15/10/2026</t>
        </is>
      </c>
      <c r="B853" t="inlineStr">
        <is>
          <t>2026-08412</t>
        </is>
      </c>
      <c r="C853" t="inlineStr">
        <is>
          <t>163140</t>
        </is>
      </c>
      <c r="D853" t="inlineStr">
        <is>
          <t>163140</t>
        </is>
      </c>
      <c r="E853" t="inlineStr">
        <is>
          <t>HALFSIM TIGO</t>
        </is>
      </c>
      <c r="F853" t="n">
        <v>200</v>
      </c>
      <c r="G853" t="n">
        <v>138</v>
      </c>
      <c r="H853" t="inlineStr">
        <is>
          <t>0.69</t>
        </is>
      </c>
      <c r="J853" t="inlineStr">
        <is>
          <t>CAVS RECREO_RODRIGUEZ CELI CARMEN JACQUELIN / FAICAN QUINCHE ROSARIO NADEZDA</t>
        </is>
      </c>
      <c r="K853" t="inlineStr">
        <is>
          <t>1712117678 / 1104457054</t>
        </is>
      </c>
      <c r="M853" t="inlineStr">
        <is>
          <t>INDIRECTO</t>
        </is>
      </c>
      <c r="N853" t="inlineStr">
        <is>
          <t>CANAL INDIRECTO</t>
        </is>
      </c>
    </row>
    <row r="854">
      <c r="A854" t="inlineStr">
        <is>
          <t>15/10/2026</t>
        </is>
      </c>
      <c r="B854" t="inlineStr">
        <is>
          <t>2026-08413</t>
        </is>
      </c>
      <c r="C854" t="inlineStr">
        <is>
          <t>163140</t>
        </is>
      </c>
      <c r="D854" t="inlineStr">
        <is>
          <t>163140</t>
        </is>
      </c>
      <c r="E854" t="inlineStr">
        <is>
          <t>HALFSIM TIGO</t>
        </is>
      </c>
      <c r="F854" t="n">
        <v>100</v>
      </c>
      <c r="G854" t="n">
        <v>69</v>
      </c>
      <c r="H854" t="inlineStr">
        <is>
          <t>0.69</t>
        </is>
      </c>
      <c r="J854" t="inlineStr">
        <is>
          <t>CORPORATIVO ROMERO RYRTECH S.A.S (DURAN)_ELIZABETH SALAGATA</t>
        </is>
      </c>
      <c r="K854" t="inlineStr">
        <is>
          <t>0915962609</t>
        </is>
      </c>
      <c r="M854" t="inlineStr">
        <is>
          <t>INDIRECTO</t>
        </is>
      </c>
      <c r="N854" t="inlineStr">
        <is>
          <t>CANAL INDIRECTO</t>
        </is>
      </c>
    </row>
    <row r="855">
      <c r="A855" t="inlineStr">
        <is>
          <t>15/10/2026</t>
        </is>
      </c>
      <c r="B855" t="inlineStr">
        <is>
          <t>2026-08413</t>
        </is>
      </c>
      <c r="C855" t="inlineStr">
        <is>
          <t>163141</t>
        </is>
      </c>
      <c r="D855" t="inlineStr">
        <is>
          <t>163141</t>
        </is>
      </c>
      <c r="E855" t="inlineStr">
        <is>
          <t>ESIM TIGO DIGITAL</t>
        </is>
      </c>
      <c r="F855" t="n">
        <v>30</v>
      </c>
      <c r="G855" t="n">
        <v>6.3</v>
      </c>
      <c r="H855" t="inlineStr">
        <is>
          <t>0.21</t>
        </is>
      </c>
      <c r="J855" t="inlineStr">
        <is>
          <t>CORPORATIVO ROMERO RYRTECH S.A.S (DURAN)_ELIZABETH SALAGATA</t>
        </is>
      </c>
      <c r="K855" t="inlineStr">
        <is>
          <t>0915962609</t>
        </is>
      </c>
      <c r="M855" t="inlineStr">
        <is>
          <t>INDIRECTO</t>
        </is>
      </c>
      <c r="N855" t="inlineStr">
        <is>
          <t>CANAL INDIRECTO</t>
        </is>
      </c>
    </row>
    <row r="856">
      <c r="A856" t="inlineStr">
        <is>
          <t>15/10/2026</t>
        </is>
      </c>
      <c r="B856" t="inlineStr">
        <is>
          <t>2026-08414</t>
        </is>
      </c>
      <c r="C856" t="inlineStr">
        <is>
          <t>163140_02</t>
        </is>
      </c>
      <c r="D856" t="inlineStr">
        <is>
          <t>163140</t>
        </is>
      </c>
      <c r="E856" t="inlineStr">
        <is>
          <t>HALFSIM TIGO CHIP PREPAGO $3 WP NUMERADO</t>
        </is>
      </c>
      <c r="F856" t="n">
        <v>400</v>
      </c>
      <c r="G856" t="n">
        <v>276</v>
      </c>
      <c r="H856" t="inlineStr">
        <is>
          <t>0.69</t>
        </is>
      </c>
      <c r="J856" t="inlineStr">
        <is>
          <t>TELECOS COTOPAXI PDA_JOHANNA VANESSA PLAZA MIRANDA</t>
        </is>
      </c>
      <c r="K856" t="inlineStr">
        <is>
          <t>1720224771</t>
        </is>
      </c>
      <c r="M856" t="inlineStr">
        <is>
          <t>INDIRECTO</t>
        </is>
      </c>
      <c r="N856" t="inlineStr">
        <is>
          <t>CANAL INDIRECTO</t>
        </is>
      </c>
    </row>
    <row r="857">
      <c r="A857" t="inlineStr">
        <is>
          <t>15/10/2026</t>
        </is>
      </c>
      <c r="B857" t="inlineStr">
        <is>
          <t>2026-08416</t>
        </is>
      </c>
      <c r="C857" t="inlineStr">
        <is>
          <t>163140</t>
        </is>
      </c>
      <c r="D857" t="inlineStr">
        <is>
          <t>163140</t>
        </is>
      </c>
      <c r="E857" t="inlineStr">
        <is>
          <t>HALFSIM TIGO</t>
        </is>
      </c>
      <c r="F857" t="n">
        <v>200</v>
      </c>
      <c r="G857" t="n">
        <v>138</v>
      </c>
      <c r="H857" t="inlineStr">
        <is>
          <t>0.69</t>
        </is>
      </c>
      <c r="J857" t="inlineStr">
        <is>
          <t>CAVS POLICENTRO_DIANA CAROLINA VANEGAS CERCADO / KENNY ELIAN VITERI MENDEZ</t>
        </is>
      </c>
      <c r="K857" t="inlineStr">
        <is>
          <t>0982825784 / 0943990549</t>
        </is>
      </c>
      <c r="M857" t="inlineStr">
        <is>
          <t>INDIRECTO</t>
        </is>
      </c>
      <c r="N857" t="inlineStr">
        <is>
          <t>CANAL INDIRECTO</t>
        </is>
      </c>
    </row>
    <row r="858">
      <c r="A858" t="inlineStr">
        <is>
          <t>15/10/2026</t>
        </is>
      </c>
      <c r="B858" t="inlineStr">
        <is>
          <t>2026-08419</t>
        </is>
      </c>
      <c r="C858" t="inlineStr">
        <is>
          <t>163140_02</t>
        </is>
      </c>
      <c r="D858" t="inlineStr">
        <is>
          <t>163140</t>
        </is>
      </c>
      <c r="E858" t="inlineStr">
        <is>
          <t>HALFSIM TIGO CHIP PREPAGO $3 WP NUMERADO</t>
        </is>
      </c>
      <c r="F858" t="n">
        <v>200</v>
      </c>
      <c r="G858" t="n">
        <v>138</v>
      </c>
      <c r="H858" t="inlineStr">
        <is>
          <t>0.69</t>
        </is>
      </c>
      <c r="J858" t="inlineStr">
        <is>
          <t>TELECOS CHIMBORAZO PDA_DAYSI JANNETH PARRA CHANGO</t>
        </is>
      </c>
      <c r="K858" t="inlineStr">
        <is>
          <t>0604718841</t>
        </is>
      </c>
      <c r="M858" t="inlineStr">
        <is>
          <t>INDIRECTO</t>
        </is>
      </c>
      <c r="N858" t="inlineStr">
        <is>
          <t>CANAL INDIRECTO</t>
        </is>
      </c>
    </row>
    <row r="859">
      <c r="A859" t="inlineStr">
        <is>
          <t>15/10/2026</t>
        </is>
      </c>
      <c r="B859" t="inlineStr">
        <is>
          <t>2026-08424</t>
        </is>
      </c>
      <c r="C859" t="inlineStr">
        <is>
          <t>163140</t>
        </is>
      </c>
      <c r="D859" t="inlineStr">
        <is>
          <t>163140</t>
        </is>
      </c>
      <c r="E859" t="inlineStr">
        <is>
          <t>HALFSIM TIGO</t>
        </is>
      </c>
      <c r="F859" t="n">
        <v>200</v>
      </c>
      <c r="G859" t="n">
        <v>138</v>
      </c>
      <c r="H859" t="inlineStr">
        <is>
          <t>0.69</t>
        </is>
      </c>
      <c r="J859" t="inlineStr">
        <is>
          <t>CORPORATIVO ROMERO RYRTECH S.A.S  (SHOPPING QUEVEDO)_ELIZABETH SALAGATA</t>
        </is>
      </c>
      <c r="K859" t="inlineStr">
        <is>
          <t>0993323705001</t>
        </is>
      </c>
      <c r="M859" t="inlineStr">
        <is>
          <t>INDIRECTO</t>
        </is>
      </c>
      <c r="N859" t="inlineStr">
        <is>
          <t>CANAL INDIRECTO</t>
        </is>
      </c>
    </row>
    <row r="860">
      <c r="A860" t="inlineStr">
        <is>
          <t>15/10/2026</t>
        </is>
      </c>
      <c r="B860" t="inlineStr">
        <is>
          <t>2026-08425</t>
        </is>
      </c>
      <c r="C860" t="inlineStr">
        <is>
          <t>163140_04</t>
        </is>
      </c>
      <c r="D860" t="inlineStr">
        <is>
          <t>163140</t>
        </is>
      </c>
      <c r="E860" t="inlineStr">
        <is>
          <t>HALFSIM TIGO CHIP PREPAGO $3 WP AUTOSERVICIO NUMERADO</t>
        </is>
      </c>
      <c r="F860" t="n">
        <v>338</v>
      </c>
      <c r="G860" t="n">
        <v>233.21999999999997</v>
      </c>
      <c r="H860" t="inlineStr">
        <is>
          <t>0.69</t>
        </is>
      </c>
      <c r="J860" t="inlineStr">
        <is>
          <t>MICROPAGOS MOVISTAR QUITO_ESTHELA CORDOVA</t>
        </is>
      </c>
      <c r="K860" t="inlineStr">
        <is>
          <t>1715387542</t>
        </is>
      </c>
      <c r="M860" t="inlineStr">
        <is>
          <t>RETAIL</t>
        </is>
      </c>
      <c r="N860" t="inlineStr">
        <is>
          <t>CANAL INDIRECTO</t>
        </is>
      </c>
    </row>
    <row r="861">
      <c r="A861" t="inlineStr">
        <is>
          <t>15/10/2026</t>
        </is>
      </c>
      <c r="B861" t="inlineStr">
        <is>
          <t>2026-08428</t>
        </is>
      </c>
      <c r="C861" t="inlineStr">
        <is>
          <t>163140_02</t>
        </is>
      </c>
      <c r="D861" t="inlineStr">
        <is>
          <t>163140</t>
        </is>
      </c>
      <c r="E861" t="inlineStr">
        <is>
          <t>HALFSIM TIGO CHIP PREPAGO $3 WP NUMERADO</t>
        </is>
      </c>
      <c r="F861" t="n">
        <v>300</v>
      </c>
      <c r="G861" t="n">
        <v>206.99999999999997</v>
      </c>
      <c r="H861" t="inlineStr">
        <is>
          <t>0.69</t>
        </is>
      </c>
      <c r="J861" t="inlineStr">
        <is>
          <t>TELECOS TUNGURAHUA  PDA_ABIGAIL PEREZ SAILEMA</t>
        </is>
      </c>
      <c r="K861" t="inlineStr">
        <is>
          <t>0503079535</t>
        </is>
      </c>
      <c r="M861" t="inlineStr">
        <is>
          <t>INDIRECTO</t>
        </is>
      </c>
      <c r="N861" t="inlineStr">
        <is>
          <t>CANAL INDIRECTO</t>
        </is>
      </c>
    </row>
    <row r="862">
      <c r="A862" t="inlineStr">
        <is>
          <t>15/10/2026</t>
        </is>
      </c>
      <c r="B862" t="inlineStr">
        <is>
          <t>16505432</t>
        </is>
      </c>
      <c r="C862" t="inlineStr">
        <is>
          <t>163140</t>
        </is>
      </c>
      <c r="D862" t="inlineStr">
        <is>
          <t>163140</t>
        </is>
      </c>
      <c r="E862" t="inlineStr">
        <is>
          <t>HALFSIM TIGO</t>
        </is>
      </c>
      <c r="F862" t="n">
        <v>1</v>
      </c>
      <c r="G862" t="n">
        <v>0.69</v>
      </c>
      <c r="H862" t="inlineStr">
        <is>
          <t>0.69</t>
        </is>
      </c>
      <c r="J862" t="inlineStr">
        <is>
          <t>ING JESSICA TERAN_COMITE DE EMPRESA DE TRABAJADORES DE LA EMPRESA ELECTRICA REGIONAL NORTE SA</t>
        </is>
      </c>
      <c r="K862" t="inlineStr">
        <is>
          <t>1091721070001</t>
        </is>
      </c>
      <c r="M862" t="inlineStr">
        <is>
          <t>BTB</t>
        </is>
      </c>
      <c r="N862" t="inlineStr">
        <is>
          <t>CANAL DIRECTO</t>
        </is>
      </c>
    </row>
    <row r="863">
      <c r="A863" t="inlineStr">
        <is>
          <t>15/10/2026</t>
        </is>
      </c>
      <c r="B863" t="inlineStr">
        <is>
          <t>16505438</t>
        </is>
      </c>
      <c r="C863" t="inlineStr">
        <is>
          <t>163140</t>
        </is>
      </c>
      <c r="D863" t="inlineStr">
        <is>
          <t>163140</t>
        </is>
      </c>
      <c r="E863" t="inlineStr">
        <is>
          <t>HALFSIM TIGO</t>
        </is>
      </c>
      <c r="F863" t="n">
        <v>10</v>
      </c>
      <c r="G863" t="n">
        <v>6.8999999999999995</v>
      </c>
      <c r="H863" t="inlineStr">
        <is>
          <t>0.69</t>
        </is>
      </c>
      <c r="J863" t="inlineStr">
        <is>
          <t>MARCO TORAL_FOSFORERA ECUATORIANA S A</t>
        </is>
      </c>
      <c r="K863" t="inlineStr">
        <is>
          <t>1790021203001</t>
        </is>
      </c>
      <c r="M863" t="inlineStr">
        <is>
          <t>BTB</t>
        </is>
      </c>
      <c r="N863" t="inlineStr">
        <is>
          <t>CANAL DIRECTO</t>
        </is>
      </c>
    </row>
    <row r="864">
      <c r="A864" t="inlineStr">
        <is>
          <t>15/10/2026</t>
        </is>
      </c>
      <c r="B864" t="inlineStr">
        <is>
          <t>16505458</t>
        </is>
      </c>
      <c r="C864" t="inlineStr">
        <is>
          <t>163140</t>
        </is>
      </c>
      <c r="D864" t="inlineStr">
        <is>
          <t>163140</t>
        </is>
      </c>
      <c r="E864" t="inlineStr">
        <is>
          <t>HALFSIM TIGO</t>
        </is>
      </c>
      <c r="F864" t="n">
        <v>1</v>
      </c>
      <c r="G864" t="n">
        <v>0.69</v>
      </c>
      <c r="H864" t="inlineStr">
        <is>
          <t>0.69</t>
        </is>
      </c>
      <c r="J864" t="inlineStr">
        <is>
          <t>NEIRA GONZABAY TANIA IVONNE_NEIRA GONZABAY TANIA IVONNE</t>
        </is>
      </c>
      <c r="K864" t="inlineStr">
        <is>
          <t>0922438528001</t>
        </is>
      </c>
      <c r="M864" t="inlineStr">
        <is>
          <t>BTB</t>
        </is>
      </c>
      <c r="N864" t="inlineStr">
        <is>
          <t>CANAL DIRECTO</t>
        </is>
      </c>
    </row>
    <row r="865">
      <c r="A865" t="inlineStr">
        <is>
          <t>15/10/2026</t>
        </is>
      </c>
      <c r="B865" t="inlineStr">
        <is>
          <t>16505459</t>
        </is>
      </c>
      <c r="C865" t="inlineStr">
        <is>
          <t>163140</t>
        </is>
      </c>
      <c r="D865" t="inlineStr">
        <is>
          <t>163140</t>
        </is>
      </c>
      <c r="E865" t="inlineStr">
        <is>
          <t>HALFSIM TIGO</t>
        </is>
      </c>
      <c r="F865" t="n">
        <v>1</v>
      </c>
      <c r="G865" t="n">
        <v>0.69</v>
      </c>
      <c r="H865" t="inlineStr">
        <is>
          <t>0.69</t>
        </is>
      </c>
      <c r="J865" t="inlineStr">
        <is>
          <t>OBANDO LAAZ FABRIZZIO_OBANDO LAAZ FABRIZZIO</t>
        </is>
      </c>
      <c r="K865" t="inlineStr">
        <is>
          <t>0914870340001</t>
        </is>
      </c>
      <c r="M865" t="inlineStr">
        <is>
          <t>BTB</t>
        </is>
      </c>
      <c r="N865" t="inlineStr">
        <is>
          <t>CANAL DIRECTO</t>
        </is>
      </c>
    </row>
    <row r="866">
      <c r="A866" t="inlineStr">
        <is>
          <t>15/10/2026</t>
        </is>
      </c>
      <c r="B866" t="inlineStr">
        <is>
          <t>16505460</t>
        </is>
      </c>
      <c r="C866" t="inlineStr">
        <is>
          <t>163140</t>
        </is>
      </c>
      <c r="D866" t="inlineStr">
        <is>
          <t>163140</t>
        </is>
      </c>
      <c r="E866" t="inlineStr">
        <is>
          <t>HALFSIM TIGO</t>
        </is>
      </c>
      <c r="F866" t="n">
        <v>1</v>
      </c>
      <c r="G866" t="n">
        <v>0.69</v>
      </c>
      <c r="H866" t="inlineStr">
        <is>
          <t>0.69</t>
        </is>
      </c>
      <c r="J866" t="inlineStr">
        <is>
          <t>FEREIRA AQUILINO LEONARDO JOSE_FEREIRA AQUILINO LEONARDO JOSE</t>
        </is>
      </c>
      <c r="K866" t="inlineStr">
        <is>
          <t>1759984311001</t>
        </is>
      </c>
      <c r="M866" t="inlineStr">
        <is>
          <t>BTB</t>
        </is>
      </c>
      <c r="N866" t="inlineStr">
        <is>
          <t>CANAL DIRECTO</t>
        </is>
      </c>
    </row>
    <row r="867">
      <c r="A867" t="inlineStr">
        <is>
          <t>15/10/2026</t>
        </is>
      </c>
      <c r="B867" t="inlineStr">
        <is>
          <t>16505461</t>
        </is>
      </c>
      <c r="C867" t="inlineStr">
        <is>
          <t>163140</t>
        </is>
      </c>
      <c r="D867" t="inlineStr">
        <is>
          <t>163140</t>
        </is>
      </c>
      <c r="E867" t="inlineStr">
        <is>
          <t>HALFSIM TIGO</t>
        </is>
      </c>
      <c r="F867" t="n">
        <v>1</v>
      </c>
      <c r="G867" t="n">
        <v>0.69</v>
      </c>
      <c r="H867" t="inlineStr">
        <is>
          <t>0.69</t>
        </is>
      </c>
      <c r="J867" t="inlineStr">
        <is>
          <t>CHELE MORAN ANTHONY JOSE_CHELE MORAN ANTHONY JOSE</t>
        </is>
      </c>
      <c r="K867" t="inlineStr">
        <is>
          <t>0941491862001</t>
        </is>
      </c>
      <c r="M867" t="inlineStr">
        <is>
          <t>BTB</t>
        </is>
      </c>
      <c r="N867" t="inlineStr">
        <is>
          <t>CANAL DIRECTO</t>
        </is>
      </c>
    </row>
    <row r="868">
      <c r="A868" t="inlineStr">
        <is>
          <t>15/10/2026</t>
        </is>
      </c>
      <c r="B868" t="inlineStr">
        <is>
          <t>16505462</t>
        </is>
      </c>
      <c r="C868" t="inlineStr">
        <is>
          <t>163140</t>
        </is>
      </c>
      <c r="D868" t="inlineStr">
        <is>
          <t>163140</t>
        </is>
      </c>
      <c r="E868" t="inlineStr">
        <is>
          <t>HALFSIM TIGO</t>
        </is>
      </c>
      <c r="F868" t="n">
        <v>1</v>
      </c>
      <c r="G868" t="n">
        <v>0.69</v>
      </c>
      <c r="H868" t="inlineStr">
        <is>
          <t>0.69</t>
        </is>
      </c>
      <c r="J868" t="inlineStr">
        <is>
          <t>HARO PUGACHI ALVARO MEDARDO_HARO PUGACHI ALVARO MEDARDO</t>
        </is>
      </c>
      <c r="K868" t="inlineStr">
        <is>
          <t>1500878192001</t>
        </is>
      </c>
      <c r="M868" t="inlineStr">
        <is>
          <t>BTB</t>
        </is>
      </c>
      <c r="N868" t="inlineStr">
        <is>
          <t>CANAL DIRECTO</t>
        </is>
      </c>
    </row>
    <row r="869">
      <c r="A869" t="inlineStr">
        <is>
          <t>15/10/2026</t>
        </is>
      </c>
      <c r="B869" t="inlineStr">
        <is>
          <t>16505463</t>
        </is>
      </c>
      <c r="C869" t="inlineStr">
        <is>
          <t>163140</t>
        </is>
      </c>
      <c r="D869" t="inlineStr">
        <is>
          <t>163140</t>
        </is>
      </c>
      <c r="E869" t="inlineStr">
        <is>
          <t>HALFSIM TIGO</t>
        </is>
      </c>
      <c r="F869" t="n">
        <v>1</v>
      </c>
      <c r="G869" t="n">
        <v>0.69</v>
      </c>
      <c r="H869" t="inlineStr">
        <is>
          <t>0.69</t>
        </is>
      </c>
      <c r="J869" t="inlineStr">
        <is>
          <t>LOPEZ CARDENAS RODOLFO OCTAVIO_LOPEZ CARDENAS RODOLFO OCTAVIO</t>
        </is>
      </c>
      <c r="K869" t="inlineStr">
        <is>
          <t>0906786488001</t>
        </is>
      </c>
      <c r="M869" t="inlineStr">
        <is>
          <t>BTB</t>
        </is>
      </c>
      <c r="N869" t="inlineStr">
        <is>
          <t>CANAL DIRECTO</t>
        </is>
      </c>
    </row>
    <row r="870">
      <c r="A870" t="inlineStr">
        <is>
          <t>15/10/2026</t>
        </is>
      </c>
      <c r="B870" t="inlineStr">
        <is>
          <t>16505464</t>
        </is>
      </c>
      <c r="C870" t="inlineStr">
        <is>
          <t>163140</t>
        </is>
      </c>
      <c r="D870" t="inlineStr">
        <is>
          <t>163140</t>
        </is>
      </c>
      <c r="E870" t="inlineStr">
        <is>
          <t>HALFSIM TIGO</t>
        </is>
      </c>
      <c r="F870" t="n">
        <v>1</v>
      </c>
      <c r="G870" t="n">
        <v>0.69</v>
      </c>
      <c r="H870" t="inlineStr">
        <is>
          <t>0.69</t>
        </is>
      </c>
      <c r="J870" t="inlineStr">
        <is>
          <t>DOLORES MARIBEL MUNOZ HERRERA_DOLORES MARIBEL MUNOZ HERRERA</t>
        </is>
      </c>
      <c r="K870" t="inlineStr">
        <is>
          <t>1305701839001</t>
        </is>
      </c>
      <c r="M870" t="inlineStr">
        <is>
          <t>BTB</t>
        </is>
      </c>
      <c r="N870" t="inlineStr">
        <is>
          <t>CANAL DIRECTO</t>
        </is>
      </c>
    </row>
    <row r="871">
      <c r="A871" t="inlineStr">
        <is>
          <t>15/10/2026</t>
        </is>
      </c>
      <c r="B871" t="inlineStr">
        <is>
          <t>16505465</t>
        </is>
      </c>
      <c r="C871" t="inlineStr">
        <is>
          <t>163140</t>
        </is>
      </c>
      <c r="D871" t="inlineStr">
        <is>
          <t>163140</t>
        </is>
      </c>
      <c r="E871" t="inlineStr">
        <is>
          <t>HALFSIM TIGO</t>
        </is>
      </c>
      <c r="F871" t="n">
        <v>1</v>
      </c>
      <c r="G871" t="n">
        <v>0.69</v>
      </c>
      <c r="H871" t="inlineStr">
        <is>
          <t>0.69</t>
        </is>
      </c>
      <c r="J871" t="inlineStr">
        <is>
          <t>GUERRERO MACIAS DIEGO SANTIAGO_GUERRERO MACIAS DIEGO SANTIAGO</t>
        </is>
      </c>
      <c r="K871" t="inlineStr">
        <is>
          <t>0803832666001</t>
        </is>
      </c>
      <c r="M871" t="inlineStr">
        <is>
          <t>BTB</t>
        </is>
      </c>
      <c r="N871" t="inlineStr">
        <is>
          <t>CANAL DIRECTO</t>
        </is>
      </c>
    </row>
    <row r="872">
      <c r="A872" t="inlineStr">
        <is>
          <t>15/10/2026</t>
        </is>
      </c>
      <c r="B872" t="inlineStr">
        <is>
          <t>2026-08430</t>
        </is>
      </c>
      <c r="C872" t="inlineStr">
        <is>
          <t>163140</t>
        </is>
      </c>
      <c r="D872" t="inlineStr">
        <is>
          <t>163140</t>
        </is>
      </c>
      <c r="E872" t="inlineStr">
        <is>
          <t>HALFSIM TIGO</t>
        </is>
      </c>
      <c r="F872" t="n">
        <v>200</v>
      </c>
      <c r="G872" t="n">
        <v>138</v>
      </c>
      <c r="H872" t="inlineStr">
        <is>
          <t>0.69</t>
        </is>
      </c>
      <c r="J872" t="inlineStr">
        <is>
          <t>CAVS AE SALESLAND CUENCA CENTRO_JULY FREIRE</t>
        </is>
      </c>
      <c r="K872" t="inlineStr">
        <is>
          <t>0</t>
        </is>
      </c>
      <c r="M872" t="inlineStr">
        <is>
          <t>INDIRECTO</t>
        </is>
      </c>
      <c r="N872" t="inlineStr">
        <is>
          <t>CANAL INDIRECTO</t>
        </is>
      </c>
    </row>
    <row r="873">
      <c r="A873" t="inlineStr">
        <is>
          <t>15/10/2026</t>
        </is>
      </c>
      <c r="B873" t="inlineStr">
        <is>
          <t>2026-08431</t>
        </is>
      </c>
      <c r="C873" t="inlineStr">
        <is>
          <t>163140_02</t>
        </is>
      </c>
      <c r="D873" t="inlineStr">
        <is>
          <t>163140</t>
        </is>
      </c>
      <c r="E873" t="inlineStr">
        <is>
          <t>HALFSIM TIGO CHIP PREPAGO $3 WP NUMERADO</t>
        </is>
      </c>
      <c r="F873" t="n">
        <v>100</v>
      </c>
      <c r="G873" t="n">
        <v>69</v>
      </c>
      <c r="H873" t="inlineStr">
        <is>
          <t>0.69</t>
        </is>
      </c>
      <c r="J873" t="inlineStr">
        <is>
          <t>KIOSKO RYRTECH MALL EL FORTIN_ROMERO RODRIGUEZ MAURENY GEANELLA</t>
        </is>
      </c>
      <c r="K873" t="inlineStr">
        <is>
          <t>0915962609</t>
        </is>
      </c>
      <c r="M873" t="inlineStr">
        <is>
          <t>INDIRECTO</t>
        </is>
      </c>
      <c r="N873" t="inlineStr">
        <is>
          <t>CANAL INDIRECTO</t>
        </is>
      </c>
    </row>
    <row r="874">
      <c r="A874" t="inlineStr">
        <is>
          <t>15/10/2026</t>
        </is>
      </c>
      <c r="B874" t="inlineStr">
        <is>
          <t>2026-08432</t>
        </is>
      </c>
      <c r="C874" t="inlineStr">
        <is>
          <t>163140_02</t>
        </is>
      </c>
      <c r="D874" t="inlineStr">
        <is>
          <t>163140</t>
        </is>
      </c>
      <c r="E874" t="inlineStr">
        <is>
          <t>HALFSIM TIGO CHIP PREPAGO $3 WP NUMERADO</t>
        </is>
      </c>
      <c r="F874" t="n">
        <v>100</v>
      </c>
      <c r="G874" t="n">
        <v>69</v>
      </c>
      <c r="H874" t="inlineStr">
        <is>
          <t>0.69</t>
        </is>
      </c>
      <c r="J874" t="inlineStr">
        <is>
          <t>KIOSKO RYRTECH MALL DEL SUR_ROMERO RODRIGUEZ MAURENY GEANELLA</t>
        </is>
      </c>
      <c r="K874" t="inlineStr">
        <is>
          <t>0915962609</t>
        </is>
      </c>
      <c r="M874" t="inlineStr">
        <is>
          <t>INDIRECTO</t>
        </is>
      </c>
      <c r="N874" t="inlineStr">
        <is>
          <t>CANAL INDIRECTO</t>
        </is>
      </c>
    </row>
    <row r="875">
      <c r="A875" t="inlineStr">
        <is>
          <t>15/10/2026</t>
        </is>
      </c>
      <c r="B875" t="inlineStr">
        <is>
          <t>2026-08433</t>
        </is>
      </c>
      <c r="C875" t="inlineStr">
        <is>
          <t>163140_02</t>
        </is>
      </c>
      <c r="D875" t="inlineStr">
        <is>
          <t>163140</t>
        </is>
      </c>
      <c r="E875" t="inlineStr">
        <is>
          <t>HALFSIM TIGO CHIP PREPAGO $3 WP NUMERADO</t>
        </is>
      </c>
      <c r="F875" t="n">
        <v>1200</v>
      </c>
      <c r="G875" t="n">
        <v>827.99999999999989</v>
      </c>
      <c r="H875" t="inlineStr">
        <is>
          <t>0.69</t>
        </is>
      </c>
      <c r="J875" t="inlineStr">
        <is>
          <t>ECUATECHNOLOGIES COTOPAXI ZONIFICADOS_JESSICA BALSECA</t>
        </is>
      </c>
      <c r="K875" t="inlineStr">
        <is>
          <t>1791415728001</t>
        </is>
      </c>
      <c r="M875" t="inlineStr">
        <is>
          <t>INDIRECTO</t>
        </is>
      </c>
      <c r="N875" t="inlineStr">
        <is>
          <t>CANAL INDIRECTO</t>
        </is>
      </c>
    </row>
    <row r="876">
      <c r="A876" t="inlineStr">
        <is>
          <t>15/10/2026</t>
        </is>
      </c>
      <c r="B876" t="inlineStr">
        <is>
          <t>2026-08434</t>
        </is>
      </c>
      <c r="C876" t="inlineStr">
        <is>
          <t>163140_02</t>
        </is>
      </c>
      <c r="D876" t="inlineStr">
        <is>
          <t>163140</t>
        </is>
      </c>
      <c r="E876" t="inlineStr">
        <is>
          <t>HALFSIM TIGO CHIP PREPAGO $3 WP NUMERADO</t>
        </is>
      </c>
      <c r="F876" t="n">
        <v>2100</v>
      </c>
      <c r="G876" t="n">
        <v>1449</v>
      </c>
      <c r="H876" t="inlineStr">
        <is>
          <t>0.69</t>
        </is>
      </c>
      <c r="J876" t="inlineStr">
        <is>
          <t>TELECOS RIOBAMBA_ALEJANDRO CACERES / DAYSI PARRA</t>
        </is>
      </c>
      <c r="K876" t="inlineStr">
        <is>
          <t>1791415728001</t>
        </is>
      </c>
      <c r="M876" t="inlineStr">
        <is>
          <t>INDIRECTO</t>
        </is>
      </c>
      <c r="N876" t="inlineStr">
        <is>
          <t>CANAL INDIRECTO</t>
        </is>
      </c>
    </row>
    <row r="877">
      <c r="A877" t="inlineStr">
        <is>
          <t>15/10/2026</t>
        </is>
      </c>
      <c r="B877" t="inlineStr">
        <is>
          <t>2026-08437</t>
        </is>
      </c>
      <c r="C877" t="inlineStr">
        <is>
          <t>163140_02</t>
        </is>
      </c>
      <c r="D877" t="inlineStr">
        <is>
          <t>163140</t>
        </is>
      </c>
      <c r="E877" t="inlineStr">
        <is>
          <t>HALFSIM TIGO CHIP PREPAGO $3 WP NUMERADO</t>
        </is>
      </c>
      <c r="F877" t="n">
        <v>4000</v>
      </c>
      <c r="G877" t="n">
        <v>2760</v>
      </c>
      <c r="H877" t="inlineStr">
        <is>
          <t>0.69</t>
        </is>
      </c>
      <c r="J877" t="inlineStr">
        <is>
          <t>TECECAB CALLE PICHINCHA_ZAIDA MOREIRA</t>
        </is>
      </c>
      <c r="K877" t="inlineStr">
        <is>
          <t>1792306043001</t>
        </is>
      </c>
      <c r="M877" t="inlineStr">
        <is>
          <t>INDIRECTO</t>
        </is>
      </c>
      <c r="N877" t="inlineStr">
        <is>
          <t>CANAL INDIRECTO</t>
        </is>
      </c>
    </row>
    <row r="878">
      <c r="A878" t="inlineStr">
        <is>
          <t>15/10/2026</t>
        </is>
      </c>
      <c r="B878" t="inlineStr">
        <is>
          <t>2026-08438</t>
        </is>
      </c>
      <c r="C878" t="inlineStr">
        <is>
          <t>163140_02</t>
        </is>
      </c>
      <c r="D878" t="inlineStr">
        <is>
          <t>163140</t>
        </is>
      </c>
      <c r="E878" t="inlineStr">
        <is>
          <t>HALFSIM TIGO CHIP PREPAGO $3 WP NUMERADO</t>
        </is>
      </c>
      <c r="F878" t="n">
        <v>800</v>
      </c>
      <c r="G878" t="n">
        <v>552</v>
      </c>
      <c r="H878" t="inlineStr">
        <is>
          <t>0.69</t>
        </is>
      </c>
      <c r="J878" t="inlineStr">
        <is>
          <t>EVELYN TRUJILLO TUENTI CARCHI_EVELYN PAOLA TRUJILLO MANOSALVAS</t>
        </is>
      </c>
      <c r="K878" t="inlineStr">
        <is>
          <t>0401360201001</t>
        </is>
      </c>
      <c r="M878" t="inlineStr">
        <is>
          <t>INDIRECTO</t>
        </is>
      </c>
      <c r="N878" t="inlineStr">
        <is>
          <t>CANAL INDIRECTO</t>
        </is>
      </c>
    </row>
    <row r="879">
      <c r="A879" t="inlineStr">
        <is>
          <t>15/10/2026</t>
        </is>
      </c>
      <c r="B879" t="inlineStr">
        <is>
          <t>2026-08438</t>
        </is>
      </c>
      <c r="C879" t="inlineStr">
        <is>
          <t>163140_02</t>
        </is>
      </c>
      <c r="D879" t="inlineStr">
        <is>
          <t>163140</t>
        </is>
      </c>
      <c r="E879" t="inlineStr">
        <is>
          <t>HALFSIM TIGO CHIP PREPAGO $3 WP NUMERADO</t>
        </is>
      </c>
      <c r="F879" t="n">
        <v>800</v>
      </c>
      <c r="G879" t="n">
        <v>552</v>
      </c>
      <c r="H879" t="inlineStr">
        <is>
          <t>0.69</t>
        </is>
      </c>
      <c r="J879" t="inlineStr">
        <is>
          <t>EVELYN TRUJILLO TUENTI CARCHI_EVELYN PAOLA TRUJILLO MANOSALVAS</t>
        </is>
      </c>
      <c r="K879" t="inlineStr">
        <is>
          <t>0401360201001</t>
        </is>
      </c>
      <c r="M879" t="inlineStr">
        <is>
          <t>INDIRECTO</t>
        </is>
      </c>
      <c r="N879" t="inlineStr">
        <is>
          <t>CANAL INDIRECTO</t>
        </is>
      </c>
    </row>
    <row r="880">
      <c r="A880" t="inlineStr">
        <is>
          <t>15/10/2026</t>
        </is>
      </c>
      <c r="B880" t="inlineStr">
        <is>
          <t>2026-08440</t>
        </is>
      </c>
      <c r="C880" t="inlineStr">
        <is>
          <t>163140_02</t>
        </is>
      </c>
      <c r="D880" t="inlineStr">
        <is>
          <t>163140</t>
        </is>
      </c>
      <c r="E880" t="inlineStr">
        <is>
          <t>HALFSIM TIGO CHIP PREPAGO $3 WP NUMERADO</t>
        </is>
      </c>
      <c r="F880" t="n">
        <v>2000</v>
      </c>
      <c r="G880" t="n">
        <v>1380</v>
      </c>
      <c r="H880" t="inlineStr">
        <is>
          <t>0.69</t>
        </is>
      </c>
      <c r="J880" t="inlineStr">
        <is>
          <t>TECECAB SIEMBRAS ZONIFICADO PICHINCHA_PAOLA MORETA</t>
        </is>
      </c>
      <c r="K880" t="inlineStr">
        <is>
          <t>1716278575</t>
        </is>
      </c>
      <c r="M880" t="inlineStr">
        <is>
          <t>INDIRECTO</t>
        </is>
      </c>
      <c r="N880" t="inlineStr">
        <is>
          <t>CANAL INDIRECTO</t>
        </is>
      </c>
    </row>
    <row r="881">
      <c r="A881" t="inlineStr">
        <is>
          <t>15/10/2026</t>
        </is>
      </c>
      <c r="B881" t="inlineStr">
        <is>
          <t>2026-08441</t>
        </is>
      </c>
      <c r="C881" t="inlineStr">
        <is>
          <t>163140_06</t>
        </is>
      </c>
      <c r="D881" t="inlineStr">
        <is>
          <t>163140</t>
        </is>
      </c>
      <c r="E881" t="inlineStr">
        <is>
          <t>HALFSIM TIGO PORTABILIDAD</t>
        </is>
      </c>
      <c r="F881" t="n">
        <v>400</v>
      </c>
      <c r="G881" t="n">
        <v>276</v>
      </c>
      <c r="H881" t="inlineStr">
        <is>
          <t>0.69</t>
        </is>
      </c>
      <c r="J881" t="inlineStr">
        <is>
          <t>EVELYN PAOLA TRUJILLO MANOSALVAS_TRUJILLO MANOSALVAS EVELYN PAOLA</t>
        </is>
      </c>
      <c r="K881" t="inlineStr">
        <is>
          <t>0401360201001</t>
        </is>
      </c>
      <c r="M881" t="inlineStr">
        <is>
          <t>INDIRECTO</t>
        </is>
      </c>
      <c r="N881" t="inlineStr">
        <is>
          <t>CANAL INDIRECTO</t>
        </is>
      </c>
    </row>
    <row r="882">
      <c r="A882" t="inlineStr">
        <is>
          <t>15/10/2026</t>
        </is>
      </c>
      <c r="B882" t="inlineStr">
        <is>
          <t>2026-08443</t>
        </is>
      </c>
      <c r="C882" t="inlineStr">
        <is>
          <t>163140_02</t>
        </is>
      </c>
      <c r="D882" t="inlineStr">
        <is>
          <t>163140</t>
        </is>
      </c>
      <c r="E882" t="inlineStr">
        <is>
          <t>HALFSIM TIGO CHIP PREPAGO $3 WP NUMERADO</t>
        </is>
      </c>
      <c r="F882" t="n">
        <v>100</v>
      </c>
      <c r="G882" t="n">
        <v>69</v>
      </c>
      <c r="H882" t="inlineStr">
        <is>
          <t>0.69</t>
        </is>
      </c>
      <c r="J882" t="inlineStr">
        <is>
          <t>KIOSKO RYRTECH PASEO SHOPPING DURAN_ROMERO RODRIGUEZ MAURENY GEANELLA</t>
        </is>
      </c>
      <c r="K882" t="inlineStr">
        <is>
          <t>0915962609</t>
        </is>
      </c>
      <c r="M882" t="inlineStr">
        <is>
          <t>INDIRECTO</t>
        </is>
      </c>
      <c r="N882" t="inlineStr">
        <is>
          <t>CANAL INDIRECTO</t>
        </is>
      </c>
    </row>
    <row r="883">
      <c r="A883" t="inlineStr">
        <is>
          <t>15/10/2026</t>
        </is>
      </c>
      <c r="B883" t="inlineStr">
        <is>
          <t>2026-08444</t>
        </is>
      </c>
      <c r="C883" t="inlineStr">
        <is>
          <t>163140</t>
        </is>
      </c>
      <c r="D883" t="inlineStr">
        <is>
          <t>163140</t>
        </is>
      </c>
      <c r="E883" t="inlineStr">
        <is>
          <t>HALFSIM TIGO</t>
        </is>
      </c>
      <c r="F883" t="n">
        <v>300</v>
      </c>
      <c r="G883" t="n">
        <v>206.99999999999997</v>
      </c>
      <c r="H883" t="inlineStr">
        <is>
          <t>0.69</t>
        </is>
      </c>
      <c r="J883" t="inlineStr">
        <is>
          <t>CAVS AE SALESLAND SCALA_JULY FREIRE</t>
        </is>
      </c>
      <c r="K883" t="inlineStr">
        <is>
          <t>1713085593</t>
        </is>
      </c>
      <c r="M883" t="inlineStr">
        <is>
          <t>INDIRECTO</t>
        </is>
      </c>
      <c r="N883" t="inlineStr">
        <is>
          <t>CANAL INDIRECTO</t>
        </is>
      </c>
    </row>
    <row r="884">
      <c r="A884" t="inlineStr">
        <is>
          <t>15/10/2026</t>
        </is>
      </c>
      <c r="B884" t="inlineStr">
        <is>
          <t>2026-08445</t>
        </is>
      </c>
      <c r="C884" t="inlineStr">
        <is>
          <t>163140_02</t>
        </is>
      </c>
      <c r="D884" t="inlineStr">
        <is>
          <t>163140</t>
        </is>
      </c>
      <c r="E884" t="inlineStr">
        <is>
          <t>HALFSIM TIGO CHIP PREPAGO $3 WP NUMERADO</t>
        </is>
      </c>
      <c r="F884" t="n">
        <v>700</v>
      </c>
      <c r="G884" t="n">
        <v>482.99999999999994</v>
      </c>
      <c r="H884" t="inlineStr">
        <is>
          <t>0.69</t>
        </is>
      </c>
      <c r="J884" t="inlineStr">
        <is>
          <t>TELECOS ZONIFICADO TUNGURAHUA _NATALY CAROLINA CUJI FAJARDO</t>
        </is>
      </c>
      <c r="K884" t="inlineStr">
        <is>
          <t>1791415728001</t>
        </is>
      </c>
      <c r="M884" t="inlineStr">
        <is>
          <t>INDIRECTO</t>
        </is>
      </c>
      <c r="N884" t="inlineStr">
        <is>
          <t>CANAL INDIRECTO</t>
        </is>
      </c>
    </row>
    <row r="885">
      <c r="A885" t="inlineStr">
        <is>
          <t>15/10/2026</t>
        </is>
      </c>
      <c r="B885" t="inlineStr">
        <is>
          <t>2026-08446</t>
        </is>
      </c>
      <c r="C885" t="inlineStr">
        <is>
          <t>163140_06</t>
        </is>
      </c>
      <c r="D885" t="inlineStr">
        <is>
          <t>163140</t>
        </is>
      </c>
      <c r="E885" t="inlineStr">
        <is>
          <t>HALFSIM TIGO PORTABILIDAD</t>
        </is>
      </c>
      <c r="F885" t="n">
        <v>200</v>
      </c>
      <c r="G885" t="n">
        <v>138</v>
      </c>
      <c r="H885" t="inlineStr">
        <is>
          <t>0.69</t>
        </is>
      </c>
      <c r="J885" t="inlineStr">
        <is>
          <t>BOPACORP S.A._JOSE MARIO BOHORQUEZ LEON</t>
        </is>
      </c>
      <c r="K885" t="inlineStr">
        <is>
          <t>0925690901</t>
        </is>
      </c>
      <c r="M885" t="inlineStr">
        <is>
          <t>INDIRECTO</t>
        </is>
      </c>
      <c r="N885" t="inlineStr">
        <is>
          <t>CANAL INDIRECTO</t>
        </is>
      </c>
    </row>
    <row r="886">
      <c r="A886" t="inlineStr">
        <is>
          <t>15/10/2026</t>
        </is>
      </c>
      <c r="B886" t="inlineStr">
        <is>
          <t>2026-08447</t>
        </is>
      </c>
      <c r="C886" t="inlineStr">
        <is>
          <t>163140_06</t>
        </is>
      </c>
      <c r="D886" t="inlineStr">
        <is>
          <t>163140</t>
        </is>
      </c>
      <c r="E886" t="inlineStr">
        <is>
          <t>HALFSIM TIGO PORTABILIDAD</t>
        </is>
      </c>
      <c r="F886" t="n">
        <v>100</v>
      </c>
      <c r="G886" t="n">
        <v>69</v>
      </c>
      <c r="H886" t="inlineStr">
        <is>
          <t>0.69</t>
        </is>
      </c>
      <c r="J886" t="inlineStr">
        <is>
          <t>NORPHONE PICHINCHA PDA_MIGUELANGEL MICHILENA QUINTANA</t>
        </is>
      </c>
      <c r="K886" t="inlineStr">
        <is>
          <t>0916791601</t>
        </is>
      </c>
      <c r="M886" t="inlineStr">
        <is>
          <t>INDIRECTO</t>
        </is>
      </c>
      <c r="N886" t="inlineStr">
        <is>
          <t>CANAL INDIRECTO</t>
        </is>
      </c>
    </row>
    <row r="887">
      <c r="A887" t="inlineStr">
        <is>
          <t>15/10/2026</t>
        </is>
      </c>
      <c r="B887" t="inlineStr">
        <is>
          <t>2026-08449</t>
        </is>
      </c>
      <c r="C887" t="inlineStr">
        <is>
          <t>163140</t>
        </is>
      </c>
      <c r="D887" t="inlineStr">
        <is>
          <t>163140</t>
        </is>
      </c>
      <c r="E887" t="inlineStr">
        <is>
          <t>HALFSIM TIGO</t>
        </is>
      </c>
      <c r="F887" t="n">
        <v>200</v>
      </c>
      <c r="G887" t="n">
        <v>138</v>
      </c>
      <c r="H887" t="inlineStr">
        <is>
          <t>0.69</t>
        </is>
      </c>
      <c r="J887" t="inlineStr">
        <is>
          <t>CAVS AE SALESLAND CUENCA REMIGIO_JULY FREIRE</t>
        </is>
      </c>
      <c r="K887" t="inlineStr">
        <is>
          <t>0</t>
        </is>
      </c>
      <c r="M887" t="inlineStr">
        <is>
          <t>INDIRECTO</t>
        </is>
      </c>
      <c r="N887" t="inlineStr">
        <is>
          <t>CANAL INDIRECTO</t>
        </is>
      </c>
    </row>
    <row r="888">
      <c r="A888" t="inlineStr">
        <is>
          <t>15/10/2026</t>
        </is>
      </c>
      <c r="B888" t="inlineStr">
        <is>
          <t>2026-08450</t>
        </is>
      </c>
      <c r="C888" t="inlineStr">
        <is>
          <t>162593</t>
        </is>
      </c>
      <c r="D888" t="inlineStr">
        <is>
          <t>162593</t>
        </is>
      </c>
      <c r="E888" t="inlineStr">
        <is>
          <t>HALFSIM KITE M2M 3FF DEVICE CONTROL BLANCA</t>
        </is>
      </c>
      <c r="F888" t="n">
        <v>1</v>
      </c>
      <c r="G888" t="n">
        <v>0.67</v>
      </c>
      <c r="H888" t="inlineStr">
        <is>
          <t>0.67</t>
        </is>
      </c>
      <c r="J888" t="inlineStr">
        <is>
          <t>KUNANSOFT_YERELMY RAMRIEZ</t>
        </is>
      </c>
      <c r="K888" t="inlineStr">
        <is>
          <t>0190380009001</t>
        </is>
      </c>
      <c r="M888" t="inlineStr">
        <is>
          <t>INDIRECTO</t>
        </is>
      </c>
      <c r="N888" t="inlineStr">
        <is>
          <t>CANAL INDIRECTO</t>
        </is>
      </c>
    </row>
    <row r="889">
      <c r="A889" t="inlineStr">
        <is>
          <t>16/10/2026</t>
        </is>
      </c>
      <c r="B889" t="inlineStr">
        <is>
          <t>16502909</t>
        </is>
      </c>
      <c r="C889" t="inlineStr">
        <is>
          <t>163140</t>
        </is>
      </c>
      <c r="D889" t="inlineStr">
        <is>
          <t>163140</t>
        </is>
      </c>
      <c r="E889" t="inlineStr">
        <is>
          <t>HALFSIM TIGO</t>
        </is>
      </c>
      <c r="F889" t="n">
        <v>1</v>
      </c>
      <c r="G889" t="n">
        <v>0.69</v>
      </c>
      <c r="H889" t="inlineStr">
        <is>
          <t>0.69</t>
        </is>
      </c>
      <c r="J889" t="inlineStr">
        <is>
          <t>MISHQUE TADAY ANGEL FERNANDO_MISHQUE TADAY ANGEL FERNANDO</t>
        </is>
      </c>
      <c r="K889" t="inlineStr">
        <is>
          <t>0604581496001</t>
        </is>
      </c>
      <c r="M889" t="inlineStr">
        <is>
          <t>BTB</t>
        </is>
      </c>
      <c r="N889" t="inlineStr">
        <is>
          <t>CANAL DIRECTO</t>
        </is>
      </c>
    </row>
    <row r="890">
      <c r="A890" t="inlineStr">
        <is>
          <t>16/10/2026</t>
        </is>
      </c>
      <c r="B890" t="inlineStr">
        <is>
          <t>16504795</t>
        </is>
      </c>
      <c r="C890" t="inlineStr">
        <is>
          <t>163140</t>
        </is>
      </c>
      <c r="D890" t="inlineStr">
        <is>
          <t>163140</t>
        </is>
      </c>
      <c r="E890" t="inlineStr">
        <is>
          <t>HALFSIM TIGO</t>
        </is>
      </c>
      <c r="F890" t="n">
        <v>1</v>
      </c>
      <c r="G890" t="n">
        <v>0.69</v>
      </c>
      <c r="H890" t="inlineStr">
        <is>
          <t>0.69</t>
        </is>
      </c>
      <c r="J890" t="inlineStr">
        <is>
          <t>DARWIN XAVIER GUIZADO ARCOS_DARWIN XAVIER GUIZADO ARCOS</t>
        </is>
      </c>
      <c r="K890" t="inlineStr">
        <is>
          <t>1719201145001</t>
        </is>
      </c>
      <c r="M890" t="inlineStr">
        <is>
          <t>BTB</t>
        </is>
      </c>
      <c r="N890" t="inlineStr">
        <is>
          <t>CANAL DIRECTO</t>
        </is>
      </c>
    </row>
    <row r="891">
      <c r="A891" t="inlineStr">
        <is>
          <t>16/10/2026</t>
        </is>
      </c>
      <c r="B891" t="inlineStr">
        <is>
          <t>16504984</t>
        </is>
      </c>
      <c r="C891" t="inlineStr">
        <is>
          <t>163140</t>
        </is>
      </c>
      <c r="D891" t="inlineStr">
        <is>
          <t>163140</t>
        </is>
      </c>
      <c r="E891" t="inlineStr">
        <is>
          <t>HALFSIM TIGO</t>
        </is>
      </c>
      <c r="F891" t="n">
        <v>1</v>
      </c>
      <c r="G891" t="n">
        <v>0.69</v>
      </c>
      <c r="H891" t="inlineStr">
        <is>
          <t>0.69</t>
        </is>
      </c>
      <c r="J891" t="inlineStr">
        <is>
          <t>DAYANA PALACIOS_CONSEJO GUBERNATIVO DE LOS BIENES DE LA DIOCESIS DE AMBATO</t>
        </is>
      </c>
      <c r="K891" t="inlineStr">
        <is>
          <t>1890016509001</t>
        </is>
      </c>
      <c r="M891" t="inlineStr">
        <is>
          <t>BTB</t>
        </is>
      </c>
      <c r="N891" t="inlineStr">
        <is>
          <t>CANAL DIRECTO</t>
        </is>
      </c>
    </row>
    <row r="892">
      <c r="A892" t="inlineStr">
        <is>
          <t>16/10/2026</t>
        </is>
      </c>
      <c r="B892" t="inlineStr">
        <is>
          <t>16505186</t>
        </is>
      </c>
      <c r="C892" t="inlineStr">
        <is>
          <t>163140</t>
        </is>
      </c>
      <c r="D892" t="inlineStr">
        <is>
          <t>163140</t>
        </is>
      </c>
      <c r="E892" t="inlineStr">
        <is>
          <t>HALFSIM TIGO</t>
        </is>
      </c>
      <c r="F892" t="n">
        <v>1</v>
      </c>
      <c r="G892" t="n">
        <v>0.69</v>
      </c>
      <c r="H892" t="inlineStr">
        <is>
          <t>0.69</t>
        </is>
      </c>
      <c r="J892" t="inlineStr">
        <is>
          <t>CHRISTIAN SANTIAGO GUZMAN ALBORNOZ_GUZMAN ALBORNOZ CHRISTIAN SANTIAGO</t>
        </is>
      </c>
      <c r="K892" t="inlineStr">
        <is>
          <t>1711467769001</t>
        </is>
      </c>
      <c r="M892" t="inlineStr">
        <is>
          <t>BTB</t>
        </is>
      </c>
      <c r="N892" t="inlineStr">
        <is>
          <t>CANAL DIRECTO</t>
        </is>
      </c>
    </row>
    <row r="893">
      <c r="A893" t="inlineStr">
        <is>
          <t>16/10/2026</t>
        </is>
      </c>
      <c r="B893" t="inlineStr">
        <is>
          <t>2026-08408</t>
        </is>
      </c>
      <c r="C893" t="inlineStr">
        <is>
          <t>162699</t>
        </is>
      </c>
      <c r="D893" t="inlineStr">
        <is>
          <t>162699</t>
        </is>
      </c>
      <c r="E893" t="inlineStr">
        <is>
          <t>HALFSIM KITE M2M 4FF DEVICE CONTROL TELEFONICA</t>
        </is>
      </c>
      <c r="F893" t="n">
        <v>50</v>
      </c>
      <c r="G893" t="n">
        <v>34.5</v>
      </c>
      <c r="H893" t="inlineStr">
        <is>
          <t>0.69</t>
        </is>
      </c>
      <c r="J893" t="inlineStr">
        <is>
          <t>INARPI S.A._GREGORY BARCIA</t>
        </is>
      </c>
      <c r="K893" t="inlineStr">
        <is>
          <t>0992247932001</t>
        </is>
      </c>
      <c r="M893" t="inlineStr">
        <is>
          <t>INDIRECTO</t>
        </is>
      </c>
      <c r="N893" t="inlineStr">
        <is>
          <t>CANAL INDIRECTO</t>
        </is>
      </c>
    </row>
    <row r="894">
      <c r="A894" t="inlineStr">
        <is>
          <t>16/10/2026</t>
        </is>
      </c>
      <c r="B894" t="inlineStr">
        <is>
          <t>16505337</t>
        </is>
      </c>
      <c r="C894" t="inlineStr">
        <is>
          <t>163140</t>
        </is>
      </c>
      <c r="D894" t="inlineStr">
        <is>
          <t>163140</t>
        </is>
      </c>
      <c r="E894" t="inlineStr">
        <is>
          <t>HALFSIM TIGO</t>
        </is>
      </c>
      <c r="F894" t="n">
        <v>1</v>
      </c>
      <c r="G894" t="n">
        <v>0.69</v>
      </c>
      <c r="H894" t="inlineStr">
        <is>
          <t>0.69</t>
        </is>
      </c>
      <c r="J894" t="inlineStr">
        <is>
          <t>YANNUZZELLI RIVADENEIRA TONIO ANDRES_YANNUZZELLI RIVADENEIRA TONIO ANDRES</t>
        </is>
      </c>
      <c r="K894" t="inlineStr">
        <is>
          <t>0950473504001</t>
        </is>
      </c>
      <c r="M894" t="inlineStr">
        <is>
          <t>BTB</t>
        </is>
      </c>
      <c r="N894" t="inlineStr">
        <is>
          <t>CANAL DIRECTO</t>
        </is>
      </c>
    </row>
    <row r="895">
      <c r="A895" t="inlineStr">
        <is>
          <t>16/10/2026</t>
        </is>
      </c>
      <c r="B895" t="inlineStr">
        <is>
          <t>16505339</t>
        </is>
      </c>
      <c r="C895" t="inlineStr">
        <is>
          <t>163140</t>
        </is>
      </c>
      <c r="D895" t="inlineStr">
        <is>
          <t>163140</t>
        </is>
      </c>
      <c r="E895" t="inlineStr">
        <is>
          <t>HALFSIM TIGO</t>
        </is>
      </c>
      <c r="F895" t="n">
        <v>1</v>
      </c>
      <c r="G895" t="n">
        <v>0.69</v>
      </c>
      <c r="H895" t="inlineStr">
        <is>
          <t>0.69</t>
        </is>
      </c>
      <c r="J895" t="inlineStr">
        <is>
          <t>MARTINEZ GONZALES MAYRA MADELINE_MARTINEZ GONZALES MAYRA MADELINE</t>
        </is>
      </c>
      <c r="K895" t="inlineStr">
        <is>
          <t>0804988855001</t>
        </is>
      </c>
      <c r="M895" t="inlineStr">
        <is>
          <t>BTB</t>
        </is>
      </c>
      <c r="N895" t="inlineStr">
        <is>
          <t>CANAL DIRECTO</t>
        </is>
      </c>
    </row>
    <row r="896">
      <c r="A896" t="inlineStr">
        <is>
          <t>16/10/2026</t>
        </is>
      </c>
      <c r="B896" t="inlineStr">
        <is>
          <t>16505349</t>
        </is>
      </c>
      <c r="C896" t="inlineStr">
        <is>
          <t>163140</t>
        </is>
      </c>
      <c r="D896" t="inlineStr">
        <is>
          <t>163140</t>
        </is>
      </c>
      <c r="E896" t="inlineStr">
        <is>
          <t>HALFSIM TIGO</t>
        </is>
      </c>
      <c r="F896" t="n">
        <v>10</v>
      </c>
      <c r="G896" t="n">
        <v>6.8999999999999995</v>
      </c>
      <c r="H896" t="inlineStr">
        <is>
          <t>0.69</t>
        </is>
      </c>
      <c r="J896" t="inlineStr">
        <is>
          <t>LUIGI BENAVIDES_ REFACTOR STUDIOS S A S S A</t>
        </is>
      </c>
      <c r="K896" t="inlineStr">
        <is>
          <t>1793213411001</t>
        </is>
      </c>
      <c r="M896" t="inlineStr">
        <is>
          <t>BTB</t>
        </is>
      </c>
      <c r="N896" t="inlineStr">
        <is>
          <t>CANAL DIRECTO</t>
        </is>
      </c>
    </row>
    <row r="897">
      <c r="A897" t="inlineStr">
        <is>
          <t>16/10/2026</t>
        </is>
      </c>
      <c r="B897" t="inlineStr">
        <is>
          <t>16505427</t>
        </is>
      </c>
      <c r="C897" t="inlineStr">
        <is>
          <t>163140</t>
        </is>
      </c>
      <c r="D897" t="inlineStr">
        <is>
          <t>163140</t>
        </is>
      </c>
      <c r="E897" t="inlineStr">
        <is>
          <t>HALFSIM TIGO</t>
        </is>
      </c>
      <c r="F897" t="n">
        <v>1</v>
      </c>
      <c r="G897" t="n">
        <v>0.69</v>
      </c>
      <c r="H897" t="inlineStr">
        <is>
          <t>0.69</t>
        </is>
      </c>
      <c r="J897" t="inlineStr">
        <is>
          <t>PINELA ZAMORA THALIA CRISTINA_PINELA ZAMORA THALIA CRISTINA</t>
        </is>
      </c>
      <c r="K897" t="inlineStr">
        <is>
          <t>1313681429001</t>
        </is>
      </c>
      <c r="M897" t="inlineStr">
        <is>
          <t>BTB</t>
        </is>
      </c>
      <c r="N897" t="inlineStr">
        <is>
          <t>CANAL DIRECTO</t>
        </is>
      </c>
    </row>
    <row r="898">
      <c r="A898" t="inlineStr">
        <is>
          <t>16/10/2026</t>
        </is>
      </c>
      <c r="B898" t="inlineStr">
        <is>
          <t>16505413</t>
        </is>
      </c>
      <c r="C898" t="inlineStr">
        <is>
          <t>163140</t>
        </is>
      </c>
      <c r="D898" t="inlineStr">
        <is>
          <t>163140</t>
        </is>
      </c>
      <c r="E898" t="inlineStr">
        <is>
          <t>HALFSIM TIGO</t>
        </is>
      </c>
      <c r="F898" t="n">
        <v>1</v>
      </c>
      <c r="G898" t="n">
        <v>0.69</v>
      </c>
      <c r="H898" t="inlineStr">
        <is>
          <t>0.69</t>
        </is>
      </c>
      <c r="J898" t="inlineStr">
        <is>
          <t>VERONICA SALGUERO_PRONAVALLE S C C I</t>
        </is>
      </c>
      <c r="K898" t="inlineStr">
        <is>
          <t>1791748727001</t>
        </is>
      </c>
      <c r="M898" t="inlineStr">
        <is>
          <t>BTB</t>
        </is>
      </c>
      <c r="N898" t="inlineStr">
        <is>
          <t>CANAL DIRECTO</t>
        </is>
      </c>
    </row>
    <row r="899">
      <c r="A899" t="inlineStr">
        <is>
          <t>16/10/2026</t>
        </is>
      </c>
      <c r="B899" t="inlineStr">
        <is>
          <t>16505438</t>
        </is>
      </c>
      <c r="C899" t="inlineStr">
        <is>
          <t>163140</t>
        </is>
      </c>
      <c r="D899" t="inlineStr">
        <is>
          <t>163140</t>
        </is>
      </c>
      <c r="E899" t="inlineStr">
        <is>
          <t>HALFSIM TIGO</t>
        </is>
      </c>
      <c r="F899" t="n">
        <v>10</v>
      </c>
      <c r="G899" t="n">
        <v>6.8999999999999995</v>
      </c>
      <c r="H899" t="inlineStr">
        <is>
          <t>0.69</t>
        </is>
      </c>
      <c r="J899" t="inlineStr">
        <is>
          <t>MARCO TORAL_FOSFORERA ECUATORIANA S A</t>
        </is>
      </c>
      <c r="K899" t="inlineStr">
        <is>
          <t>1790021203001</t>
        </is>
      </c>
      <c r="M899" t="inlineStr">
        <is>
          <t>BTB</t>
        </is>
      </c>
      <c r="N899" t="inlineStr">
        <is>
          <t>CANAL DIRECTO</t>
        </is>
      </c>
    </row>
    <row r="900">
      <c r="A900" t="inlineStr">
        <is>
          <t>16/10/2026</t>
        </is>
      </c>
      <c r="B900" t="inlineStr">
        <is>
          <t>16505459</t>
        </is>
      </c>
      <c r="C900" t="inlineStr">
        <is>
          <t>163140</t>
        </is>
      </c>
      <c r="D900" t="inlineStr">
        <is>
          <t>163140</t>
        </is>
      </c>
      <c r="E900" t="inlineStr">
        <is>
          <t>HALFSIM TIGO</t>
        </is>
      </c>
      <c r="F900" t="n">
        <v>1</v>
      </c>
      <c r="G900" t="n">
        <v>0.69</v>
      </c>
      <c r="H900" t="inlineStr">
        <is>
          <t>0.69</t>
        </is>
      </c>
      <c r="J900" t="inlineStr">
        <is>
          <t>OBANDO LAAZ FABRIZZIO_OBANDO LAAZ FABRIZZIO</t>
        </is>
      </c>
      <c r="K900" t="inlineStr">
        <is>
          <t>0914870340001</t>
        </is>
      </c>
      <c r="M900" t="inlineStr">
        <is>
          <t>BTB</t>
        </is>
      </c>
      <c r="N900" t="inlineStr">
        <is>
          <t>CANAL DIRECTO</t>
        </is>
      </c>
    </row>
    <row r="901">
      <c r="A901" t="inlineStr">
        <is>
          <t>16/10/2026</t>
        </is>
      </c>
      <c r="B901" t="inlineStr">
        <is>
          <t>16505465</t>
        </is>
      </c>
      <c r="C901" t="inlineStr">
        <is>
          <t>163140</t>
        </is>
      </c>
      <c r="D901" t="inlineStr">
        <is>
          <t>163140</t>
        </is>
      </c>
      <c r="E901" t="inlineStr">
        <is>
          <t>HALFSIM TIGO</t>
        </is>
      </c>
      <c r="F901" t="n">
        <v>1</v>
      </c>
      <c r="G901" t="n">
        <v>0.69</v>
      </c>
      <c r="H901" t="inlineStr">
        <is>
          <t>0.69</t>
        </is>
      </c>
      <c r="J901" t="inlineStr">
        <is>
          <t>GUERRERO MACIAS DIEGO SANTIAGO_GUERRERO MACIAS DIEGO SANTIAGO</t>
        </is>
      </c>
      <c r="K901" t="inlineStr">
        <is>
          <t>0803832666001</t>
        </is>
      </c>
      <c r="M901" t="inlineStr">
        <is>
          <t>BTB</t>
        </is>
      </c>
      <c r="N901" t="inlineStr">
        <is>
          <t>CANAL DIRECTO</t>
        </is>
      </c>
    </row>
    <row r="902">
      <c r="A902" t="inlineStr">
        <is>
          <t>16/10/2026</t>
        </is>
      </c>
      <c r="B902" t="inlineStr">
        <is>
          <t>16505569</t>
        </is>
      </c>
      <c r="C902" t="inlineStr">
        <is>
          <t>162148</t>
        </is>
      </c>
      <c r="D902" t="inlineStr">
        <is>
          <t>162148</t>
        </is>
      </c>
      <c r="E902" t="inlineStr">
        <is>
          <t>SIMCARD M2M 3FF LTE</t>
        </is>
      </c>
      <c r="F902" t="n">
        <v>10</v>
      </c>
      <c r="G902" t="n">
        <v>13.700000000000001</v>
      </c>
      <c r="H902" t="inlineStr">
        <is>
          <t>1.37</t>
        </is>
      </c>
      <c r="J902" t="inlineStr">
        <is>
          <t>ALEXANDRA LARREA_PAREDES ROBALINO MARCELO JAVIER</t>
        </is>
      </c>
      <c r="K902" t="inlineStr">
        <is>
          <t>1802150357001</t>
        </is>
      </c>
      <c r="M902" t="inlineStr">
        <is>
          <t>BTB</t>
        </is>
      </c>
      <c r="N902" t="inlineStr">
        <is>
          <t>CANAL DIRECTO</t>
        </is>
      </c>
    </row>
    <row r="903">
      <c r="A903" t="inlineStr">
        <is>
          <t>16/10/2026</t>
        </is>
      </c>
      <c r="B903" t="inlineStr">
        <is>
          <t>2026-08451</t>
        </is>
      </c>
      <c r="C903" t="inlineStr">
        <is>
          <t>163140_02</t>
        </is>
      </c>
      <c r="D903" t="inlineStr">
        <is>
          <t>163140</t>
        </is>
      </c>
      <c r="E903" t="inlineStr">
        <is>
          <t>HALFSIM TIGO CHIP PREPAGO $3 WP NUMERADO</t>
        </is>
      </c>
      <c r="F903" t="n">
        <v>1200</v>
      </c>
      <c r="G903" t="n">
        <v>827.99999999999989</v>
      </c>
      <c r="H903" t="inlineStr">
        <is>
          <t>0.69</t>
        </is>
      </c>
      <c r="J903" t="inlineStr">
        <is>
          <t>TELECOS RIOBAMBA_ALEJANDRO CACERES / DAYSI PARRA</t>
        </is>
      </c>
      <c r="K903" t="inlineStr">
        <is>
          <t>1791415728001</t>
        </is>
      </c>
      <c r="M903" t="inlineStr">
        <is>
          <t>INDIRECTO</t>
        </is>
      </c>
      <c r="N903" t="inlineStr">
        <is>
          <t>CANAL INDIRECTO</t>
        </is>
      </c>
    </row>
    <row r="904">
      <c r="A904" t="inlineStr">
        <is>
          <t>16/10/2026</t>
        </is>
      </c>
      <c r="B904" t="inlineStr">
        <is>
          <t>2026-08452</t>
        </is>
      </c>
      <c r="C904" t="inlineStr">
        <is>
          <t>163140_06</t>
        </is>
      </c>
      <c r="D904" t="inlineStr">
        <is>
          <t>163140</t>
        </is>
      </c>
      <c r="E904" t="inlineStr">
        <is>
          <t>HALFSIM TIGO PORTABILIDAD</t>
        </is>
      </c>
      <c r="F904" t="n">
        <v>2100</v>
      </c>
      <c r="G904" t="n">
        <v>1449</v>
      </c>
      <c r="H904" t="inlineStr">
        <is>
          <t>0.69</t>
        </is>
      </c>
      <c r="J904" t="inlineStr">
        <is>
          <t>LAB-ONE CIA.LTDA._GABRIELA CASTELLANOS</t>
        </is>
      </c>
      <c r="K904" t="inlineStr">
        <is>
          <t>1720213410</t>
        </is>
      </c>
      <c r="M904" t="inlineStr">
        <is>
          <t>INDIRECTO</t>
        </is>
      </c>
      <c r="N904" t="inlineStr">
        <is>
          <t>CANAL INDIRECTO</t>
        </is>
      </c>
    </row>
    <row r="905">
      <c r="A905" t="inlineStr">
        <is>
          <t>16/10/2026</t>
        </is>
      </c>
      <c r="B905" t="inlineStr">
        <is>
          <t>2026-08452</t>
        </is>
      </c>
      <c r="C905" t="inlineStr">
        <is>
          <t>163141</t>
        </is>
      </c>
      <c r="D905" t="inlineStr">
        <is>
          <t>163141</t>
        </is>
      </c>
      <c r="E905" t="inlineStr">
        <is>
          <t>ESIM TIGO DIGITAL</t>
        </is>
      </c>
      <c r="F905" t="n">
        <v>500</v>
      </c>
      <c r="G905" t="n">
        <v>105</v>
      </c>
      <c r="H905" t="inlineStr">
        <is>
          <t>0.21</t>
        </is>
      </c>
      <c r="J905" t="inlineStr">
        <is>
          <t>LAB-ONE CIA.LTDA._GABRIELA CASTELLANOS</t>
        </is>
      </c>
      <c r="K905" t="inlineStr">
        <is>
          <t>1720213410</t>
        </is>
      </c>
      <c r="M905" t="inlineStr">
        <is>
          <t>INDIRECTO</t>
        </is>
      </c>
      <c r="N905" t="inlineStr">
        <is>
          <t>CANAL INDIRECTO</t>
        </is>
      </c>
    </row>
    <row r="906">
      <c r="A906" t="inlineStr">
        <is>
          <t>16/10/2026</t>
        </is>
      </c>
      <c r="B906" t="inlineStr">
        <is>
          <t>2026-08453</t>
        </is>
      </c>
      <c r="C906" t="inlineStr">
        <is>
          <t>163140_02</t>
        </is>
      </c>
      <c r="D906" t="inlineStr">
        <is>
          <t>163140</t>
        </is>
      </c>
      <c r="E906" t="inlineStr">
        <is>
          <t>HALFSIM TIGO CHIP PREPAGO $3 WP NUMERADO</t>
        </is>
      </c>
      <c r="F906" t="n">
        <v>500</v>
      </c>
      <c r="G906" t="n">
        <v>345</v>
      </c>
      <c r="H906" t="inlineStr">
        <is>
          <t>0.69</t>
        </is>
      </c>
      <c r="J906" t="inlineStr">
        <is>
          <t>DKOMUNICACIONES  MOVISTAR CHIMBORAZO_KATHERINE ELIZABETH ALMEIDA GUZMAN</t>
        </is>
      </c>
      <c r="K906" t="inlineStr">
        <is>
          <t>1714944186</t>
        </is>
      </c>
      <c r="M906" t="inlineStr">
        <is>
          <t>INDIRECTO</t>
        </is>
      </c>
      <c r="N906" t="inlineStr">
        <is>
          <t>CANAL INDIRECTO</t>
        </is>
      </c>
    </row>
    <row r="907">
      <c r="A907" t="inlineStr">
        <is>
          <t>16/10/2026</t>
        </is>
      </c>
      <c r="B907" t="inlineStr">
        <is>
          <t>2026-08454</t>
        </is>
      </c>
      <c r="C907" t="inlineStr">
        <is>
          <t>163140_02</t>
        </is>
      </c>
      <c r="D907" t="inlineStr">
        <is>
          <t>163140</t>
        </is>
      </c>
      <c r="E907" t="inlineStr">
        <is>
          <t>HALFSIM TIGO CHIP PREPAGO $3 WP NUMERADO</t>
        </is>
      </c>
      <c r="F907" t="n">
        <v>200</v>
      </c>
      <c r="G907" t="n">
        <v>138</v>
      </c>
      <c r="H907" t="inlineStr">
        <is>
          <t>0.69</t>
        </is>
      </c>
      <c r="J907" t="inlineStr">
        <is>
          <t>TELECOS CHIMBORAZO PDA_DAYSI JANNETH PARRA CHANGO</t>
        </is>
      </c>
      <c r="K907" t="inlineStr">
        <is>
          <t>0604718841</t>
        </is>
      </c>
      <c r="M907" t="inlineStr">
        <is>
          <t>INDIRECTO</t>
        </is>
      </c>
      <c r="N907" t="inlineStr">
        <is>
          <t>CANAL INDIRECTO</t>
        </is>
      </c>
    </row>
    <row r="908">
      <c r="A908" t="inlineStr">
        <is>
          <t>16/10/2026</t>
        </is>
      </c>
      <c r="B908" t="inlineStr">
        <is>
          <t>2026-08455</t>
        </is>
      </c>
      <c r="C908" t="inlineStr">
        <is>
          <t>163140_02</t>
        </is>
      </c>
      <c r="D908" t="inlineStr">
        <is>
          <t>163140</t>
        </is>
      </c>
      <c r="E908" t="inlineStr">
        <is>
          <t>HALFSIM TIGO CHIP PREPAGO $3 WP NUMERADO</t>
        </is>
      </c>
      <c r="F908" t="n">
        <v>400</v>
      </c>
      <c r="G908" t="n">
        <v>276</v>
      </c>
      <c r="H908" t="inlineStr">
        <is>
          <t>0.69</t>
        </is>
      </c>
      <c r="J908" t="inlineStr">
        <is>
          <t>TELECOS COTOPAXI PDA_JOHANNA VANESSA PLAZA MIRANDA</t>
        </is>
      </c>
      <c r="K908" t="inlineStr">
        <is>
          <t>1720224771</t>
        </is>
      </c>
      <c r="M908" t="inlineStr">
        <is>
          <t>INDIRECTO</t>
        </is>
      </c>
      <c r="N908" t="inlineStr">
        <is>
          <t>CANAL INDIRECTO</t>
        </is>
      </c>
    </row>
    <row r="909">
      <c r="A909" t="inlineStr">
        <is>
          <t>16/10/2026</t>
        </is>
      </c>
      <c r="B909" t="inlineStr">
        <is>
          <t>2026-08456</t>
        </is>
      </c>
      <c r="C909" t="inlineStr">
        <is>
          <t>163140_02</t>
        </is>
      </c>
      <c r="D909" t="inlineStr">
        <is>
          <t>163140</t>
        </is>
      </c>
      <c r="E909" t="inlineStr">
        <is>
          <t>HALFSIM TIGO CHIP PREPAGO $3 WP NUMERADO</t>
        </is>
      </c>
      <c r="F909" t="n">
        <v>700</v>
      </c>
      <c r="G909" t="n">
        <v>482.99999999999994</v>
      </c>
      <c r="H909" t="inlineStr">
        <is>
          <t>0.69</t>
        </is>
      </c>
      <c r="J909" t="inlineStr">
        <is>
          <t>ECUATECHNOLOGIES COTOPAXI ZONIFICADOS_JESSICA BALSECA</t>
        </is>
      </c>
      <c r="K909" t="inlineStr">
        <is>
          <t>1791415728001</t>
        </is>
      </c>
      <c r="M909" t="inlineStr">
        <is>
          <t>INDIRECTO</t>
        </is>
      </c>
      <c r="N909" t="inlineStr">
        <is>
          <t>CANAL INDIRECTO</t>
        </is>
      </c>
    </row>
    <row r="910">
      <c r="A910" t="inlineStr">
        <is>
          <t>16/10/2026</t>
        </is>
      </c>
      <c r="B910" t="inlineStr">
        <is>
          <t>2026-08457</t>
        </is>
      </c>
      <c r="C910" t="inlineStr">
        <is>
          <t>163140_02</t>
        </is>
      </c>
      <c r="D910" t="inlineStr">
        <is>
          <t>163140</t>
        </is>
      </c>
      <c r="E910" t="inlineStr">
        <is>
          <t>HALFSIM TIGO CHIP PREPAGO $3 WP NUMERADO</t>
        </is>
      </c>
      <c r="F910" t="n">
        <v>700</v>
      </c>
      <c r="G910" t="n">
        <v>482.99999999999994</v>
      </c>
      <c r="H910" t="inlineStr">
        <is>
          <t>0.69</t>
        </is>
      </c>
      <c r="J910" t="inlineStr">
        <is>
          <t>TELECOS ZONIFICADO TUNGURAHUA _NATALY CAROLINA CUJI FAJARDO</t>
        </is>
      </c>
      <c r="K910" t="inlineStr">
        <is>
          <t>1791415728001</t>
        </is>
      </c>
      <c r="M910" t="inlineStr">
        <is>
          <t>INDIRECTO</t>
        </is>
      </c>
      <c r="N910" t="inlineStr">
        <is>
          <t>CANAL INDIRECTO</t>
        </is>
      </c>
    </row>
    <row r="911">
      <c r="A911" t="inlineStr">
        <is>
          <t>16/10/2026</t>
        </is>
      </c>
      <c r="B911" t="inlineStr">
        <is>
          <t>2026-08458</t>
        </is>
      </c>
      <c r="C911" t="inlineStr">
        <is>
          <t>163140_02</t>
        </is>
      </c>
      <c r="D911" t="inlineStr">
        <is>
          <t>163140</t>
        </is>
      </c>
      <c r="E911" t="inlineStr">
        <is>
          <t>HALFSIM TIGO CHIP PREPAGO $3 WP NUMERADO</t>
        </is>
      </c>
      <c r="F911" t="n">
        <v>300</v>
      </c>
      <c r="G911" t="n">
        <v>206.99999999999997</v>
      </c>
      <c r="H911" t="inlineStr">
        <is>
          <t>0.69</t>
        </is>
      </c>
      <c r="J911" t="inlineStr">
        <is>
          <t>TELECOS TUNGURAHUA  PDA_ABIGAIL PEREZ SAILEMA</t>
        </is>
      </c>
      <c r="K911" t="inlineStr">
        <is>
          <t>0503079535</t>
        </is>
      </c>
      <c r="M911" t="inlineStr">
        <is>
          <t>INDIRECTO</t>
        </is>
      </c>
      <c r="N911" t="inlineStr">
        <is>
          <t>CANAL INDIRECTO</t>
        </is>
      </c>
    </row>
    <row r="912">
      <c r="A912" t="inlineStr">
        <is>
          <t>16/10/2026</t>
        </is>
      </c>
      <c r="B912" t="inlineStr">
        <is>
          <t>2026-08464</t>
        </is>
      </c>
      <c r="C912" t="inlineStr">
        <is>
          <t>163140_02</t>
        </is>
      </c>
      <c r="D912" t="inlineStr">
        <is>
          <t>163140</t>
        </is>
      </c>
      <c r="E912" t="inlineStr">
        <is>
          <t>HALFSIM TIGO CHIP PREPAGO $3 WP NUMERADO</t>
        </is>
      </c>
      <c r="F912" t="n">
        <v>3000</v>
      </c>
      <c r="G912" t="n">
        <v>2070</v>
      </c>
      <c r="H912" t="inlineStr">
        <is>
          <t>0.69</t>
        </is>
      </c>
      <c r="J912" t="inlineStr">
        <is>
          <t>FDV&amp;H MANABI PDA_VICTOR FLORES DE VALGAZ ANDRADE</t>
        </is>
      </c>
      <c r="K912" t="inlineStr">
        <is>
          <t>1716384035</t>
        </is>
      </c>
      <c r="M912" t="inlineStr">
        <is>
          <t>INDIRECTO</t>
        </is>
      </c>
      <c r="N912" t="inlineStr">
        <is>
          <t>CANAL INDIRECTO</t>
        </is>
      </c>
    </row>
    <row r="913">
      <c r="A913" t="inlineStr">
        <is>
          <t>16/10/2026</t>
        </is>
      </c>
      <c r="B913" t="inlineStr">
        <is>
          <t>16505596</t>
        </is>
      </c>
      <c r="C913" t="inlineStr">
        <is>
          <t>163140</t>
        </is>
      </c>
      <c r="D913" t="inlineStr">
        <is>
          <t>163140</t>
        </is>
      </c>
      <c r="E913" t="inlineStr">
        <is>
          <t>HALFSIM TIGO</t>
        </is>
      </c>
      <c r="F913" t="n">
        <v>3</v>
      </c>
      <c r="G913" t="n">
        <v>2.0699999999999998</v>
      </c>
      <c r="H913" t="inlineStr">
        <is>
          <t>0.69</t>
        </is>
      </c>
      <c r="J913" t="inlineStr">
        <is>
          <t>ANDREA PAOLA MENDOZA SAN MARTIN_FUNDACION DE AYUDA A LA EDUCACION</t>
        </is>
      </c>
      <c r="K913" t="inlineStr">
        <is>
          <t>0991341889001</t>
        </is>
      </c>
      <c r="M913" t="inlineStr">
        <is>
          <t>BTB</t>
        </is>
      </c>
      <c r="N913" t="inlineStr">
        <is>
          <t>CANAL DIRECTO</t>
        </is>
      </c>
    </row>
    <row r="914">
      <c r="A914" t="inlineStr">
        <is>
          <t>16/10/2026</t>
        </is>
      </c>
      <c r="B914" t="inlineStr">
        <is>
          <t>16505608</t>
        </is>
      </c>
      <c r="C914" t="inlineStr">
        <is>
          <t>163140</t>
        </is>
      </c>
      <c r="D914" t="inlineStr">
        <is>
          <t>163140</t>
        </is>
      </c>
      <c r="E914" t="inlineStr">
        <is>
          <t>HALFSIM TIGO</t>
        </is>
      </c>
      <c r="F914" t="n">
        <v>1</v>
      </c>
      <c r="G914" t="n">
        <v>0.69</v>
      </c>
      <c r="H914" t="inlineStr">
        <is>
          <t>0.69</t>
        </is>
      </c>
      <c r="J914" t="inlineStr">
        <is>
          <t>LINA DIAZ_TRECX S A</t>
        </is>
      </c>
      <c r="K914" t="inlineStr">
        <is>
          <t>1791812484001</t>
        </is>
      </c>
      <c r="M914" t="inlineStr">
        <is>
          <t>BTB</t>
        </is>
      </c>
      <c r="N914" t="inlineStr">
        <is>
          <t>CANAL DIRECTO</t>
        </is>
      </c>
    </row>
    <row r="915">
      <c r="A915" t="inlineStr">
        <is>
          <t>16/10/2026</t>
        </is>
      </c>
      <c r="B915" t="inlineStr">
        <is>
          <t>16505614</t>
        </is>
      </c>
      <c r="C915" t="inlineStr">
        <is>
          <t>163140</t>
        </is>
      </c>
      <c r="D915" t="inlineStr">
        <is>
          <t>163140</t>
        </is>
      </c>
      <c r="E915" t="inlineStr">
        <is>
          <t>HALFSIM TIGO</t>
        </is>
      </c>
      <c r="F915" t="n">
        <v>1</v>
      </c>
      <c r="G915" t="n">
        <v>0.69</v>
      </c>
      <c r="H915" t="inlineStr">
        <is>
          <t>0.69</t>
        </is>
      </c>
      <c r="J915" t="inlineStr">
        <is>
          <t>CARMEN ABELINA UCHO VILLA O VICTOR SANTIAGO BUESTAN GORDILLO_COMITE DE EMPRESA</t>
        </is>
      </c>
      <c r="K915" t="inlineStr">
        <is>
          <t>0190160289001</t>
        </is>
      </c>
      <c r="M915" t="inlineStr">
        <is>
          <t>BTB</t>
        </is>
      </c>
      <c r="N915" t="inlineStr">
        <is>
          <t>CANAL DIRECTO</t>
        </is>
      </c>
    </row>
    <row r="916">
      <c r="A916" t="inlineStr">
        <is>
          <t>16/10/2026</t>
        </is>
      </c>
      <c r="B916" t="inlineStr">
        <is>
          <t>16505615</t>
        </is>
      </c>
      <c r="C916" t="inlineStr">
        <is>
          <t>163140</t>
        </is>
      </c>
      <c r="D916" t="inlineStr">
        <is>
          <t>163140</t>
        </is>
      </c>
      <c r="E916" t="inlineStr">
        <is>
          <t>HALFSIM TIGO</t>
        </is>
      </c>
      <c r="F916" t="n">
        <v>1</v>
      </c>
      <c r="G916" t="n">
        <v>0.69</v>
      </c>
      <c r="H916" t="inlineStr">
        <is>
          <t>0.69</t>
        </is>
      </c>
      <c r="J916" t="inlineStr">
        <is>
          <t>JIMENEZ MOSQUERA ALEXANDRA MIREYA_JIMENEZ MOSQUERA ALEXANDRA MIREYA</t>
        </is>
      </c>
      <c r="K916" t="inlineStr">
        <is>
          <t>0917374068001</t>
        </is>
      </c>
      <c r="M916" t="inlineStr">
        <is>
          <t>BTB</t>
        </is>
      </c>
      <c r="N916" t="inlineStr">
        <is>
          <t>CANAL DIRECTO</t>
        </is>
      </c>
    </row>
    <row r="917">
      <c r="A917" t="inlineStr">
        <is>
          <t>16/10/2026</t>
        </is>
      </c>
      <c r="B917" t="inlineStr">
        <is>
          <t>16505616</t>
        </is>
      </c>
      <c r="C917" t="inlineStr">
        <is>
          <t>163140</t>
        </is>
      </c>
      <c r="D917" t="inlineStr">
        <is>
          <t>163140</t>
        </is>
      </c>
      <c r="E917" t="inlineStr">
        <is>
          <t>HALFSIM TIGO</t>
        </is>
      </c>
      <c r="F917" t="n">
        <v>1</v>
      </c>
      <c r="G917" t="n">
        <v>0.69</v>
      </c>
      <c r="H917" t="inlineStr">
        <is>
          <t>0.69</t>
        </is>
      </c>
      <c r="J917" t="inlineStr">
        <is>
          <t>WILLAM ARMANDO LEMA HUEBLA_WILLAM ARMANDO LEMA HUEBLA</t>
        </is>
      </c>
      <c r="K917" t="inlineStr">
        <is>
          <t>1725878720001</t>
        </is>
      </c>
      <c r="M917" t="inlineStr">
        <is>
          <t>BTB</t>
        </is>
      </c>
      <c r="N917" t="inlineStr">
        <is>
          <t>CANAL DIRECTO</t>
        </is>
      </c>
    </row>
    <row r="918">
      <c r="A918" t="inlineStr">
        <is>
          <t>16/10/2026</t>
        </is>
      </c>
      <c r="B918" t="inlineStr">
        <is>
          <t>16505617</t>
        </is>
      </c>
      <c r="C918" t="inlineStr">
        <is>
          <t>163140</t>
        </is>
      </c>
      <c r="D918" t="inlineStr">
        <is>
          <t>163140</t>
        </is>
      </c>
      <c r="E918" t="inlineStr">
        <is>
          <t>HALFSIM TIGO</t>
        </is>
      </c>
      <c r="F918" t="n">
        <v>1</v>
      </c>
      <c r="G918" t="n">
        <v>0.69</v>
      </c>
      <c r="H918" t="inlineStr">
        <is>
          <t>0.69</t>
        </is>
      </c>
      <c r="J918" t="inlineStr">
        <is>
          <t>AVILEZ FREIRE HUGO JULIAN_AVILEZ FREIRE HUGO JULIAN</t>
        </is>
      </c>
      <c r="K918" t="inlineStr">
        <is>
          <t>1203424179001</t>
        </is>
      </c>
      <c r="M918" t="inlineStr">
        <is>
          <t>BTB</t>
        </is>
      </c>
      <c r="N918" t="inlineStr">
        <is>
          <t>CANAL DIRECTO</t>
        </is>
      </c>
    </row>
    <row r="919">
      <c r="A919" t="inlineStr">
        <is>
          <t>16/10/2026</t>
        </is>
      </c>
      <c r="B919" t="inlineStr">
        <is>
          <t>16505618</t>
        </is>
      </c>
      <c r="C919" t="inlineStr">
        <is>
          <t>163140</t>
        </is>
      </c>
      <c r="D919" t="inlineStr">
        <is>
          <t>163140</t>
        </is>
      </c>
      <c r="E919" t="inlineStr">
        <is>
          <t>HALFSIM TIGO</t>
        </is>
      </c>
      <c r="F919" t="n">
        <v>1</v>
      </c>
      <c r="G919" t="n">
        <v>0.69</v>
      </c>
      <c r="H919" t="inlineStr">
        <is>
          <t>0.69</t>
        </is>
      </c>
      <c r="J919" t="inlineStr">
        <is>
          <t>MARCELA PAZMINO_NESTLE ECUADOR S A</t>
        </is>
      </c>
      <c r="K919" t="inlineStr">
        <is>
          <t>0990032246001</t>
        </is>
      </c>
      <c r="M919" t="inlineStr">
        <is>
          <t>BTB</t>
        </is>
      </c>
      <c r="N919" t="inlineStr">
        <is>
          <t>CANAL DIRECTO</t>
        </is>
      </c>
    </row>
    <row r="920">
      <c r="A920" t="inlineStr">
        <is>
          <t>16/10/2026</t>
        </is>
      </c>
      <c r="B920" t="inlineStr">
        <is>
          <t>16505619</t>
        </is>
      </c>
      <c r="C920" t="inlineStr">
        <is>
          <t>163140</t>
        </is>
      </c>
      <c r="D920" t="inlineStr">
        <is>
          <t>163140</t>
        </is>
      </c>
      <c r="E920" t="inlineStr">
        <is>
          <t>HALFSIM TIGO</t>
        </is>
      </c>
      <c r="F920" t="n">
        <v>2</v>
      </c>
      <c r="G920" t="n">
        <v>1.38</v>
      </c>
      <c r="H920" t="inlineStr">
        <is>
          <t>0.69</t>
        </is>
      </c>
      <c r="J920" t="inlineStr">
        <is>
          <t>PAMELA ESTEFANIA ZABALA CRUZ_ECOSAWA S A S</t>
        </is>
      </c>
      <c r="K920" t="inlineStr">
        <is>
          <t>1793201472001</t>
        </is>
      </c>
      <c r="M920" t="inlineStr">
        <is>
          <t>BTB</t>
        </is>
      </c>
      <c r="N920" t="inlineStr">
        <is>
          <t>CANAL DIRECTO</t>
        </is>
      </c>
    </row>
    <row r="921">
      <c r="A921" t="inlineStr">
        <is>
          <t>16/10/2026</t>
        </is>
      </c>
      <c r="B921" t="inlineStr">
        <is>
          <t>16505621</t>
        </is>
      </c>
      <c r="C921" t="inlineStr">
        <is>
          <t>163140</t>
        </is>
      </c>
      <c r="D921" t="inlineStr">
        <is>
          <t>163140</t>
        </is>
      </c>
      <c r="E921" t="inlineStr">
        <is>
          <t>HALFSIM TIGO</t>
        </is>
      </c>
      <c r="F921" t="n">
        <v>1</v>
      </c>
      <c r="G921" t="n">
        <v>0.69</v>
      </c>
      <c r="H921" t="inlineStr">
        <is>
          <t>0.69</t>
        </is>
      </c>
      <c r="J921" t="inlineStr">
        <is>
          <t>SARMIENTO MEJIA JOSE IGNACIO_SARMIENTO MEJIA JOSE IGNACIO</t>
        </is>
      </c>
      <c r="K921" t="inlineStr">
        <is>
          <t>0929213924001</t>
        </is>
      </c>
      <c r="M921" t="inlineStr">
        <is>
          <t>BTB</t>
        </is>
      </c>
      <c r="N921" t="inlineStr">
        <is>
          <t>CANAL DIRECTO</t>
        </is>
      </c>
    </row>
    <row r="922">
      <c r="A922" t="inlineStr">
        <is>
          <t>16/10/2026</t>
        </is>
      </c>
      <c r="B922" t="inlineStr">
        <is>
          <t>16505627</t>
        </is>
      </c>
      <c r="C922" t="inlineStr">
        <is>
          <t>163140</t>
        </is>
      </c>
      <c r="D922" t="inlineStr">
        <is>
          <t>163140</t>
        </is>
      </c>
      <c r="E922" t="inlineStr">
        <is>
          <t>HALFSIM TIGO</t>
        </is>
      </c>
      <c r="F922" t="n">
        <v>1</v>
      </c>
      <c r="G922" t="n">
        <v>0.69</v>
      </c>
      <c r="H922" t="inlineStr">
        <is>
          <t>0.69</t>
        </is>
      </c>
      <c r="J922" t="inlineStr">
        <is>
          <t>CHILIA QUINATOA MARCO LEONIDAS_CHILIA QUINATOA MARCO LEONIDAS</t>
        </is>
      </c>
      <c r="K922" t="inlineStr">
        <is>
          <t>1709858649001</t>
        </is>
      </c>
      <c r="M922" t="inlineStr">
        <is>
          <t>BTB</t>
        </is>
      </c>
      <c r="N922" t="inlineStr">
        <is>
          <t>CANAL DIRECTO</t>
        </is>
      </c>
    </row>
    <row r="923">
      <c r="A923" t="inlineStr">
        <is>
          <t>16/10/2026</t>
        </is>
      </c>
      <c r="B923" t="inlineStr">
        <is>
          <t>16505628</t>
        </is>
      </c>
      <c r="C923" t="inlineStr">
        <is>
          <t>162141</t>
        </is>
      </c>
      <c r="D923" t="inlineStr">
        <is>
          <t>162141</t>
        </is>
      </c>
      <c r="E923" t="inlineStr">
        <is>
          <t>HALFSIM MOVISTAR</t>
        </is>
      </c>
      <c r="F923" t="n">
        <v>0</v>
      </c>
      <c r="G923" t="n">
        <v>0</v>
      </c>
      <c r="H923" t="inlineStr">
        <is>
          <t>0.69</t>
        </is>
      </c>
      <c r="J923" t="inlineStr">
        <is>
          <t>NANCY ENRIQUEZ_COMITE DE EMPRESA DE LOS TRABAJADORES DE UNACEM ECUADOR</t>
        </is>
      </c>
      <c r="K923" t="inlineStr">
        <is>
          <t>1091700081001</t>
        </is>
      </c>
      <c r="M923" t="inlineStr">
        <is>
          <t>BTB</t>
        </is>
      </c>
      <c r="N923" t="inlineStr">
        <is>
          <t>CANAL DIRECTO</t>
        </is>
      </c>
    </row>
    <row r="924">
      <c r="A924" t="inlineStr">
        <is>
          <t>16/10/2026</t>
        </is>
      </c>
      <c r="B924" t="inlineStr">
        <is>
          <t>16505628</t>
        </is>
      </c>
      <c r="C924" t="inlineStr">
        <is>
          <t>163140</t>
        </is>
      </c>
      <c r="D924" t="inlineStr">
        <is>
          <t>163140</t>
        </is>
      </c>
      <c r="E924" t="inlineStr">
        <is>
          <t>HALFSIM TIGO</t>
        </is>
      </c>
      <c r="F924" t="n">
        <v>9</v>
      </c>
      <c r="G924" t="n">
        <v>6.2099999999999991</v>
      </c>
      <c r="H924" t="inlineStr">
        <is>
          <t>0.69</t>
        </is>
      </c>
      <c r="J924" t="inlineStr">
        <is>
          <t>NANCY ENRIQUEZ_COMITE DE EMPRESA DE LOS TRABAJADORES DE UNACEM ECUADOR</t>
        </is>
      </c>
      <c r="K924" t="inlineStr">
        <is>
          <t>1091700081001</t>
        </is>
      </c>
      <c r="M924" t="inlineStr">
        <is>
          <t>BTB</t>
        </is>
      </c>
      <c r="N924" t="inlineStr">
        <is>
          <t>CANAL DIRECTO</t>
        </is>
      </c>
    </row>
    <row r="925">
      <c r="A925" t="inlineStr">
        <is>
          <t>16/10/2026</t>
        </is>
      </c>
      <c r="B925" t="inlineStr">
        <is>
          <t>16505638</t>
        </is>
      </c>
      <c r="C925" t="inlineStr">
        <is>
          <t>163140</t>
        </is>
      </c>
      <c r="D925" t="inlineStr">
        <is>
          <t>163140</t>
        </is>
      </c>
      <c r="E925" t="inlineStr">
        <is>
          <t>HALFSIM TIGO</t>
        </is>
      </c>
      <c r="F925" t="n">
        <v>1</v>
      </c>
      <c r="G925" t="n">
        <v>0.69</v>
      </c>
      <c r="H925" t="inlineStr">
        <is>
          <t>0.69</t>
        </is>
      </c>
      <c r="J925" t="inlineStr">
        <is>
          <t>QUILUMBA CIVINTA VIVIANA ELIZABETH_QUILUMBA CIVINTA VIVIANA ELIZABETH</t>
        </is>
      </c>
      <c r="K925" t="inlineStr">
        <is>
          <t>1719622720001</t>
        </is>
      </c>
      <c r="M925" t="inlineStr">
        <is>
          <t>BTB</t>
        </is>
      </c>
      <c r="N925" t="inlineStr">
        <is>
          <t>CANAL DIRECTO</t>
        </is>
      </c>
    </row>
    <row r="926">
      <c r="A926" t="inlineStr">
        <is>
          <t>16/10/2026</t>
        </is>
      </c>
      <c r="B926" t="inlineStr">
        <is>
          <t>16505639</t>
        </is>
      </c>
      <c r="C926" t="inlineStr">
        <is>
          <t>163140</t>
        </is>
      </c>
      <c r="D926" t="inlineStr">
        <is>
          <t>163140</t>
        </is>
      </c>
      <c r="E926" t="inlineStr">
        <is>
          <t>HALFSIM TIGO</t>
        </is>
      </c>
      <c r="F926" t="n">
        <v>1</v>
      </c>
      <c r="G926" t="n">
        <v>0.69</v>
      </c>
      <c r="H926" t="inlineStr">
        <is>
          <t>0.69</t>
        </is>
      </c>
      <c r="J926" t="inlineStr">
        <is>
          <t>ADRIAN MORAN_ELIANA SOLEDAD VERGARA BARRIOS</t>
        </is>
      </c>
      <c r="K926" t="inlineStr">
        <is>
          <t>0992585013001</t>
        </is>
      </c>
      <c r="M926" t="inlineStr">
        <is>
          <t>BTB</t>
        </is>
      </c>
      <c r="N926" t="inlineStr">
        <is>
          <t>CANAL DIRECTO</t>
        </is>
      </c>
    </row>
    <row r="927">
      <c r="A927" t="inlineStr">
        <is>
          <t>16/10/2026</t>
        </is>
      </c>
      <c r="B927" t="inlineStr">
        <is>
          <t>16505640</t>
        </is>
      </c>
      <c r="C927" t="inlineStr">
        <is>
          <t>163140</t>
        </is>
      </c>
      <c r="D927" t="inlineStr">
        <is>
          <t>163140</t>
        </is>
      </c>
      <c r="E927" t="inlineStr">
        <is>
          <t>HALFSIM TIGO</t>
        </is>
      </c>
      <c r="F927" t="n">
        <v>1</v>
      </c>
      <c r="G927" t="n">
        <v>0.69</v>
      </c>
      <c r="H927" t="inlineStr">
        <is>
          <t>0.69</t>
        </is>
      </c>
      <c r="J927" t="inlineStr">
        <is>
          <t>LLIVISUPA CHIMBORAZO ROMAN ALFONSO_LLIVISUPA CHIMBORAZO ROMAN ALFONSO</t>
        </is>
      </c>
      <c r="K927" t="inlineStr">
        <is>
          <t>0928033992001</t>
        </is>
      </c>
      <c r="M927" t="inlineStr">
        <is>
          <t>BTB</t>
        </is>
      </c>
      <c r="N927" t="inlineStr">
        <is>
          <t>CANAL DIRECTO</t>
        </is>
      </c>
    </row>
    <row r="928">
      <c r="A928" t="inlineStr">
        <is>
          <t>16/10/2026</t>
        </is>
      </c>
      <c r="B928" t="inlineStr">
        <is>
          <t>16505642</t>
        </is>
      </c>
      <c r="C928" t="inlineStr">
        <is>
          <t>163140</t>
        </is>
      </c>
      <c r="D928" t="inlineStr">
        <is>
          <t>163140</t>
        </is>
      </c>
      <c r="E928" t="inlineStr">
        <is>
          <t>HALFSIM TIGO</t>
        </is>
      </c>
      <c r="F928" t="n">
        <v>28</v>
      </c>
      <c r="G928" t="n">
        <v>19.32</v>
      </c>
      <c r="H928" t="inlineStr">
        <is>
          <t>0.69</t>
        </is>
      </c>
      <c r="J928" t="inlineStr">
        <is>
          <t>PAZMINO NARVAEZ MIGUEL SANTIAGO_CORPORACION MEDICA PAZMINO NARVAEZ CIA LTDA</t>
        </is>
      </c>
      <c r="K928" t="inlineStr">
        <is>
          <t>1792423392001</t>
        </is>
      </c>
      <c r="M928" t="inlineStr">
        <is>
          <t>BTB</t>
        </is>
      </c>
      <c r="N928" t="inlineStr">
        <is>
          <t>CANAL DIRECTO</t>
        </is>
      </c>
    </row>
    <row r="929">
      <c r="A929" t="inlineStr">
        <is>
          <t>16/10/2026</t>
        </is>
      </c>
      <c r="B929" t="inlineStr">
        <is>
          <t>16505670</t>
        </is>
      </c>
      <c r="C929" t="inlineStr">
        <is>
          <t>163140</t>
        </is>
      </c>
      <c r="D929" t="inlineStr">
        <is>
          <t>163140</t>
        </is>
      </c>
      <c r="E929" t="inlineStr">
        <is>
          <t>HALFSIM TIGO</t>
        </is>
      </c>
      <c r="F929" t="n">
        <v>1</v>
      </c>
      <c r="G929" t="n">
        <v>0.69</v>
      </c>
      <c r="H929" t="inlineStr">
        <is>
          <t>0.69</t>
        </is>
      </c>
      <c r="J929" t="inlineStr">
        <is>
          <t>LUCIN URUCHIMA JOSE GABRIEL_LUCIN URUCHIMA JOSE GABRIEL</t>
        </is>
      </c>
      <c r="K929" t="inlineStr">
        <is>
          <t>0925022782001</t>
        </is>
      </c>
      <c r="M929" t="inlineStr">
        <is>
          <t>BTB</t>
        </is>
      </c>
      <c r="N929" t="inlineStr">
        <is>
          <t>CANAL DIRECTO</t>
        </is>
      </c>
    </row>
    <row r="930">
      <c r="A930" t="inlineStr">
        <is>
          <t>16/10/2026</t>
        </is>
      </c>
      <c r="B930" t="inlineStr">
        <is>
          <t>16505671</t>
        </is>
      </c>
      <c r="C930" t="inlineStr">
        <is>
          <t>162145</t>
        </is>
      </c>
      <c r="D930" t="inlineStr">
        <is>
          <t>162145</t>
        </is>
      </c>
      <c r="E930" t="inlineStr">
        <is>
          <t>HALFSIM M2M 4FF LTE</t>
        </is>
      </c>
      <c r="F930" t="n">
        <v>33</v>
      </c>
      <c r="G930" t="n">
        <v>45.21</v>
      </c>
      <c r="H930" t="inlineStr">
        <is>
          <t>1.37</t>
        </is>
      </c>
      <c r="J930" t="inlineStr">
        <is>
          <t>STEFANIA GUERRA_SMARTVISIONSEGURITY CIA LTDA</t>
        </is>
      </c>
      <c r="K930" t="inlineStr">
        <is>
          <t>1792952832001</t>
        </is>
      </c>
      <c r="M930" t="inlineStr">
        <is>
          <t>BTB</t>
        </is>
      </c>
      <c r="N930" t="inlineStr">
        <is>
          <t>CANAL DIRECTO</t>
        </is>
      </c>
    </row>
    <row r="931">
      <c r="A931" t="inlineStr">
        <is>
          <t>16/10/2026</t>
        </is>
      </c>
      <c r="B931" t="inlineStr">
        <is>
          <t>16505704</t>
        </is>
      </c>
      <c r="C931" t="inlineStr">
        <is>
          <t>163140</t>
        </is>
      </c>
      <c r="D931" t="inlineStr">
        <is>
          <t>163140</t>
        </is>
      </c>
      <c r="E931" t="inlineStr">
        <is>
          <t>HALFSIM TIGO</t>
        </is>
      </c>
      <c r="F931" t="n">
        <v>1</v>
      </c>
      <c r="G931" t="n">
        <v>0.69</v>
      </c>
      <c r="H931" t="inlineStr">
        <is>
          <t>0.69</t>
        </is>
      </c>
      <c r="J931" t="inlineStr">
        <is>
          <t>ANGAMARCA ANGAMARCA LUIS ALBERTO_ANGAMARCA ANGAMARCA LUIS ALBERTO</t>
        </is>
      </c>
      <c r="K931" t="inlineStr">
        <is>
          <t>1103128060001</t>
        </is>
      </c>
      <c r="M931" t="inlineStr">
        <is>
          <t>BTB</t>
        </is>
      </c>
      <c r="N931" t="inlineStr">
        <is>
          <t>CANAL DIRECTO</t>
        </is>
      </c>
    </row>
    <row r="932">
      <c r="A932" t="inlineStr">
        <is>
          <t>16/10/2026</t>
        </is>
      </c>
      <c r="B932" t="inlineStr">
        <is>
          <t>2026-08465</t>
        </is>
      </c>
      <c r="C932" t="inlineStr">
        <is>
          <t>163140</t>
        </is>
      </c>
      <c r="D932" t="inlineStr">
        <is>
          <t>163140</t>
        </is>
      </c>
      <c r="E932" t="inlineStr">
        <is>
          <t>HALFSIM TIGO</t>
        </is>
      </c>
      <c r="F932" t="n">
        <v>200</v>
      </c>
      <c r="G932" t="n">
        <v>138</v>
      </c>
      <c r="H932" t="inlineStr">
        <is>
          <t>0.69</t>
        </is>
      </c>
      <c r="J932" t="inlineStr">
        <is>
          <t>AE NORPHONE LATACUNGA_PAOLA MORAN</t>
        </is>
      </c>
      <c r="K932" t="inlineStr">
        <is>
          <t>1001472958</t>
        </is>
      </c>
      <c r="M932" t="inlineStr">
        <is>
          <t>INDIRECTO</t>
        </is>
      </c>
      <c r="N932" t="inlineStr">
        <is>
          <t>CANAL INDIRECTO</t>
        </is>
      </c>
    </row>
    <row r="933">
      <c r="A933" t="inlineStr">
        <is>
          <t>16/10/2026</t>
        </is>
      </c>
      <c r="B933" t="inlineStr">
        <is>
          <t>2026-08466</t>
        </is>
      </c>
      <c r="C933" t="inlineStr">
        <is>
          <t>163140</t>
        </is>
      </c>
      <c r="D933" t="inlineStr">
        <is>
          <t>163140</t>
        </is>
      </c>
      <c r="E933" t="inlineStr">
        <is>
          <t>HALFSIM TIGO</t>
        </is>
      </c>
      <c r="F933" t="n">
        <v>200</v>
      </c>
      <c r="G933" t="n">
        <v>138</v>
      </c>
      <c r="H933" t="inlineStr">
        <is>
          <t>0.69</t>
        </is>
      </c>
      <c r="J933" t="inlineStr">
        <is>
          <t>CELISTICS CAVS DAS AMBATO CENTRO_WALTER TAMAYO</t>
        </is>
      </c>
      <c r="K933" t="inlineStr">
        <is>
          <t>1792161037001</t>
        </is>
      </c>
      <c r="M933" t="inlineStr">
        <is>
          <t>INDIRECTO</t>
        </is>
      </c>
      <c r="N933" t="inlineStr">
        <is>
          <t>CANAL INDIRECTO</t>
        </is>
      </c>
    </row>
    <row r="934">
      <c r="A934" t="inlineStr">
        <is>
          <t>16/10/2026</t>
        </is>
      </c>
      <c r="B934" t="inlineStr">
        <is>
          <t>2026-08466</t>
        </is>
      </c>
      <c r="C934" t="inlineStr">
        <is>
          <t>163141</t>
        </is>
      </c>
      <c r="D934" t="inlineStr">
        <is>
          <t>163141</t>
        </is>
      </c>
      <c r="E934" t="inlineStr">
        <is>
          <t>ESIM TIGO DIGITAL</t>
        </is>
      </c>
      <c r="F934" t="n">
        <v>30</v>
      </c>
      <c r="G934" t="n">
        <v>6.3</v>
      </c>
      <c r="H934" t="inlineStr">
        <is>
          <t>0.21</t>
        </is>
      </c>
      <c r="J934" t="inlineStr">
        <is>
          <t>CELISTICS CAVS DAS AMBATO CENTRO_WALTER TAMAYO</t>
        </is>
      </c>
      <c r="K934" t="inlineStr">
        <is>
          <t>1792161037001</t>
        </is>
      </c>
      <c r="M934" t="inlineStr">
        <is>
          <t>INDIRECTO</t>
        </is>
      </c>
      <c r="N934" t="inlineStr">
        <is>
          <t>CANAL INDIRECTO</t>
        </is>
      </c>
    </row>
    <row r="935">
      <c r="A935" t="inlineStr">
        <is>
          <t>16/10/2026</t>
        </is>
      </c>
      <c r="B935" t="inlineStr">
        <is>
          <t>2026-08467</t>
        </is>
      </c>
      <c r="C935" t="inlineStr">
        <is>
          <t>163140</t>
        </is>
      </c>
      <c r="D935" t="inlineStr">
        <is>
          <t>163140</t>
        </is>
      </c>
      <c r="E935" t="inlineStr">
        <is>
          <t>HALFSIM TIGO</t>
        </is>
      </c>
      <c r="F935" t="n">
        <v>1000</v>
      </c>
      <c r="G935" t="n">
        <v>690</v>
      </c>
      <c r="H935" t="inlineStr">
        <is>
          <t>0.69</t>
        </is>
      </c>
      <c r="J935" t="inlineStr">
        <is>
          <t>AGENTE AE CELISTICS SAN LUIS_WALTER TAMAYO</t>
        </is>
      </c>
      <c r="K935" t="inlineStr">
        <is>
          <t>1792161037001</t>
        </is>
      </c>
      <c r="M935" t="inlineStr">
        <is>
          <t>INDIRECTO</t>
        </is>
      </c>
      <c r="N935" t="inlineStr">
        <is>
          <t>CANAL INDIRECTO</t>
        </is>
      </c>
    </row>
    <row r="936">
      <c r="A936" t="inlineStr">
        <is>
          <t>16/10/2026</t>
        </is>
      </c>
      <c r="B936" t="inlineStr">
        <is>
          <t>2026-08467</t>
        </is>
      </c>
      <c r="C936" t="inlineStr">
        <is>
          <t>163141</t>
        </is>
      </c>
      <c r="D936" t="inlineStr">
        <is>
          <t>163141</t>
        </is>
      </c>
      <c r="E936" t="inlineStr">
        <is>
          <t>ESIM TIGO DIGITAL</t>
        </is>
      </c>
      <c r="F936" t="n">
        <v>40</v>
      </c>
      <c r="G936" t="n">
        <v>8.4</v>
      </c>
      <c r="H936" t="inlineStr">
        <is>
          <t>0.21</t>
        </is>
      </c>
      <c r="J936" t="inlineStr">
        <is>
          <t>AGENTE AE CELISTICS SAN LUIS_WALTER TAMAYO</t>
        </is>
      </c>
      <c r="K936" t="inlineStr">
        <is>
          <t>1792161037001</t>
        </is>
      </c>
      <c r="M936" t="inlineStr">
        <is>
          <t>INDIRECTO</t>
        </is>
      </c>
      <c r="N936" t="inlineStr">
        <is>
          <t>CANAL INDIRECTO</t>
        </is>
      </c>
    </row>
    <row r="937">
      <c r="A937" t="inlineStr">
        <is>
          <t>16/10/2026</t>
        </is>
      </c>
      <c r="B937" t="inlineStr">
        <is>
          <t>2026-08468</t>
        </is>
      </c>
      <c r="C937" t="inlineStr">
        <is>
          <t>163141</t>
        </is>
      </c>
      <c r="D937" t="inlineStr">
        <is>
          <t>163141</t>
        </is>
      </c>
      <c r="E937" t="inlineStr">
        <is>
          <t>ESIM TIGO DIGITAL</t>
        </is>
      </c>
      <c r="F937" t="n">
        <v>20</v>
      </c>
      <c r="G937" t="n">
        <v>4.2</v>
      </c>
      <c r="H937" t="inlineStr">
        <is>
          <t>0.21</t>
        </is>
      </c>
      <c r="J937" t="inlineStr">
        <is>
          <t>FDV&amp;H PRODUCTOS Y SERVICIOS S.A.S. ESMERALDAS_GABRIELA ORTEGA</t>
        </is>
      </c>
      <c r="K937" t="inlineStr">
        <is>
          <t>1716384035</t>
        </is>
      </c>
      <c r="M937" t="inlineStr">
        <is>
          <t>INDIRECTO</t>
        </is>
      </c>
      <c r="N937" t="inlineStr">
        <is>
          <t>CANAL INDIRECTO</t>
        </is>
      </c>
    </row>
    <row r="938">
      <c r="A938" t="inlineStr">
        <is>
          <t>16/10/2026</t>
        </is>
      </c>
      <c r="B938" t="inlineStr">
        <is>
          <t>2026-08471</t>
        </is>
      </c>
      <c r="C938" t="inlineStr">
        <is>
          <t>163140</t>
        </is>
      </c>
      <c r="D938" t="inlineStr">
        <is>
          <t>163140</t>
        </is>
      </c>
      <c r="E938" t="inlineStr">
        <is>
          <t>HALFSIM TIGO</t>
        </is>
      </c>
      <c r="F938" t="n">
        <v>100</v>
      </c>
      <c r="G938" t="n">
        <v>69</v>
      </c>
      <c r="H938" t="inlineStr">
        <is>
          <t>0.69</t>
        </is>
      </c>
      <c r="J938" t="inlineStr">
        <is>
          <t>FDV&amp;H PRODUCTOS Y SERVICIOS S.A.S. EL CARMEN_GABRIELA ORTEGA</t>
        </is>
      </c>
      <c r="K938" t="inlineStr">
        <is>
          <t>1716384035</t>
        </is>
      </c>
      <c r="M938" t="inlineStr">
        <is>
          <t>INDIRECTO</t>
        </is>
      </c>
      <c r="N938" t="inlineStr">
        <is>
          <t>CANAL INDIRECTO</t>
        </is>
      </c>
    </row>
    <row r="939">
      <c r="A939" t="inlineStr">
        <is>
          <t>16/10/2026</t>
        </is>
      </c>
      <c r="B939" t="inlineStr">
        <is>
          <t>2026-08471</t>
        </is>
      </c>
      <c r="C939" t="inlineStr">
        <is>
          <t>163141</t>
        </is>
      </c>
      <c r="D939" t="inlineStr">
        <is>
          <t>163141</t>
        </is>
      </c>
      <c r="E939" t="inlineStr">
        <is>
          <t>ESIM TIGO DIGITAL</t>
        </is>
      </c>
      <c r="F939" t="n">
        <v>30</v>
      </c>
      <c r="G939" t="n">
        <v>6.3</v>
      </c>
      <c r="H939" t="inlineStr">
        <is>
          <t>0.21</t>
        </is>
      </c>
      <c r="J939" t="inlineStr">
        <is>
          <t>FDV&amp;H PRODUCTOS Y SERVICIOS S.A.S. EL CARMEN_GABRIELA ORTEGA</t>
        </is>
      </c>
      <c r="K939" t="inlineStr">
        <is>
          <t>1716384035</t>
        </is>
      </c>
      <c r="M939" t="inlineStr">
        <is>
          <t>INDIRECTO</t>
        </is>
      </c>
      <c r="N939" t="inlineStr">
        <is>
          <t>CANAL INDIRECTO</t>
        </is>
      </c>
    </row>
    <row r="940">
      <c r="A940" t="inlineStr">
        <is>
          <t>16/10/2026</t>
        </is>
      </c>
      <c r="B940" t="inlineStr">
        <is>
          <t>2026-08472</t>
        </is>
      </c>
      <c r="C940" t="inlineStr">
        <is>
          <t>163140</t>
        </is>
      </c>
      <c r="D940" t="inlineStr">
        <is>
          <t>163140</t>
        </is>
      </c>
      <c r="E940" t="inlineStr">
        <is>
          <t>HALFSIM TIGO</t>
        </is>
      </c>
      <c r="F940" t="n">
        <v>400</v>
      </c>
      <c r="G940" t="n">
        <v>276</v>
      </c>
      <c r="H940" t="inlineStr">
        <is>
          <t>0.69</t>
        </is>
      </c>
      <c r="J940" t="inlineStr">
        <is>
          <t>AE CELISTICS MALTERIA LATACUNGA_WALTER TAMAYO</t>
        </is>
      </c>
      <c r="K940" t="inlineStr">
        <is>
          <t>1306571512</t>
        </is>
      </c>
      <c r="L940" t="inlineStr">
        <is>
          <t>LATACUNGA</t>
        </is>
      </c>
      <c r="M940" t="inlineStr">
        <is>
          <t>INDIRECTO</t>
        </is>
      </c>
      <c r="N940" t="inlineStr">
        <is>
          <t>CANAL INDIRECTO</t>
        </is>
      </c>
    </row>
    <row r="941">
      <c r="A941" t="inlineStr">
        <is>
          <t>16/10/2026</t>
        </is>
      </c>
      <c r="B941" t="inlineStr">
        <is>
          <t>2026-08472</t>
        </is>
      </c>
      <c r="C941" t="inlineStr">
        <is>
          <t>163141</t>
        </is>
      </c>
      <c r="D941" t="inlineStr">
        <is>
          <t>163141</t>
        </is>
      </c>
      <c r="E941" t="inlineStr">
        <is>
          <t>ESIM TIGO DIGITAL</t>
        </is>
      </c>
      <c r="F941" t="n">
        <v>30</v>
      </c>
      <c r="G941" t="n">
        <v>6.3</v>
      </c>
      <c r="H941" t="inlineStr">
        <is>
          <t>0.21</t>
        </is>
      </c>
      <c r="J941" t="inlineStr">
        <is>
          <t>AE CELISTICS MALTERIA LATACUNGA_WALTER TAMAYO</t>
        </is>
      </c>
      <c r="K941" t="inlineStr">
        <is>
          <t>1306571512</t>
        </is>
      </c>
      <c r="L941" t="inlineStr">
        <is>
          <t>LATACUNGA</t>
        </is>
      </c>
      <c r="M941" t="inlineStr">
        <is>
          <t>INDIRECTO</t>
        </is>
      </c>
      <c r="N941" t="inlineStr">
        <is>
          <t>CANAL INDIRECTO</t>
        </is>
      </c>
    </row>
    <row r="942">
      <c r="A942" t="inlineStr">
        <is>
          <t>16/10/2026</t>
        </is>
      </c>
      <c r="B942" t="inlineStr">
        <is>
          <t>2026-08473</t>
        </is>
      </c>
      <c r="C942" t="inlineStr">
        <is>
          <t>163140_06</t>
        </is>
      </c>
      <c r="D942" t="inlineStr">
        <is>
          <t>163140</t>
        </is>
      </c>
      <c r="E942" t="inlineStr">
        <is>
          <t>HALFSIM TIGO PORTABILIDAD</t>
        </is>
      </c>
      <c r="F942" t="n">
        <v>100</v>
      </c>
      <c r="G942" t="n">
        <v>69</v>
      </c>
      <c r="H942" t="inlineStr">
        <is>
          <t>0.69</t>
        </is>
      </c>
      <c r="J942" t="inlineStr">
        <is>
          <t>FRONT DA CONEXION PLUS ECUADOR CONEXPLUSEC S.A.S. PYMES GUAYAQUIL_DE LA CRUZ ALCALA FELIX ALBERTO</t>
        </is>
      </c>
      <c r="K942" t="inlineStr">
        <is>
          <t>0960853398</t>
        </is>
      </c>
      <c r="M942" t="inlineStr">
        <is>
          <t>INDIRECTO</t>
        </is>
      </c>
      <c r="N942" t="inlineStr">
        <is>
          <t>CANAL INDIRECTO</t>
        </is>
      </c>
    </row>
    <row r="943">
      <c r="A943" t="inlineStr">
        <is>
          <t>16/10/2026</t>
        </is>
      </c>
      <c r="B943" t="inlineStr">
        <is>
          <t>2026-08474</t>
        </is>
      </c>
      <c r="C943" t="inlineStr">
        <is>
          <t>163140</t>
        </is>
      </c>
      <c r="D943" t="inlineStr">
        <is>
          <t>163140</t>
        </is>
      </c>
      <c r="E943" t="inlineStr">
        <is>
          <t>HALFSIM TIGO</t>
        </is>
      </c>
      <c r="F943" t="n">
        <v>600</v>
      </c>
      <c r="G943" t="n">
        <v>413.99999999999994</v>
      </c>
      <c r="H943" t="inlineStr">
        <is>
          <t>0.69</t>
        </is>
      </c>
      <c r="J943" t="inlineStr">
        <is>
          <t>AGENTE AE CELISTICS EL RECREO QUITO_WALTER TAMAYO</t>
        </is>
      </c>
      <c r="K943" t="inlineStr">
        <is>
          <t>1792161037001</t>
        </is>
      </c>
      <c r="M943" t="inlineStr">
        <is>
          <t>INDIRECTO</t>
        </is>
      </c>
      <c r="N943" t="inlineStr">
        <is>
          <t>CANAL INDIRECTO</t>
        </is>
      </c>
    </row>
    <row r="944">
      <c r="A944" t="inlineStr">
        <is>
          <t>16/10/2026</t>
        </is>
      </c>
      <c r="B944" t="inlineStr">
        <is>
          <t>2026-08474</t>
        </is>
      </c>
      <c r="C944" t="inlineStr">
        <is>
          <t>163141</t>
        </is>
      </c>
      <c r="D944" t="inlineStr">
        <is>
          <t>163141</t>
        </is>
      </c>
      <c r="E944" t="inlineStr">
        <is>
          <t>ESIM TIGO DIGITAL</t>
        </is>
      </c>
      <c r="F944" t="n">
        <v>30</v>
      </c>
      <c r="G944" t="n">
        <v>6.3</v>
      </c>
      <c r="H944" t="inlineStr">
        <is>
          <t>0.21</t>
        </is>
      </c>
      <c r="J944" t="inlineStr">
        <is>
          <t>AGENTE AE CELISTICS EL RECREO QUITO_WALTER TAMAYO</t>
        </is>
      </c>
      <c r="K944" t="inlineStr">
        <is>
          <t>1792161037001</t>
        </is>
      </c>
      <c r="M944" t="inlineStr">
        <is>
          <t>INDIRECTO</t>
        </is>
      </c>
      <c r="N944" t="inlineStr">
        <is>
          <t>CANAL INDIRECTO</t>
        </is>
      </c>
    </row>
    <row r="945">
      <c r="A945" t="inlineStr">
        <is>
          <t>16/10/2026</t>
        </is>
      </c>
      <c r="B945" t="inlineStr">
        <is>
          <t>2026-08475</t>
        </is>
      </c>
      <c r="C945" t="inlineStr">
        <is>
          <t>163140</t>
        </is>
      </c>
      <c r="D945" t="inlineStr">
        <is>
          <t>163140</t>
        </is>
      </c>
      <c r="E945" t="inlineStr">
        <is>
          <t>HALFSIM TIGO</t>
        </is>
      </c>
      <c r="F945" t="n">
        <v>200</v>
      </c>
      <c r="G945" t="n">
        <v>138</v>
      </c>
      <c r="H945" t="inlineStr">
        <is>
          <t>0.69</t>
        </is>
      </c>
      <c r="J945" t="inlineStr">
        <is>
          <t>PDV CELISTICS CC EL BOSQUE_MARIA JOSE TOBAR ZAMBRANO</t>
        </is>
      </c>
      <c r="K945" t="inlineStr">
        <is>
          <t>1306571512</t>
        </is>
      </c>
      <c r="M945" t="inlineStr">
        <is>
          <t>INDIRECTO</t>
        </is>
      </c>
      <c r="N945" t="inlineStr">
        <is>
          <t>CANAL INDIRECTO</t>
        </is>
      </c>
    </row>
    <row r="946">
      <c r="A946" t="inlineStr">
        <is>
          <t>16/10/2026</t>
        </is>
      </c>
      <c r="B946" t="inlineStr">
        <is>
          <t>2026-08475</t>
        </is>
      </c>
      <c r="C946" t="inlineStr">
        <is>
          <t>163141</t>
        </is>
      </c>
      <c r="D946" t="inlineStr">
        <is>
          <t>163141</t>
        </is>
      </c>
      <c r="E946" t="inlineStr">
        <is>
          <t>ESIM TIGO DIGITAL</t>
        </is>
      </c>
      <c r="F946" t="n">
        <v>20</v>
      </c>
      <c r="G946" t="n">
        <v>4.2</v>
      </c>
      <c r="H946" t="inlineStr">
        <is>
          <t>0.21</t>
        </is>
      </c>
      <c r="J946" t="inlineStr">
        <is>
          <t>PDV CELISTICS CC EL BOSQUE_MARIA JOSE TOBAR ZAMBRANO</t>
        </is>
      </c>
      <c r="K946" t="inlineStr">
        <is>
          <t>1306571512</t>
        </is>
      </c>
      <c r="M946" t="inlineStr">
        <is>
          <t>INDIRECTO</t>
        </is>
      </c>
      <c r="N946" t="inlineStr">
        <is>
          <t>CANAL INDIRECTO</t>
        </is>
      </c>
    </row>
    <row r="947">
      <c r="A947" t="inlineStr">
        <is>
          <t>16/10/2026</t>
        </is>
      </c>
      <c r="B947" t="inlineStr">
        <is>
          <t>2026-08476</t>
        </is>
      </c>
      <c r="C947" t="inlineStr">
        <is>
          <t>163140</t>
        </is>
      </c>
      <c r="D947" t="inlineStr">
        <is>
          <t>163140</t>
        </is>
      </c>
      <c r="E947" t="inlineStr">
        <is>
          <t>HALFSIM TIGO</t>
        </is>
      </c>
      <c r="F947" t="n">
        <v>600</v>
      </c>
      <c r="G947" t="n">
        <v>413.99999999999994</v>
      </c>
      <c r="H947" t="inlineStr">
        <is>
          <t>0.69</t>
        </is>
      </c>
      <c r="J947" t="inlineStr">
        <is>
          <t>AE CELISTICS CCI_WALTER TAMAYO</t>
        </is>
      </c>
      <c r="K947" t="inlineStr">
        <is>
          <t>1792161037001</t>
        </is>
      </c>
      <c r="M947" t="inlineStr">
        <is>
          <t>INDIRECTO</t>
        </is>
      </c>
      <c r="N947" t="inlineStr">
        <is>
          <t>CANAL INDIRECTO</t>
        </is>
      </c>
    </row>
    <row r="948">
      <c r="A948" t="inlineStr">
        <is>
          <t>16/10/2026</t>
        </is>
      </c>
      <c r="B948" t="inlineStr">
        <is>
          <t>2026-08476</t>
        </is>
      </c>
      <c r="C948" t="inlineStr">
        <is>
          <t>163141</t>
        </is>
      </c>
      <c r="D948" t="inlineStr">
        <is>
          <t>163141</t>
        </is>
      </c>
      <c r="E948" t="inlineStr">
        <is>
          <t>ESIM TIGO DIGITAL</t>
        </is>
      </c>
      <c r="F948" t="n">
        <v>30</v>
      </c>
      <c r="G948" t="n">
        <v>6.3</v>
      </c>
      <c r="H948" t="inlineStr">
        <is>
          <t>0.21</t>
        </is>
      </c>
      <c r="J948" t="inlineStr">
        <is>
          <t>AE CELISTICS CCI_WALTER TAMAYO</t>
        </is>
      </c>
      <c r="K948" t="inlineStr">
        <is>
          <t>1792161037001</t>
        </is>
      </c>
      <c r="M948" t="inlineStr">
        <is>
          <t>INDIRECTO</t>
        </is>
      </c>
      <c r="N948" t="inlineStr">
        <is>
          <t>CANAL INDIRECTO</t>
        </is>
      </c>
    </row>
    <row r="949">
      <c r="A949" t="inlineStr">
        <is>
          <t>16/10/2026</t>
        </is>
      </c>
      <c r="B949" t="inlineStr">
        <is>
          <t>2026-08477</t>
        </is>
      </c>
      <c r="C949" t="inlineStr">
        <is>
          <t>163141</t>
        </is>
      </c>
      <c r="D949" t="inlineStr">
        <is>
          <t>163141</t>
        </is>
      </c>
      <c r="E949" t="inlineStr">
        <is>
          <t>ESIM TIGO DIGITAL</t>
        </is>
      </c>
      <c r="F949" t="n">
        <v>40</v>
      </c>
      <c r="G949" t="n">
        <v>8.4</v>
      </c>
      <c r="H949" t="inlineStr">
        <is>
          <t>0.21</t>
        </is>
      </c>
      <c r="J949" t="inlineStr">
        <is>
          <t>AE CELISTICS QUICENTRO SUR_WALTER TAMAYO</t>
        </is>
      </c>
      <c r="K949" t="inlineStr">
        <is>
          <t>1792161037001</t>
        </is>
      </c>
      <c r="M949" t="inlineStr">
        <is>
          <t>INDIRECTO</t>
        </is>
      </c>
      <c r="N949" t="inlineStr">
        <is>
          <t>CANAL INDIRECTO</t>
        </is>
      </c>
    </row>
    <row r="950">
      <c r="A950" t="inlineStr">
        <is>
          <t>16/10/2026</t>
        </is>
      </c>
      <c r="B950" t="inlineStr">
        <is>
          <t>2026-08479</t>
        </is>
      </c>
      <c r="C950" t="inlineStr">
        <is>
          <t>163140</t>
        </is>
      </c>
      <c r="D950" t="inlineStr">
        <is>
          <t>163140</t>
        </is>
      </c>
      <c r="E950" t="inlineStr">
        <is>
          <t>HALFSIM TIGO</t>
        </is>
      </c>
      <c r="F950" t="n">
        <v>200</v>
      </c>
      <c r="G950" t="n">
        <v>138</v>
      </c>
      <c r="H950" t="inlineStr">
        <is>
          <t>0.69</t>
        </is>
      </c>
      <c r="J950" t="inlineStr">
        <is>
          <t>CAVS AE NORPHONE EL JARDIN_PAOLA MORAN</t>
        </is>
      </c>
      <c r="K950" t="inlineStr">
        <is>
          <t>1091717898001</t>
        </is>
      </c>
      <c r="M950" t="inlineStr">
        <is>
          <t>INDIRECTO</t>
        </is>
      </c>
      <c r="N950" t="inlineStr">
        <is>
          <t>CANAL INDIRECTO</t>
        </is>
      </c>
    </row>
    <row r="951">
      <c r="A951" t="inlineStr">
        <is>
          <t>16/10/2026</t>
        </is>
      </c>
      <c r="B951" t="inlineStr">
        <is>
          <t>2026-08479</t>
        </is>
      </c>
      <c r="C951" t="inlineStr">
        <is>
          <t>163141</t>
        </is>
      </c>
      <c r="D951" t="inlineStr">
        <is>
          <t>163141</t>
        </is>
      </c>
      <c r="E951" t="inlineStr">
        <is>
          <t>ESIM TIGO DIGITAL</t>
        </is>
      </c>
      <c r="F951" t="n">
        <v>100</v>
      </c>
      <c r="G951" t="n">
        <v>21</v>
      </c>
      <c r="H951" t="inlineStr">
        <is>
          <t>0.21</t>
        </is>
      </c>
      <c r="J951" t="inlineStr">
        <is>
          <t>CAVS AE NORPHONE EL JARDIN_PAOLA MORAN</t>
        </is>
      </c>
      <c r="K951" t="inlineStr">
        <is>
          <t>1091717898001</t>
        </is>
      </c>
      <c r="M951" t="inlineStr">
        <is>
          <t>INDIRECTO</t>
        </is>
      </c>
      <c r="N951" t="inlineStr">
        <is>
          <t>CANAL INDIRECTO</t>
        </is>
      </c>
    </row>
    <row r="952">
      <c r="A952" t="inlineStr">
        <is>
          <t>16/10/2026</t>
        </is>
      </c>
      <c r="B952" t="inlineStr">
        <is>
          <t>2026-08480</t>
        </is>
      </c>
      <c r="C952" t="inlineStr">
        <is>
          <t>163140</t>
        </is>
      </c>
      <c r="D952" t="inlineStr">
        <is>
          <t>163140</t>
        </is>
      </c>
      <c r="E952" t="inlineStr">
        <is>
          <t>HALFSIM TIGO</t>
        </is>
      </c>
      <c r="F952" t="n">
        <v>200</v>
      </c>
      <c r="G952" t="n">
        <v>138</v>
      </c>
      <c r="H952" t="inlineStr">
        <is>
          <t>0.69</t>
        </is>
      </c>
      <c r="J952" t="inlineStr">
        <is>
          <t>NORPHONE CAYAMBE_PAOLA MORAN</t>
        </is>
      </c>
      <c r="K952" t="inlineStr">
        <is>
          <t>1091717898001</t>
        </is>
      </c>
      <c r="M952" t="inlineStr">
        <is>
          <t>INDIRECTO</t>
        </is>
      </c>
      <c r="N952" t="inlineStr">
        <is>
          <t>CANAL INDIRECTO</t>
        </is>
      </c>
    </row>
    <row r="953">
      <c r="A953" t="inlineStr">
        <is>
          <t>16/10/2026</t>
        </is>
      </c>
      <c r="B953" t="inlineStr">
        <is>
          <t>2026-08481</t>
        </is>
      </c>
      <c r="C953" t="inlineStr">
        <is>
          <t>163140</t>
        </is>
      </c>
      <c r="D953" t="inlineStr">
        <is>
          <t>163140</t>
        </is>
      </c>
      <c r="E953" t="inlineStr">
        <is>
          <t>HALFSIM TIGO</t>
        </is>
      </c>
      <c r="F953" t="n">
        <v>100</v>
      </c>
      <c r="G953" t="n">
        <v>69</v>
      </c>
      <c r="H953" t="inlineStr">
        <is>
          <t>0.69</t>
        </is>
      </c>
      <c r="J953" t="inlineStr">
        <is>
          <t>PDV LOW COST FDV&amp;H PRODUCTOS Y SERVICIOS S.A.S. TENA_GABRIELA ORTEGA</t>
        </is>
      </c>
      <c r="K953" t="inlineStr">
        <is>
          <t>1716384035</t>
        </is>
      </c>
      <c r="M953" t="inlineStr">
        <is>
          <t>INDIRECTO</t>
        </is>
      </c>
      <c r="N953" t="inlineStr">
        <is>
          <t>CANAL INDIRECTO</t>
        </is>
      </c>
    </row>
    <row r="954">
      <c r="A954" t="inlineStr">
        <is>
          <t>16/10/2026</t>
        </is>
      </c>
      <c r="B954" t="inlineStr">
        <is>
          <t>2026-08482</t>
        </is>
      </c>
      <c r="C954" t="inlineStr">
        <is>
          <t>163140_02</t>
        </is>
      </c>
      <c r="D954" t="inlineStr">
        <is>
          <t>163140</t>
        </is>
      </c>
      <c r="E954" t="inlineStr">
        <is>
          <t>HALFSIM TIGO CHIP PREPAGO $3 WP NUMERADO</t>
        </is>
      </c>
      <c r="F954" t="n">
        <v>1200</v>
      </c>
      <c r="G954" t="n">
        <v>827.99999999999989</v>
      </c>
      <c r="H954" t="inlineStr">
        <is>
          <t>0.69</t>
        </is>
      </c>
      <c r="J954" t="inlineStr">
        <is>
          <t>SEPMGROUPSEPM S.A.S. AZUAY_JARA PESANTEZ JOSE DAVID</t>
        </is>
      </c>
      <c r="K954" t="inlineStr">
        <is>
          <t>0105108419</t>
        </is>
      </c>
      <c r="M954" t="inlineStr">
        <is>
          <t>INDIRECTO</t>
        </is>
      </c>
      <c r="N954" t="inlineStr">
        <is>
          <t>CANAL INDIRECTO</t>
        </is>
      </c>
    </row>
    <row r="955">
      <c r="A955" t="inlineStr">
        <is>
          <t>16/10/2026</t>
        </is>
      </c>
      <c r="B955" t="inlineStr">
        <is>
          <t>2026-08482</t>
        </is>
      </c>
      <c r="C955" t="inlineStr">
        <is>
          <t>163140_06</t>
        </is>
      </c>
      <c r="D955" t="inlineStr">
        <is>
          <t>163140</t>
        </is>
      </c>
      <c r="E955" t="inlineStr">
        <is>
          <t>HALFSIM TIGO PORTABILIDAD</t>
        </is>
      </c>
      <c r="F955" t="n">
        <v>200</v>
      </c>
      <c r="G955" t="n">
        <v>138</v>
      </c>
      <c r="H955" t="inlineStr">
        <is>
          <t>0.69</t>
        </is>
      </c>
      <c r="J955" t="inlineStr">
        <is>
          <t>SEPMGROUPSEPM S.A.S. AZUAY_JARA PESANTEZ JOSE DAVID</t>
        </is>
      </c>
      <c r="K955" t="inlineStr">
        <is>
          <t>0105108419</t>
        </is>
      </c>
      <c r="M955" t="inlineStr">
        <is>
          <t>INDIRECTO</t>
        </is>
      </c>
      <c r="N955" t="inlineStr">
        <is>
          <t>CANAL INDIRECTO</t>
        </is>
      </c>
    </row>
    <row r="956">
      <c r="A956" t="inlineStr">
        <is>
          <t>16/10/2026</t>
        </is>
      </c>
      <c r="B956" t="inlineStr">
        <is>
          <t>16505737</t>
        </is>
      </c>
      <c r="C956" t="inlineStr">
        <is>
          <t>163140</t>
        </is>
      </c>
      <c r="D956" t="inlineStr">
        <is>
          <t>163140</t>
        </is>
      </c>
      <c r="E956" t="inlineStr">
        <is>
          <t>HALFSIM TIGO</t>
        </is>
      </c>
      <c r="F956" t="n">
        <v>2</v>
      </c>
      <c r="G956" t="n">
        <v>1.38</v>
      </c>
      <c r="H956" t="inlineStr">
        <is>
          <t>0.69</t>
        </is>
      </c>
      <c r="J956" t="inlineStr">
        <is>
          <t>EDGAR SANGACHA_DELONORTE S A</t>
        </is>
      </c>
      <c r="K956" t="inlineStr">
        <is>
          <t>1793204721001</t>
        </is>
      </c>
      <c r="M956" t="inlineStr">
        <is>
          <t>BTB</t>
        </is>
      </c>
      <c r="N956" t="inlineStr">
        <is>
          <t>CANAL DIRECTO</t>
        </is>
      </c>
    </row>
    <row r="957">
      <c r="A957" t="inlineStr">
        <is>
          <t>16/10/2026</t>
        </is>
      </c>
      <c r="B957" t="inlineStr">
        <is>
          <t>16505746</t>
        </is>
      </c>
      <c r="C957" t="inlineStr">
        <is>
          <t>163140</t>
        </is>
      </c>
      <c r="D957" t="inlineStr">
        <is>
          <t>163140</t>
        </is>
      </c>
      <c r="E957" t="inlineStr">
        <is>
          <t>HALFSIM TIGO</t>
        </is>
      </c>
      <c r="F957" t="n">
        <v>1</v>
      </c>
      <c r="G957" t="n">
        <v>0.69</v>
      </c>
      <c r="H957" t="inlineStr">
        <is>
          <t>0.69</t>
        </is>
      </c>
      <c r="J957" t="inlineStr">
        <is>
          <t>MARIA GABRIELA QUISHPE LOPEZ_PRODUCTORA Y COMERCIALIZADORA GUADAPRODUCTS CIA LT</t>
        </is>
      </c>
      <c r="K957" t="inlineStr">
        <is>
          <t>1792734797001</t>
        </is>
      </c>
      <c r="M957" t="inlineStr">
        <is>
          <t>BTB</t>
        </is>
      </c>
      <c r="N957" t="inlineStr">
        <is>
          <t>CANAL DIRECTO</t>
        </is>
      </c>
    </row>
    <row r="958">
      <c r="A958" t="inlineStr">
        <is>
          <t>16/10/2026</t>
        </is>
      </c>
      <c r="B958" t="inlineStr">
        <is>
          <t>16505852</t>
        </is>
      </c>
      <c r="C958" t="inlineStr">
        <is>
          <t>163140</t>
        </is>
      </c>
      <c r="D958" t="inlineStr">
        <is>
          <t>163140</t>
        </is>
      </c>
      <c r="E958" t="inlineStr">
        <is>
          <t>HALFSIM TIGO</t>
        </is>
      </c>
      <c r="F958" t="n">
        <v>2</v>
      </c>
      <c r="G958" t="n">
        <v>1.38</v>
      </c>
      <c r="H958" t="inlineStr">
        <is>
          <t>0.69</t>
        </is>
      </c>
      <c r="J958" t="inlineStr">
        <is>
          <t>VILLAFUERTE MENDOZA JUAN JOSE_VILLAFUERTE MENDOZA JUAN JOSE</t>
        </is>
      </c>
      <c r="K958" t="inlineStr">
        <is>
          <t>1313070789001</t>
        </is>
      </c>
      <c r="M958" t="inlineStr">
        <is>
          <t>BTB</t>
        </is>
      </c>
      <c r="N958" t="inlineStr">
        <is>
          <t>CANAL DIRECTO</t>
        </is>
      </c>
    </row>
    <row r="959">
      <c r="A959" t="inlineStr">
        <is>
          <t>16/10/2026</t>
        </is>
      </c>
      <c r="B959" t="inlineStr">
        <is>
          <t>16505854</t>
        </is>
      </c>
      <c r="C959" t="inlineStr">
        <is>
          <t>163140</t>
        </is>
      </c>
      <c r="D959" t="inlineStr">
        <is>
          <t>163140</t>
        </is>
      </c>
      <c r="E959" t="inlineStr">
        <is>
          <t>HALFSIM TIGO</t>
        </is>
      </c>
      <c r="F959" t="n">
        <v>1</v>
      </c>
      <c r="G959" t="n">
        <v>0.69</v>
      </c>
      <c r="H959" t="inlineStr">
        <is>
          <t>0.69</t>
        </is>
      </c>
      <c r="J959" t="inlineStr">
        <is>
          <t>ARCOS ANDRADE JAIME DAVID_ARCOS ANDRADE JAIME DAVID</t>
        </is>
      </c>
      <c r="K959" t="inlineStr">
        <is>
          <t>1719022533001</t>
        </is>
      </c>
      <c r="M959" t="inlineStr">
        <is>
          <t>BTB</t>
        </is>
      </c>
      <c r="N959" t="inlineStr">
        <is>
          <t>CANAL DIRECTO</t>
        </is>
      </c>
    </row>
    <row r="960">
      <c r="A960" t="inlineStr">
        <is>
          <t>16/10/2026</t>
        </is>
      </c>
      <c r="B960" t="inlineStr">
        <is>
          <t>16505856</t>
        </is>
      </c>
      <c r="C960" t="inlineStr">
        <is>
          <t>163140</t>
        </is>
      </c>
      <c r="D960" t="inlineStr">
        <is>
          <t>163140</t>
        </is>
      </c>
      <c r="E960" t="inlineStr">
        <is>
          <t>HALFSIM TIGO</t>
        </is>
      </c>
      <c r="F960" t="n">
        <v>1</v>
      </c>
      <c r="G960" t="n">
        <v>0.69</v>
      </c>
      <c r="H960" t="inlineStr">
        <is>
          <t>0.69</t>
        </is>
      </c>
      <c r="J960" t="inlineStr">
        <is>
          <t>MARIA GABRIELA QUISHPE LOPEZ_PRODUCTORA Y COMERCIALIZADORA GUADAPRODUCTS CIA LT</t>
        </is>
      </c>
      <c r="K960" t="inlineStr">
        <is>
          <t>1792734797001</t>
        </is>
      </c>
      <c r="M960" t="inlineStr">
        <is>
          <t>BTB</t>
        </is>
      </c>
      <c r="N960" t="inlineStr">
        <is>
          <t>CANAL DIRECTO</t>
        </is>
      </c>
    </row>
    <row r="961">
      <c r="A961" t="inlineStr">
        <is>
          <t>16/10/2026</t>
        </is>
      </c>
      <c r="B961" t="inlineStr">
        <is>
          <t>16505857</t>
        </is>
      </c>
      <c r="C961" t="inlineStr">
        <is>
          <t>163140</t>
        </is>
      </c>
      <c r="D961" t="inlineStr">
        <is>
          <t>163140</t>
        </is>
      </c>
      <c r="E961" t="inlineStr">
        <is>
          <t>HALFSIM TIGO</t>
        </is>
      </c>
      <c r="F961" t="n">
        <v>10</v>
      </c>
      <c r="G961" t="n">
        <v>6.8999999999999995</v>
      </c>
      <c r="H961" t="inlineStr">
        <is>
          <t>0.69</t>
        </is>
      </c>
      <c r="J961" t="inlineStr">
        <is>
          <t>MARCO PEREZ_RHENANIA SA</t>
        </is>
      </c>
      <c r="K961" t="inlineStr">
        <is>
          <t>1790044424001</t>
        </is>
      </c>
      <c r="M961" t="inlineStr">
        <is>
          <t>BTB</t>
        </is>
      </c>
      <c r="N961" t="inlineStr">
        <is>
          <t>CANAL DIRECTO</t>
        </is>
      </c>
    </row>
    <row r="962">
      <c r="A962" t="inlineStr">
        <is>
          <t>16/10/2026</t>
        </is>
      </c>
      <c r="B962" t="inlineStr">
        <is>
          <t>16505890</t>
        </is>
      </c>
      <c r="C962" t="inlineStr">
        <is>
          <t>163140</t>
        </is>
      </c>
      <c r="D962" t="inlineStr">
        <is>
          <t>163140</t>
        </is>
      </c>
      <c r="E962" t="inlineStr">
        <is>
          <t>HALFSIM TIGO</t>
        </is>
      </c>
      <c r="F962" t="n">
        <v>13</v>
      </c>
      <c r="G962" t="n">
        <v>8.9699999999999989</v>
      </c>
      <c r="H962" t="inlineStr">
        <is>
          <t>0.69</t>
        </is>
      </c>
      <c r="J962" t="inlineStr">
        <is>
          <t>VERONICA VELASQUEZ_IST AMERICAS INTEGRACION DE SOLUCIONES TRIGIO C L</t>
        </is>
      </c>
      <c r="K962" t="inlineStr">
        <is>
          <t>1792972884001</t>
        </is>
      </c>
      <c r="M962" t="inlineStr">
        <is>
          <t>BTB</t>
        </is>
      </c>
      <c r="N962" t="inlineStr">
        <is>
          <t>CANAL DIRECTO</t>
        </is>
      </c>
    </row>
    <row r="963">
      <c r="A963" t="inlineStr">
        <is>
          <t>17/10/2026</t>
        </is>
      </c>
      <c r="B963" t="inlineStr">
        <is>
          <t>2026-08499</t>
        </is>
      </c>
      <c r="C963" t="inlineStr">
        <is>
          <t>163140_02</t>
        </is>
      </c>
      <c r="D963" t="inlineStr">
        <is>
          <t>163140</t>
        </is>
      </c>
      <c r="E963" t="inlineStr">
        <is>
          <t>HALFSIM TIGO CHIP PREPAGO $3 WP NUMERADO</t>
        </is>
      </c>
      <c r="F963" t="n">
        <v>100</v>
      </c>
      <c r="G963" t="n">
        <v>69</v>
      </c>
      <c r="H963" t="inlineStr">
        <is>
          <t>0.69</t>
        </is>
      </c>
      <c r="J963" t="inlineStr">
        <is>
          <t>KIOSKO RYRTECH TT GUAYAQUIL_ROMERO RODRIGUEZ MAURENY GEANELLA</t>
        </is>
      </c>
      <c r="K963" t="inlineStr">
        <is>
          <t>0915962609</t>
        </is>
      </c>
      <c r="M963" t="inlineStr">
        <is>
          <t>INDIRECTO</t>
        </is>
      </c>
      <c r="N963" t="inlineStr">
        <is>
          <t>CANAL INDIRECTO</t>
        </is>
      </c>
    </row>
    <row r="964">
      <c r="A964" t="inlineStr">
        <is>
          <t>19/10/2026</t>
        </is>
      </c>
      <c r="B964" t="inlineStr">
        <is>
          <t>16502938</t>
        </is>
      </c>
      <c r="C964" t="inlineStr">
        <is>
          <t>163140</t>
        </is>
      </c>
      <c r="D964" t="inlineStr">
        <is>
          <t>163140</t>
        </is>
      </c>
      <c r="E964" t="inlineStr">
        <is>
          <t>HALFSIM TIGO</t>
        </is>
      </c>
      <c r="F964" t="n">
        <v>2</v>
      </c>
      <c r="G964" t="n">
        <v>1.38</v>
      </c>
      <c r="H964" t="inlineStr">
        <is>
          <t>0.69</t>
        </is>
      </c>
      <c r="J964" t="inlineStr">
        <is>
          <t>EDISON ARTURO MONTENEGRO CHICANGO_EDISON ARTURO MONTENEGRO CHICANGO</t>
        </is>
      </c>
      <c r="K964" t="inlineStr">
        <is>
          <t>1708189673001</t>
        </is>
      </c>
      <c r="M964" t="inlineStr">
        <is>
          <t>BTB</t>
        </is>
      </c>
      <c r="N964" t="inlineStr">
        <is>
          <t>CANAL DIRECTO</t>
        </is>
      </c>
    </row>
    <row r="965">
      <c r="A965" t="inlineStr">
        <is>
          <t>19/10/2026</t>
        </is>
      </c>
      <c r="B965" t="inlineStr">
        <is>
          <t>16503605</t>
        </is>
      </c>
      <c r="C965" t="inlineStr">
        <is>
          <t>163140</t>
        </is>
      </c>
      <c r="D965" t="inlineStr">
        <is>
          <t>163140</t>
        </is>
      </c>
      <c r="E965" t="inlineStr">
        <is>
          <t>HALFSIM TIGO</t>
        </is>
      </c>
      <c r="F965" t="n">
        <v>1</v>
      </c>
      <c r="G965" t="n">
        <v>0.69</v>
      </c>
      <c r="H965" t="inlineStr">
        <is>
          <t>0.69</t>
        </is>
      </c>
      <c r="J965" t="inlineStr">
        <is>
          <t>CAJAS MONTALVAN LUIS GIOVANNY_CAJAS MONTALVAN LUIS GIOVANNY</t>
        </is>
      </c>
      <c r="K965" t="inlineStr">
        <is>
          <t>1716889710001</t>
        </is>
      </c>
      <c r="M965" t="inlineStr">
        <is>
          <t>BTB</t>
        </is>
      </c>
      <c r="N965" t="inlineStr">
        <is>
          <t>CANAL DIRECTO</t>
        </is>
      </c>
    </row>
    <row r="966">
      <c r="A966" t="inlineStr">
        <is>
          <t>19/10/2026</t>
        </is>
      </c>
      <c r="B966" t="inlineStr">
        <is>
          <t>16503720</t>
        </is>
      </c>
      <c r="C966" t="inlineStr">
        <is>
          <t>163140</t>
        </is>
      </c>
      <c r="D966" t="inlineStr">
        <is>
          <t>163140</t>
        </is>
      </c>
      <c r="E966" t="inlineStr">
        <is>
          <t>HALFSIM TIGO</t>
        </is>
      </c>
      <c r="F966" t="n">
        <v>1</v>
      </c>
      <c r="G966" t="n">
        <v>0.69</v>
      </c>
      <c r="H966" t="inlineStr">
        <is>
          <t>0.69</t>
        </is>
      </c>
      <c r="J966" t="inlineStr">
        <is>
          <t>PIZARRO AYO GONZALO_PIZARRO AYO GONZALO</t>
        </is>
      </c>
      <c r="K966" t="inlineStr">
        <is>
          <t>1704702313001</t>
        </is>
      </c>
      <c r="M966" t="inlineStr">
        <is>
          <t>BTB</t>
        </is>
      </c>
      <c r="N966" t="inlineStr">
        <is>
          <t>CANAL DIRECTO</t>
        </is>
      </c>
    </row>
    <row r="967">
      <c r="A967" t="inlineStr">
        <is>
          <t>19/10/2026</t>
        </is>
      </c>
      <c r="B967" t="inlineStr">
        <is>
          <t>16504919</t>
        </is>
      </c>
      <c r="C967" t="inlineStr">
        <is>
          <t>163140</t>
        </is>
      </c>
      <c r="D967" t="inlineStr">
        <is>
          <t>163140</t>
        </is>
      </c>
      <c r="E967" t="inlineStr">
        <is>
          <t>HALFSIM TIGO</t>
        </is>
      </c>
      <c r="F967" t="n">
        <v>1</v>
      </c>
      <c r="G967" t="n">
        <v>0.69</v>
      </c>
      <c r="H967" t="inlineStr">
        <is>
          <t>0.69</t>
        </is>
      </c>
      <c r="J967" t="inlineStr">
        <is>
          <t>CHANGO TIPANTAXI FRANCISCO OMAR_CHANGO TIPANTAXI FRANCISCO OMAR</t>
        </is>
      </c>
      <c r="K967" t="inlineStr">
        <is>
          <t>1706668587001</t>
        </is>
      </c>
      <c r="M967" t="inlineStr">
        <is>
          <t>BTB</t>
        </is>
      </c>
      <c r="N967" t="inlineStr">
        <is>
          <t>CANAL DIRECTO</t>
        </is>
      </c>
    </row>
    <row r="968">
      <c r="A968" t="inlineStr">
        <is>
          <t>19/10/2026</t>
        </is>
      </c>
      <c r="B968" t="inlineStr">
        <is>
          <t>16505416</t>
        </is>
      </c>
      <c r="C968" t="inlineStr">
        <is>
          <t>163140</t>
        </is>
      </c>
      <c r="D968" t="inlineStr">
        <is>
          <t>163140</t>
        </is>
      </c>
      <c r="E968" t="inlineStr">
        <is>
          <t>HALFSIM TIGO</t>
        </is>
      </c>
      <c r="F968" t="n">
        <v>2</v>
      </c>
      <c r="G968" t="n">
        <v>1.38</v>
      </c>
      <c r="H968" t="inlineStr">
        <is>
          <t>0.69</t>
        </is>
      </c>
      <c r="J968" t="inlineStr">
        <is>
          <t>LUZARRAGA INTRIAGO CARLOS ANIBAL_LUZARRAGA INTRIAGO CARLOS ANIBAL</t>
        </is>
      </c>
      <c r="K968" t="inlineStr">
        <is>
          <t>0931757215001</t>
        </is>
      </c>
      <c r="M968" t="inlineStr">
        <is>
          <t>BTB</t>
        </is>
      </c>
      <c r="N968" t="inlineStr">
        <is>
          <t>CANAL DIRECTO</t>
        </is>
      </c>
    </row>
    <row r="969">
      <c r="A969" t="inlineStr">
        <is>
          <t>19/10/2026</t>
        </is>
      </c>
      <c r="B969" t="inlineStr">
        <is>
          <t>16505423</t>
        </is>
      </c>
      <c r="C969" t="inlineStr">
        <is>
          <t>163140</t>
        </is>
      </c>
      <c r="D969" t="inlineStr">
        <is>
          <t>163140</t>
        </is>
      </c>
      <c r="E969" t="inlineStr">
        <is>
          <t>HALFSIM TIGO</t>
        </is>
      </c>
      <c r="F969" t="n">
        <v>1</v>
      </c>
      <c r="G969" t="n">
        <v>0.69</v>
      </c>
      <c r="H969" t="inlineStr">
        <is>
          <t>0.69</t>
        </is>
      </c>
      <c r="J969" t="inlineStr">
        <is>
          <t>ESPINOZA ALCIVAR ALEX PATRICIO_ESPINOZA ALCIVAR ALEX PATRICIO</t>
        </is>
      </c>
      <c r="K969" t="inlineStr">
        <is>
          <t>1719802199001</t>
        </is>
      </c>
      <c r="M969" t="inlineStr">
        <is>
          <t>BTB</t>
        </is>
      </c>
      <c r="N969" t="inlineStr">
        <is>
          <t>CANAL DIRECTO</t>
        </is>
      </c>
    </row>
    <row r="970">
      <c r="A970" t="inlineStr">
        <is>
          <t>19/10/2026</t>
        </is>
      </c>
      <c r="B970" t="inlineStr">
        <is>
          <t>2026-08464</t>
        </is>
      </c>
      <c r="C970" t="inlineStr">
        <is>
          <t>163140_02</t>
        </is>
      </c>
      <c r="D970" t="inlineStr">
        <is>
          <t>163140</t>
        </is>
      </c>
      <c r="E970" t="inlineStr">
        <is>
          <t>HALFSIM TIGO CHIP PREPAGO $3 WP NUMERADO</t>
        </is>
      </c>
      <c r="F970" t="n">
        <v>3000</v>
      </c>
      <c r="G970" t="n">
        <v>2070</v>
      </c>
      <c r="H970" t="inlineStr">
        <is>
          <t>0.69</t>
        </is>
      </c>
      <c r="J970" t="inlineStr">
        <is>
          <t>FDV&amp;H MANABI PDA_VICTOR FLORES DE VALGAZ ANDRADE</t>
        </is>
      </c>
      <c r="K970" t="inlineStr">
        <is>
          <t>1716384035</t>
        </is>
      </c>
      <c r="M970" t="inlineStr">
        <is>
          <t>INDIRECTO</t>
        </is>
      </c>
      <c r="N970" t="inlineStr">
        <is>
          <t>CANAL INDIRECTO</t>
        </is>
      </c>
    </row>
    <row r="971">
      <c r="A971" t="inlineStr">
        <is>
          <t>19/10/2026</t>
        </is>
      </c>
      <c r="B971" t="inlineStr">
        <is>
          <t>2026-08475</t>
        </is>
      </c>
      <c r="C971" t="inlineStr">
        <is>
          <t>163140</t>
        </is>
      </c>
      <c r="D971" t="inlineStr">
        <is>
          <t>163140</t>
        </is>
      </c>
      <c r="E971" t="inlineStr">
        <is>
          <t>HALFSIM TIGO</t>
        </is>
      </c>
      <c r="F971" t="n">
        <v>200</v>
      </c>
      <c r="G971" t="n">
        <v>138</v>
      </c>
      <c r="H971" t="inlineStr">
        <is>
          <t>0.69</t>
        </is>
      </c>
      <c r="J971" t="inlineStr">
        <is>
          <t>PDV CELISTICS CC EL BOSQUE_MARIA JOSE TOBAR ZAMBRANO</t>
        </is>
      </c>
      <c r="K971" t="inlineStr">
        <is>
          <t>1306571512</t>
        </is>
      </c>
      <c r="M971" t="inlineStr">
        <is>
          <t>INDIRECTO</t>
        </is>
      </c>
      <c r="N971" t="inlineStr">
        <is>
          <t>CANAL INDIRECTO</t>
        </is>
      </c>
    </row>
    <row r="972">
      <c r="A972" t="inlineStr">
        <is>
          <t>19/10/2026</t>
        </is>
      </c>
      <c r="B972" t="inlineStr">
        <is>
          <t>2026-08475</t>
        </is>
      </c>
      <c r="C972" t="inlineStr">
        <is>
          <t>163141</t>
        </is>
      </c>
      <c r="D972" t="inlineStr">
        <is>
          <t>163141</t>
        </is>
      </c>
      <c r="E972" t="inlineStr">
        <is>
          <t>ESIM TIGO DIGITAL</t>
        </is>
      </c>
      <c r="F972" t="n">
        <v>20</v>
      </c>
      <c r="G972" t="n">
        <v>4.2</v>
      </c>
      <c r="H972" t="inlineStr">
        <is>
          <t>0.21</t>
        </is>
      </c>
      <c r="J972" t="inlineStr">
        <is>
          <t>PDV CELISTICS CC EL BOSQUE_MARIA JOSE TOBAR ZAMBRANO</t>
        </is>
      </c>
      <c r="K972" t="inlineStr">
        <is>
          <t>1306571512</t>
        </is>
      </c>
      <c r="M972" t="inlineStr">
        <is>
          <t>INDIRECTO</t>
        </is>
      </c>
      <c r="N972" t="inlineStr">
        <is>
          <t>CANAL INDIRECTO</t>
        </is>
      </c>
    </row>
    <row r="973">
      <c r="A973" t="inlineStr">
        <is>
          <t>19/10/2026</t>
        </is>
      </c>
      <c r="B973" t="inlineStr">
        <is>
          <t>16505705</t>
        </is>
      </c>
      <c r="C973" t="inlineStr">
        <is>
          <t>163140</t>
        </is>
      </c>
      <c r="D973" t="inlineStr">
        <is>
          <t>163140</t>
        </is>
      </c>
      <c r="E973" t="inlineStr">
        <is>
          <t>HALFSIM TIGO</t>
        </is>
      </c>
      <c r="F973" t="n">
        <v>1</v>
      </c>
      <c r="G973" t="n">
        <v>0.69</v>
      </c>
      <c r="H973" t="inlineStr">
        <is>
          <t>0.69</t>
        </is>
      </c>
      <c r="J973" t="inlineStr">
        <is>
          <t>AGUIRRE PLAZA LEONARDO JAVIER_AGUIRRE PLAZA LEONARDO JAVIER</t>
        </is>
      </c>
      <c r="K973" t="inlineStr">
        <is>
          <t>0917044729001</t>
        </is>
      </c>
      <c r="M973" t="inlineStr">
        <is>
          <t>BTB</t>
        </is>
      </c>
      <c r="N973" t="inlineStr">
        <is>
          <t>CANAL DIRECTO</t>
        </is>
      </c>
    </row>
    <row r="974">
      <c r="A974" t="inlineStr">
        <is>
          <t>19/10/2026</t>
        </is>
      </c>
      <c r="B974" t="inlineStr">
        <is>
          <t>16505733</t>
        </is>
      </c>
      <c r="C974" t="inlineStr">
        <is>
          <t>163140</t>
        </is>
      </c>
      <c r="D974" t="inlineStr">
        <is>
          <t>163140</t>
        </is>
      </c>
      <c r="E974" t="inlineStr">
        <is>
          <t>HALFSIM TIGO</t>
        </is>
      </c>
      <c r="F974" t="n">
        <v>1</v>
      </c>
      <c r="G974" t="n">
        <v>0.69</v>
      </c>
      <c r="H974" t="inlineStr">
        <is>
          <t>0.69</t>
        </is>
      </c>
      <c r="J974" t="inlineStr">
        <is>
          <t>BENITEZ TITUANA HECTOR PATRICIO_BENITEZ TITUANA HECTOR PATRICIO</t>
        </is>
      </c>
      <c r="K974" t="inlineStr">
        <is>
          <t>1720576394001</t>
        </is>
      </c>
      <c r="M974" t="inlineStr">
        <is>
          <t>BTB</t>
        </is>
      </c>
      <c r="N974" t="inlineStr">
        <is>
          <t>CANAL DIRECTO</t>
        </is>
      </c>
    </row>
    <row r="975">
      <c r="A975" t="inlineStr">
        <is>
          <t>19/10/2026</t>
        </is>
      </c>
      <c r="B975" t="inlineStr">
        <is>
          <t>16505739</t>
        </is>
      </c>
      <c r="C975" t="inlineStr">
        <is>
          <t>163140</t>
        </is>
      </c>
      <c r="D975" t="inlineStr">
        <is>
          <t>163140</t>
        </is>
      </c>
      <c r="E975" t="inlineStr">
        <is>
          <t>HALFSIM TIGO</t>
        </is>
      </c>
      <c r="F975" t="n">
        <v>1</v>
      </c>
      <c r="G975" t="n">
        <v>0.69</v>
      </c>
      <c r="H975" t="inlineStr">
        <is>
          <t>0.69</t>
        </is>
      </c>
      <c r="J975" t="inlineStr">
        <is>
          <t>MOROCHO ARIAS MAYRA DANIELA_MOROCHO ARIAS MAYRA DANIELA</t>
        </is>
      </c>
      <c r="K975" t="inlineStr">
        <is>
          <t>1804920161001</t>
        </is>
      </c>
      <c r="M975" t="inlineStr">
        <is>
          <t>BTB</t>
        </is>
      </c>
      <c r="N975" t="inlineStr">
        <is>
          <t>CANAL DIRECTO</t>
        </is>
      </c>
    </row>
    <row r="976">
      <c r="A976" t="inlineStr">
        <is>
          <t>19/10/2026</t>
        </is>
      </c>
      <c r="B976" t="inlineStr">
        <is>
          <t>16505706</t>
        </is>
      </c>
      <c r="C976" t="inlineStr">
        <is>
          <t>163140</t>
        </is>
      </c>
      <c r="D976" t="inlineStr">
        <is>
          <t>163140</t>
        </is>
      </c>
      <c r="E976" t="inlineStr">
        <is>
          <t>HALFSIM TIGO</t>
        </is>
      </c>
      <c r="F976" t="n">
        <v>1</v>
      </c>
      <c r="G976" t="n">
        <v>0.69</v>
      </c>
      <c r="H976" t="inlineStr">
        <is>
          <t>0.69</t>
        </is>
      </c>
      <c r="J976" t="inlineStr">
        <is>
          <t>RUIZ REYNA SUANY VIVIANA_RUIZ REYNA SUANY VIVIANA</t>
        </is>
      </c>
      <c r="K976" t="inlineStr">
        <is>
          <t>0926840679001</t>
        </is>
      </c>
      <c r="M976" t="inlineStr">
        <is>
          <t>BTB</t>
        </is>
      </c>
      <c r="N976" t="inlineStr">
        <is>
          <t>CANAL DIRECTO</t>
        </is>
      </c>
    </row>
    <row r="977">
      <c r="A977" t="inlineStr">
        <is>
          <t>19/10/2026</t>
        </is>
      </c>
      <c r="B977" t="inlineStr">
        <is>
          <t>16505707</t>
        </is>
      </c>
      <c r="C977" t="inlineStr">
        <is>
          <t>163140</t>
        </is>
      </c>
      <c r="D977" t="inlineStr">
        <is>
          <t>163140</t>
        </is>
      </c>
      <c r="E977" t="inlineStr">
        <is>
          <t>HALFSIM TIGO</t>
        </is>
      </c>
      <c r="F977" t="n">
        <v>1</v>
      </c>
      <c r="G977" t="n">
        <v>0.69</v>
      </c>
      <c r="H977" t="inlineStr">
        <is>
          <t>0.69</t>
        </is>
      </c>
      <c r="J977" t="inlineStr">
        <is>
          <t>CRUZ CARRERA KAREN JOSELYN_CRUZ CARRERA KAREN JOSELYN</t>
        </is>
      </c>
      <c r="K977" t="inlineStr">
        <is>
          <t>1722886627001</t>
        </is>
      </c>
      <c r="M977" t="inlineStr">
        <is>
          <t>BTB</t>
        </is>
      </c>
      <c r="N977" t="inlineStr">
        <is>
          <t>CANAL DIRECTO</t>
        </is>
      </c>
    </row>
    <row r="978">
      <c r="A978" t="inlineStr">
        <is>
          <t>19/10/2026</t>
        </is>
      </c>
      <c r="B978" t="inlineStr">
        <is>
          <t>16505710</t>
        </is>
      </c>
      <c r="C978" t="inlineStr">
        <is>
          <t>163140</t>
        </is>
      </c>
      <c r="D978" t="inlineStr">
        <is>
          <t>163140</t>
        </is>
      </c>
      <c r="E978" t="inlineStr">
        <is>
          <t>HALFSIM TIGO</t>
        </is>
      </c>
      <c r="F978" t="n">
        <v>1</v>
      </c>
      <c r="G978" t="n">
        <v>0.69</v>
      </c>
      <c r="H978" t="inlineStr">
        <is>
          <t>0.69</t>
        </is>
      </c>
      <c r="J978" t="inlineStr">
        <is>
          <t>OROZCO QUINGA ADOLFO MISAEL_OROZCO QUINGA ADOLFO MISAEL</t>
        </is>
      </c>
      <c r="K978" t="inlineStr">
        <is>
          <t>1804347811001</t>
        </is>
      </c>
      <c r="M978" t="inlineStr">
        <is>
          <t>BTB</t>
        </is>
      </c>
      <c r="N978" t="inlineStr">
        <is>
          <t>CANAL DIRECTO</t>
        </is>
      </c>
    </row>
    <row r="979">
      <c r="A979" t="inlineStr">
        <is>
          <t>19/10/2026</t>
        </is>
      </c>
      <c r="B979" t="inlineStr">
        <is>
          <t>16505710</t>
        </is>
      </c>
      <c r="C979" t="inlineStr">
        <is>
          <t>163140</t>
        </is>
      </c>
      <c r="D979" t="inlineStr">
        <is>
          <t>163140</t>
        </is>
      </c>
      <c r="E979" t="inlineStr">
        <is>
          <t>HALFSIM TIGO</t>
        </is>
      </c>
      <c r="F979" t="n">
        <v>1</v>
      </c>
      <c r="G979" t="n">
        <v>0.69</v>
      </c>
      <c r="H979" t="inlineStr">
        <is>
          <t>0.69</t>
        </is>
      </c>
      <c r="J979" t="inlineStr">
        <is>
          <t>OROZCO QUINGA ADOLFO MISAEL_OROZCO QUINGA ADOLFO MISAEL</t>
        </is>
      </c>
      <c r="K979" t="inlineStr">
        <is>
          <t>1804347811001</t>
        </is>
      </c>
      <c r="M979" t="inlineStr">
        <is>
          <t>BTB</t>
        </is>
      </c>
      <c r="N979" t="inlineStr">
        <is>
          <t>CANAL DIRECTO</t>
        </is>
      </c>
    </row>
    <row r="980">
      <c r="A980" t="inlineStr">
        <is>
          <t>19/10/2026</t>
        </is>
      </c>
      <c r="B980" t="inlineStr">
        <is>
          <t>16505728</t>
        </is>
      </c>
      <c r="C980" t="inlineStr">
        <is>
          <t>163140</t>
        </is>
      </c>
      <c r="D980" t="inlineStr">
        <is>
          <t>163140</t>
        </is>
      </c>
      <c r="E980" t="inlineStr">
        <is>
          <t>HALFSIM TIGO</t>
        </is>
      </c>
      <c r="F980" t="n">
        <v>2</v>
      </c>
      <c r="G980" t="n">
        <v>1.38</v>
      </c>
      <c r="H980" t="inlineStr">
        <is>
          <t>0.69</t>
        </is>
      </c>
      <c r="J980" t="inlineStr">
        <is>
          <t>DENISSE RAMOS_ OPERFEL S A</t>
        </is>
      </c>
      <c r="K980" t="inlineStr">
        <is>
          <t>0992534575001</t>
        </is>
      </c>
      <c r="M980" t="inlineStr">
        <is>
          <t>BTB</t>
        </is>
      </c>
      <c r="N980" t="inlineStr">
        <is>
          <t>CANAL DIRECTO</t>
        </is>
      </c>
    </row>
    <row r="981">
      <c r="A981" t="inlineStr">
        <is>
          <t>19/10/2026</t>
        </is>
      </c>
      <c r="B981" t="inlineStr">
        <is>
          <t>16505730</t>
        </is>
      </c>
      <c r="C981" t="inlineStr">
        <is>
          <t>163140</t>
        </is>
      </c>
      <c r="D981" t="inlineStr">
        <is>
          <t>163140</t>
        </is>
      </c>
      <c r="E981" t="inlineStr">
        <is>
          <t>HALFSIM TIGO</t>
        </is>
      </c>
      <c r="F981" t="n">
        <v>1</v>
      </c>
      <c r="G981" t="n">
        <v>0.69</v>
      </c>
      <c r="H981" t="inlineStr">
        <is>
          <t>0.69</t>
        </is>
      </c>
      <c r="J981" t="inlineStr">
        <is>
          <t>PEREZ MORENO DIEGO FERNANDO_PEREZ MORENO DIEGO FERNANDO</t>
        </is>
      </c>
      <c r="K981" t="inlineStr">
        <is>
          <t>1803751856001</t>
        </is>
      </c>
      <c r="M981" t="inlineStr">
        <is>
          <t>BTB</t>
        </is>
      </c>
      <c r="N981" t="inlineStr">
        <is>
          <t>CANAL DIRECTO</t>
        </is>
      </c>
    </row>
    <row r="982">
      <c r="A982" t="inlineStr">
        <is>
          <t>19/10/2026</t>
        </is>
      </c>
      <c r="B982" t="inlineStr">
        <is>
          <t>16505730</t>
        </is>
      </c>
      <c r="C982" t="inlineStr">
        <is>
          <t>163140</t>
        </is>
      </c>
      <c r="D982" t="inlineStr">
        <is>
          <t>163140</t>
        </is>
      </c>
      <c r="E982" t="inlineStr">
        <is>
          <t>HALFSIM TIGO</t>
        </is>
      </c>
      <c r="F982" t="n">
        <v>1</v>
      </c>
      <c r="G982" t="n">
        <v>0.69</v>
      </c>
      <c r="H982" t="inlineStr">
        <is>
          <t>0.69</t>
        </is>
      </c>
      <c r="J982" t="inlineStr">
        <is>
          <t>PEREZ MORENO DIEGO FERNANDO_PEREZ MORENO DIEGO FERNANDO</t>
        </is>
      </c>
      <c r="K982" t="inlineStr">
        <is>
          <t>1803751856001</t>
        </is>
      </c>
      <c r="M982" t="inlineStr">
        <is>
          <t>BTB</t>
        </is>
      </c>
      <c r="N982" t="inlineStr">
        <is>
          <t>CANAL DIRECTO</t>
        </is>
      </c>
    </row>
    <row r="983">
      <c r="A983" t="inlineStr">
        <is>
          <t>19/10/2026</t>
        </is>
      </c>
      <c r="B983" t="inlineStr">
        <is>
          <t>16505736</t>
        </is>
      </c>
      <c r="C983" t="inlineStr">
        <is>
          <t>163140</t>
        </is>
      </c>
      <c r="D983" t="inlineStr">
        <is>
          <t>163140</t>
        </is>
      </c>
      <c r="E983" t="inlineStr">
        <is>
          <t>HALFSIM TIGO</t>
        </is>
      </c>
      <c r="F983" t="n">
        <v>1</v>
      </c>
      <c r="G983" t="n">
        <v>0.69</v>
      </c>
      <c r="H983" t="inlineStr">
        <is>
          <t>0.69</t>
        </is>
      </c>
      <c r="J983" t="inlineStr">
        <is>
          <t>WILSON OVIEDO_NOVAECUADOR S A AGENCIA ASESORA PRO</t>
        </is>
      </c>
      <c r="K983" t="inlineStr">
        <is>
          <t>1791297121001</t>
        </is>
      </c>
      <c r="M983" t="inlineStr">
        <is>
          <t>BTB</t>
        </is>
      </c>
      <c r="N983" t="inlineStr">
        <is>
          <t>CANAL DIRECTO</t>
        </is>
      </c>
    </row>
    <row r="984">
      <c r="A984" t="inlineStr">
        <is>
          <t>19/10/2026</t>
        </is>
      </c>
      <c r="B984" t="inlineStr">
        <is>
          <t>16505744</t>
        </is>
      </c>
      <c r="C984" t="inlineStr">
        <is>
          <t>163140</t>
        </is>
      </c>
      <c r="D984" t="inlineStr">
        <is>
          <t>163140</t>
        </is>
      </c>
      <c r="E984" t="inlineStr">
        <is>
          <t>HALFSIM TIGO</t>
        </is>
      </c>
      <c r="F984" t="n">
        <v>1</v>
      </c>
      <c r="G984" t="n">
        <v>0.69</v>
      </c>
      <c r="H984" t="inlineStr">
        <is>
          <t>0.69</t>
        </is>
      </c>
      <c r="J984" t="inlineStr">
        <is>
          <t>LESLI GOMEZ_MIVSELL TECHONOLOGY COMPANY S A</t>
        </is>
      </c>
      <c r="K984" t="inlineStr">
        <is>
          <t>1792361575001</t>
        </is>
      </c>
      <c r="M984" t="inlineStr">
        <is>
          <t>BTB</t>
        </is>
      </c>
      <c r="N984" t="inlineStr">
        <is>
          <t>CANAL DIRECTO</t>
        </is>
      </c>
    </row>
    <row r="985">
      <c r="A985" t="inlineStr">
        <is>
          <t>19/10/2026</t>
        </is>
      </c>
      <c r="B985" t="inlineStr">
        <is>
          <t>16505745</t>
        </is>
      </c>
      <c r="C985" t="inlineStr">
        <is>
          <t>163140</t>
        </is>
      </c>
      <c r="D985" t="inlineStr">
        <is>
          <t>163140</t>
        </is>
      </c>
      <c r="E985" t="inlineStr">
        <is>
          <t>HALFSIM TIGO</t>
        </is>
      </c>
      <c r="F985" t="n">
        <v>1</v>
      </c>
      <c r="G985" t="n">
        <v>0.69</v>
      </c>
      <c r="H985" t="inlineStr">
        <is>
          <t>0.69</t>
        </is>
      </c>
      <c r="J985" t="inlineStr">
        <is>
          <t>MENDOZA PENAFIEL MONICA PATRICIA_MENDOZA PENAFIEL MONICA PATRICIA</t>
        </is>
      </c>
      <c r="K985" t="inlineStr">
        <is>
          <t>1712544814001</t>
        </is>
      </c>
      <c r="M985" t="inlineStr">
        <is>
          <t>BTB</t>
        </is>
      </c>
      <c r="N985" t="inlineStr">
        <is>
          <t>CANAL DIRECTO</t>
        </is>
      </c>
    </row>
    <row r="986">
      <c r="A986" t="inlineStr">
        <is>
          <t>19/10/2026</t>
        </is>
      </c>
      <c r="B986" t="inlineStr">
        <is>
          <t>16505748</t>
        </is>
      </c>
      <c r="C986" t="inlineStr">
        <is>
          <t>162141</t>
        </is>
      </c>
      <c r="D986" t="inlineStr">
        <is>
          <t>162141</t>
        </is>
      </c>
      <c r="E986" t="inlineStr">
        <is>
          <t>HALFSIM MOVISTAR</t>
        </is>
      </c>
      <c r="F986" t="n">
        <v>0</v>
      </c>
      <c r="G986" t="n">
        <v>0</v>
      </c>
      <c r="H986" t="inlineStr">
        <is>
          <t>0.69</t>
        </is>
      </c>
      <c r="J986" t="inlineStr">
        <is>
          <t>MARIA PEREZ_ALMACENES JUAN ELJURI CIA LTDA</t>
        </is>
      </c>
      <c r="K986" t="inlineStr">
        <is>
          <t>0190007510001</t>
        </is>
      </c>
      <c r="M986" t="inlineStr">
        <is>
          <t>BTB</t>
        </is>
      </c>
      <c r="N986" t="inlineStr">
        <is>
          <t>CANAL DIRECTO</t>
        </is>
      </c>
    </row>
    <row r="987">
      <c r="A987" t="inlineStr">
        <is>
          <t>19/10/2026</t>
        </is>
      </c>
      <c r="B987" t="inlineStr">
        <is>
          <t>16505748</t>
        </is>
      </c>
      <c r="C987" t="inlineStr">
        <is>
          <t>163140</t>
        </is>
      </c>
      <c r="D987" t="inlineStr">
        <is>
          <t>163140</t>
        </is>
      </c>
      <c r="E987" t="inlineStr">
        <is>
          <t>HALFSIM TIGO</t>
        </is>
      </c>
      <c r="F987" t="n">
        <v>1</v>
      </c>
      <c r="G987" t="n">
        <v>0.69</v>
      </c>
      <c r="H987" t="inlineStr">
        <is>
          <t>0.69</t>
        </is>
      </c>
      <c r="J987" t="inlineStr">
        <is>
          <t>MARIA PEREZ_ALMACENES JUAN ELJURI CIA LTDA</t>
        </is>
      </c>
      <c r="K987" t="inlineStr">
        <is>
          <t>0190007510001</t>
        </is>
      </c>
      <c r="M987" t="inlineStr">
        <is>
          <t>BTB</t>
        </is>
      </c>
      <c r="N987" t="inlineStr">
        <is>
          <t>CANAL DIRECTO</t>
        </is>
      </c>
    </row>
    <row r="988">
      <c r="A988" t="inlineStr">
        <is>
          <t>19/10/2026</t>
        </is>
      </c>
      <c r="B988" t="inlineStr">
        <is>
          <t>16505754</t>
        </is>
      </c>
      <c r="C988" t="inlineStr">
        <is>
          <t>163140</t>
        </is>
      </c>
      <c r="D988" t="inlineStr">
        <is>
          <t>163140</t>
        </is>
      </c>
      <c r="E988" t="inlineStr">
        <is>
          <t>HALFSIM TIGO</t>
        </is>
      </c>
      <c r="F988" t="n">
        <v>1</v>
      </c>
      <c r="G988" t="n">
        <v>0.69</v>
      </c>
      <c r="H988" t="inlineStr">
        <is>
          <t>0.69</t>
        </is>
      </c>
      <c r="J988" t="inlineStr">
        <is>
          <t>EDRIAN GUANOCUNGA_HAPPYCEL S A</t>
        </is>
      </c>
      <c r="K988" t="inlineStr">
        <is>
          <t>1793048285001</t>
        </is>
      </c>
      <c r="M988" t="inlineStr">
        <is>
          <t>BTB</t>
        </is>
      </c>
      <c r="N988" t="inlineStr">
        <is>
          <t>CANAL DIRECTO</t>
        </is>
      </c>
    </row>
    <row r="989">
      <c r="A989" t="inlineStr">
        <is>
          <t>19/10/2026</t>
        </is>
      </c>
      <c r="B989" t="inlineStr">
        <is>
          <t>16505755</t>
        </is>
      </c>
      <c r="C989" t="inlineStr">
        <is>
          <t>163140</t>
        </is>
      </c>
      <c r="D989" t="inlineStr">
        <is>
          <t>163140</t>
        </is>
      </c>
      <c r="E989" t="inlineStr">
        <is>
          <t>HALFSIM TIGO</t>
        </is>
      </c>
      <c r="F989" t="n">
        <v>1</v>
      </c>
      <c r="G989" t="n">
        <v>0.69</v>
      </c>
      <c r="H989" t="inlineStr">
        <is>
          <t>0.69</t>
        </is>
      </c>
      <c r="J989" t="inlineStr">
        <is>
          <t>DIEGO GUTIERREZ_INTCOMEX DEL ECUADOR S A</t>
        </is>
      </c>
      <c r="K989" t="inlineStr">
        <is>
          <t>1791743148001</t>
        </is>
      </c>
      <c r="M989" t="inlineStr">
        <is>
          <t>BTB</t>
        </is>
      </c>
      <c r="N989" t="inlineStr">
        <is>
          <t>CANAL DIRECTO</t>
        </is>
      </c>
    </row>
    <row r="990">
      <c r="A990" t="inlineStr">
        <is>
          <t>19/10/2026</t>
        </is>
      </c>
      <c r="B990" t="inlineStr">
        <is>
          <t>16505756</t>
        </is>
      </c>
      <c r="C990" t="inlineStr">
        <is>
          <t>163140</t>
        </is>
      </c>
      <c r="D990" t="inlineStr">
        <is>
          <t>163140</t>
        </is>
      </c>
      <c r="E990" t="inlineStr">
        <is>
          <t>HALFSIM TIGO</t>
        </is>
      </c>
      <c r="F990" t="n">
        <v>6</v>
      </c>
      <c r="G990" t="n">
        <v>4.1399999999999997</v>
      </c>
      <c r="H990" t="inlineStr">
        <is>
          <t>0.69</t>
        </is>
      </c>
      <c r="J990" t="inlineStr">
        <is>
          <t>JOSELYN RODRIGUEZ_MARTINKO S A S</t>
        </is>
      </c>
      <c r="K990" t="inlineStr">
        <is>
          <t>1793217925001</t>
        </is>
      </c>
      <c r="M990" t="inlineStr">
        <is>
          <t>BTB</t>
        </is>
      </c>
      <c r="N990" t="inlineStr">
        <is>
          <t>CANAL DIRECTO</t>
        </is>
      </c>
    </row>
    <row r="991">
      <c r="A991" t="inlineStr">
        <is>
          <t>19/10/2026</t>
        </is>
      </c>
      <c r="B991" t="inlineStr">
        <is>
          <t>16505765</t>
        </is>
      </c>
      <c r="C991" t="inlineStr">
        <is>
          <t>163140</t>
        </is>
      </c>
      <c r="D991" t="inlineStr">
        <is>
          <t>163140</t>
        </is>
      </c>
      <c r="E991" t="inlineStr">
        <is>
          <t>HALFSIM TIGO</t>
        </is>
      </c>
      <c r="F991" t="n">
        <v>1</v>
      </c>
      <c r="G991" t="n">
        <v>0.69</v>
      </c>
      <c r="H991" t="inlineStr">
        <is>
          <t>0.69</t>
        </is>
      </c>
      <c r="J991" t="inlineStr">
        <is>
          <t>MAILA ANELOA CHRISTIAN GERARDO_MAILA ANELOA CHRISTIAN GERARDO</t>
        </is>
      </c>
      <c r="K991" t="inlineStr">
        <is>
          <t>1720167509001</t>
        </is>
      </c>
      <c r="M991" t="inlineStr">
        <is>
          <t>BTB</t>
        </is>
      </c>
      <c r="N991" t="inlineStr">
        <is>
          <t>CANAL DIRECTO</t>
        </is>
      </c>
    </row>
    <row r="992">
      <c r="A992" t="inlineStr">
        <is>
          <t>19/10/2026</t>
        </is>
      </c>
      <c r="B992" t="inlineStr">
        <is>
          <t>16505766</t>
        </is>
      </c>
      <c r="C992" t="inlineStr">
        <is>
          <t>163140</t>
        </is>
      </c>
      <c r="D992" t="inlineStr">
        <is>
          <t>163140</t>
        </is>
      </c>
      <c r="E992" t="inlineStr">
        <is>
          <t>HALFSIM TIGO</t>
        </is>
      </c>
      <c r="F992" t="n">
        <v>1</v>
      </c>
      <c r="G992" t="n">
        <v>0.69</v>
      </c>
      <c r="H992" t="inlineStr">
        <is>
          <t>0.69</t>
        </is>
      </c>
      <c r="J992" t="inlineStr">
        <is>
          <t>MARISOL MARTINEZ JULIA GOMEZ_FORTIUS CIA LTDA</t>
        </is>
      </c>
      <c r="K992" t="inlineStr">
        <is>
          <t>1791151135001</t>
        </is>
      </c>
      <c r="M992" t="inlineStr">
        <is>
          <t>BTB</t>
        </is>
      </c>
      <c r="N992" t="inlineStr">
        <is>
          <t>CANAL DIRECTO</t>
        </is>
      </c>
    </row>
    <row r="993">
      <c r="A993" t="inlineStr">
        <is>
          <t>19/10/2026</t>
        </is>
      </c>
      <c r="B993" t="inlineStr">
        <is>
          <t>16505767</t>
        </is>
      </c>
      <c r="C993" t="inlineStr">
        <is>
          <t>163140</t>
        </is>
      </c>
      <c r="D993" t="inlineStr">
        <is>
          <t>163140</t>
        </is>
      </c>
      <c r="E993" t="inlineStr">
        <is>
          <t>HALFSIM TIGO</t>
        </is>
      </c>
      <c r="F993" t="n">
        <v>19</v>
      </c>
      <c r="G993" t="n">
        <v>13.11</v>
      </c>
      <c r="H993" t="inlineStr">
        <is>
          <t>0.69</t>
        </is>
      </c>
      <c r="J993" t="inlineStr">
        <is>
          <t>WILLIAM GONZALEZ_INSTITUTO TECNOLOGICO SUPERIOR LICEO ADUANERO</t>
        </is>
      </c>
      <c r="K993" t="inlineStr">
        <is>
          <t>1091705156001</t>
        </is>
      </c>
      <c r="M993" t="inlineStr">
        <is>
          <t>BTB</t>
        </is>
      </c>
      <c r="N993" t="inlineStr">
        <is>
          <t>CANAL DIRECTO</t>
        </is>
      </c>
    </row>
    <row r="994">
      <c r="A994" t="inlineStr">
        <is>
          <t>19/10/2026</t>
        </is>
      </c>
      <c r="B994" t="inlineStr">
        <is>
          <t>97774817</t>
        </is>
      </c>
      <c r="C994" t="inlineStr">
        <is>
          <t>163140</t>
        </is>
      </c>
      <c r="D994" t="inlineStr">
        <is>
          <t>163140</t>
        </is>
      </c>
      <c r="E994" t="inlineStr">
        <is>
          <t>HALFSIM TIGO</t>
        </is>
      </c>
      <c r="F994" t="n">
        <v>1</v>
      </c>
      <c r="G994" t="n">
        <v>0.69</v>
      </c>
      <c r="H994" t="inlineStr">
        <is>
          <t>0.69</t>
        </is>
      </c>
      <c r="J994" t="inlineStr">
        <is>
          <t>Jenny Atiencia</t>
        </is>
      </c>
      <c r="K994" t="inlineStr">
        <is>
          <t>1712280468</t>
        </is>
      </c>
      <c r="L994" t="inlineStr">
        <is>
          <t>Quito</t>
        </is>
      </c>
      <c r="M994" t="inlineStr">
        <is>
          <t>Cliente Final</t>
        </is>
      </c>
      <c r="N994" t="inlineStr">
        <is>
          <t>CANAL INDIRECTO</t>
        </is>
      </c>
    </row>
    <row r="995">
      <c r="A995" t="inlineStr">
        <is>
          <t>19/10/2026</t>
        </is>
      </c>
      <c r="B995" t="inlineStr">
        <is>
          <t>97774944</t>
        </is>
      </c>
      <c r="C995" t="inlineStr">
        <is>
          <t>163140</t>
        </is>
      </c>
      <c r="D995" t="inlineStr">
        <is>
          <t>163140</t>
        </is>
      </c>
      <c r="E995" t="inlineStr">
        <is>
          <t>HALFSIM TIGO</t>
        </is>
      </c>
      <c r="F995" t="n">
        <v>1</v>
      </c>
      <c r="G995" t="n">
        <v>0.69</v>
      </c>
      <c r="H995" t="inlineStr">
        <is>
          <t>0.69</t>
        </is>
      </c>
      <c r="J995" t="inlineStr">
        <is>
          <t>Isidoro Arevalo</t>
        </is>
      </c>
      <c r="K995" t="inlineStr">
        <is>
          <t>0903518736</t>
        </is>
      </c>
      <c r="L995" t="inlineStr">
        <is>
          <t>Guayaquil</t>
        </is>
      </c>
      <c r="M995" t="inlineStr">
        <is>
          <t>Cliente Final</t>
        </is>
      </c>
      <c r="N995" t="inlineStr">
        <is>
          <t>CANAL INDIRECTO</t>
        </is>
      </c>
    </row>
    <row r="996">
      <c r="A996" t="inlineStr">
        <is>
          <t>19/10/2026</t>
        </is>
      </c>
      <c r="B996" t="inlineStr">
        <is>
          <t>97776139</t>
        </is>
      </c>
      <c r="C996" t="inlineStr">
        <is>
          <t>163140</t>
        </is>
      </c>
      <c r="D996" t="inlineStr">
        <is>
          <t>163140</t>
        </is>
      </c>
      <c r="E996" t="inlineStr">
        <is>
          <t>HALFSIM TIGO</t>
        </is>
      </c>
      <c r="F996" t="n">
        <v>1</v>
      </c>
      <c r="G996" t="n">
        <v>0.69</v>
      </c>
      <c r="H996" t="inlineStr">
        <is>
          <t>0.69</t>
        </is>
      </c>
      <c r="J996" t="inlineStr">
        <is>
          <t>Miriam Patricia Campoverde Clavijo</t>
        </is>
      </c>
      <c r="K996" t="inlineStr">
        <is>
          <t>0103805735</t>
        </is>
      </c>
      <c r="L996" t="inlineStr">
        <is>
          <t>Cuenca</t>
        </is>
      </c>
      <c r="M996" t="inlineStr">
        <is>
          <t>Cliente Final</t>
        </is>
      </c>
      <c r="N996" t="inlineStr">
        <is>
          <t>CANAL INDIRECTO</t>
        </is>
      </c>
    </row>
    <row r="997">
      <c r="A997" t="inlineStr">
        <is>
          <t>19/10/2026</t>
        </is>
      </c>
      <c r="B997" t="inlineStr">
        <is>
          <t>97776321</t>
        </is>
      </c>
      <c r="C997" t="inlineStr">
        <is>
          <t>163140</t>
        </is>
      </c>
      <c r="D997" t="inlineStr">
        <is>
          <t>163140</t>
        </is>
      </c>
      <c r="E997" t="inlineStr">
        <is>
          <t>HALFSIM TIGO</t>
        </is>
      </c>
      <c r="F997" t="n">
        <v>1</v>
      </c>
      <c r="G997" t="n">
        <v>0.69</v>
      </c>
      <c r="H997" t="inlineStr">
        <is>
          <t>0.69</t>
        </is>
      </c>
      <c r="J997" t="inlineStr">
        <is>
          <t>Eduardo René Baque Cedeño</t>
        </is>
      </c>
      <c r="K997" t="inlineStr">
        <is>
          <t>0930140454</t>
        </is>
      </c>
      <c r="L997" t="inlineStr">
        <is>
          <t>Guayaquil</t>
        </is>
      </c>
      <c r="M997" t="inlineStr">
        <is>
          <t>Cliente Final</t>
        </is>
      </c>
      <c r="N997" t="inlineStr">
        <is>
          <t>CANAL INDIRECTO</t>
        </is>
      </c>
    </row>
    <row r="998">
      <c r="A998" t="inlineStr">
        <is>
          <t>19/10/2026</t>
        </is>
      </c>
      <c r="B998" t="inlineStr">
        <is>
          <t>97776468</t>
        </is>
      </c>
      <c r="C998" t="inlineStr">
        <is>
          <t>163140</t>
        </is>
      </c>
      <c r="D998" t="inlineStr">
        <is>
          <t>163140</t>
        </is>
      </c>
      <c r="E998" t="inlineStr">
        <is>
          <t>HALFSIM TIGO</t>
        </is>
      </c>
      <c r="F998" t="n">
        <v>1</v>
      </c>
      <c r="G998" t="n">
        <v>0.69</v>
      </c>
      <c r="H998" t="inlineStr">
        <is>
          <t>0.69</t>
        </is>
      </c>
      <c r="J998" t="inlineStr">
        <is>
          <t>Alexis Alejandro Sánchez lindao</t>
        </is>
      </c>
      <c r="K998" t="inlineStr">
        <is>
          <t>0958873523</t>
        </is>
      </c>
      <c r="L998" t="inlineStr">
        <is>
          <t>Guayaquil</t>
        </is>
      </c>
      <c r="M998" t="inlineStr">
        <is>
          <t>Cliente Final</t>
        </is>
      </c>
      <c r="N998" t="inlineStr">
        <is>
          <t>CANAL INDIRECTO</t>
        </is>
      </c>
    </row>
    <row r="999">
      <c r="A999" t="inlineStr">
        <is>
          <t>19/10/2026</t>
        </is>
      </c>
      <c r="B999" t="inlineStr">
        <is>
          <t>97777956</t>
        </is>
      </c>
      <c r="C999" t="inlineStr">
        <is>
          <t>163140</t>
        </is>
      </c>
      <c r="D999" t="inlineStr">
        <is>
          <t>163140</t>
        </is>
      </c>
      <c r="E999" t="inlineStr">
        <is>
          <t>HALFSIM TIGO</t>
        </is>
      </c>
      <c r="F999" t="n">
        <v>1</v>
      </c>
      <c r="G999" t="n">
        <v>0.69</v>
      </c>
      <c r="H999" t="inlineStr">
        <is>
          <t>0.69</t>
        </is>
      </c>
      <c r="J999" t="inlineStr">
        <is>
          <t>Juan Andres Laines Narvaez</t>
        </is>
      </c>
      <c r="K999" t="inlineStr">
        <is>
          <t>1724356918</t>
        </is>
      </c>
      <c r="L999" t="inlineStr">
        <is>
          <t>Quito</t>
        </is>
      </c>
      <c r="M999" t="inlineStr">
        <is>
          <t>Cliente Final</t>
        </is>
      </c>
      <c r="N999" t="inlineStr">
        <is>
          <t>CANAL INDIRECTO</t>
        </is>
      </c>
    </row>
    <row r="1000">
      <c r="A1000" t="inlineStr">
        <is>
          <t>19/10/2026</t>
        </is>
      </c>
      <c r="B1000" t="inlineStr">
        <is>
          <t>97778050</t>
        </is>
      </c>
      <c r="C1000" t="inlineStr">
        <is>
          <t>163140</t>
        </is>
      </c>
      <c r="D1000" t="inlineStr">
        <is>
          <t>163140</t>
        </is>
      </c>
      <c r="E1000" t="inlineStr">
        <is>
          <t>HALFSIM TIGO</t>
        </is>
      </c>
      <c r="F1000" t="n">
        <v>1</v>
      </c>
      <c r="G1000" t="n">
        <v>0.69</v>
      </c>
      <c r="H1000" t="inlineStr">
        <is>
          <t>0.69</t>
        </is>
      </c>
      <c r="J1000" t="inlineStr">
        <is>
          <t>Genesis Aracely Rivera Reisancho</t>
        </is>
      </c>
      <c r="K1000" t="inlineStr">
        <is>
          <t>1754502969</t>
        </is>
      </c>
      <c r="L1000" t="inlineStr">
        <is>
          <t>Quito</t>
        </is>
      </c>
      <c r="M1000" t="inlineStr">
        <is>
          <t>Cliente Final</t>
        </is>
      </c>
      <c r="N1000" t="inlineStr">
        <is>
          <t>CANAL INDIRECTO</t>
        </is>
      </c>
    </row>
    <row r="1001">
      <c r="A1001" t="inlineStr">
        <is>
          <t>19/10/2026</t>
        </is>
      </c>
      <c r="B1001" t="inlineStr">
        <is>
          <t>97778803</t>
        </is>
      </c>
      <c r="C1001" t="inlineStr">
        <is>
          <t>163140</t>
        </is>
      </c>
      <c r="D1001" t="inlineStr">
        <is>
          <t>163140</t>
        </is>
      </c>
      <c r="E1001" t="inlineStr">
        <is>
          <t>HALFSIM TIGO</t>
        </is>
      </c>
      <c r="F1001" t="n">
        <v>1</v>
      </c>
      <c r="G1001" t="n">
        <v>0.69</v>
      </c>
      <c r="H1001" t="inlineStr">
        <is>
          <t>0.69</t>
        </is>
      </c>
      <c r="J1001" t="inlineStr">
        <is>
          <t>Mayra Alexandra Balcazar Diaz</t>
        </is>
      </c>
      <c r="K1001" t="inlineStr">
        <is>
          <t>1717008393</t>
        </is>
      </c>
      <c r="L1001" t="inlineStr">
        <is>
          <t>Quito</t>
        </is>
      </c>
      <c r="M1001" t="inlineStr">
        <is>
          <t>Cliente Final</t>
        </is>
      </c>
      <c r="N1001" t="inlineStr">
        <is>
          <t>CANAL INDIRECTO</t>
        </is>
      </c>
    </row>
    <row r="1002">
      <c r="A1002" t="inlineStr">
        <is>
          <t>19/10/2026</t>
        </is>
      </c>
      <c r="B1002" t="inlineStr">
        <is>
          <t>97778853</t>
        </is>
      </c>
      <c r="C1002" t="inlineStr">
        <is>
          <t>163140</t>
        </is>
      </c>
      <c r="D1002" t="inlineStr">
        <is>
          <t>163140</t>
        </is>
      </c>
      <c r="E1002" t="inlineStr">
        <is>
          <t>HALFSIM TIGO</t>
        </is>
      </c>
      <c r="F1002" t="n">
        <v>1</v>
      </c>
      <c r="G1002" t="n">
        <v>0.69</v>
      </c>
      <c r="H1002" t="inlineStr">
        <is>
          <t>0.69</t>
        </is>
      </c>
      <c r="J1002" t="inlineStr">
        <is>
          <t>MARCO MIGUEL MORA PINOS</t>
        </is>
      </c>
      <c r="K1002" t="inlineStr">
        <is>
          <t>0201355500</t>
        </is>
      </c>
      <c r="L1002" t="inlineStr">
        <is>
          <t>Quito</t>
        </is>
      </c>
      <c r="M1002" t="inlineStr">
        <is>
          <t>Cliente Final</t>
        </is>
      </c>
      <c r="N1002" t="inlineStr">
        <is>
          <t>CANAL INDIRECTO</t>
        </is>
      </c>
    </row>
    <row r="1003">
      <c r="A1003" t="inlineStr">
        <is>
          <t>19/10/2026</t>
        </is>
      </c>
      <c r="B1003" t="inlineStr">
        <is>
          <t>97778922</t>
        </is>
      </c>
      <c r="C1003" t="inlineStr">
        <is>
          <t>163140</t>
        </is>
      </c>
      <c r="D1003" t="inlineStr">
        <is>
          <t>163140</t>
        </is>
      </c>
      <c r="E1003" t="inlineStr">
        <is>
          <t>HALFSIM TIGO</t>
        </is>
      </c>
      <c r="F1003" t="n">
        <v>1</v>
      </c>
      <c r="G1003" t="n">
        <v>0.69</v>
      </c>
      <c r="H1003" t="inlineStr">
        <is>
          <t>0.69</t>
        </is>
      </c>
      <c r="J1003" t="inlineStr">
        <is>
          <t>Julio Guaranda Choloquinga</t>
        </is>
      </c>
      <c r="K1003" t="inlineStr">
        <is>
          <t>0503771818</t>
        </is>
      </c>
      <c r="L1003" t="inlineStr">
        <is>
          <t>Quito</t>
        </is>
      </c>
      <c r="M1003" t="inlineStr">
        <is>
          <t>Cliente Final</t>
        </is>
      </c>
      <c r="N1003" t="inlineStr">
        <is>
          <t>CANAL INDIRECTO</t>
        </is>
      </c>
    </row>
    <row r="1004">
      <c r="A1004" t="inlineStr">
        <is>
          <t>19/10/2026</t>
        </is>
      </c>
      <c r="B1004" t="inlineStr">
        <is>
          <t>97778971</t>
        </is>
      </c>
      <c r="C1004" t="inlineStr">
        <is>
          <t>163140</t>
        </is>
      </c>
      <c r="D1004" t="inlineStr">
        <is>
          <t>163140</t>
        </is>
      </c>
      <c r="E1004" t="inlineStr">
        <is>
          <t>HALFSIM TIGO</t>
        </is>
      </c>
      <c r="F1004" t="n">
        <v>1</v>
      </c>
      <c r="G1004" t="n">
        <v>0.69</v>
      </c>
      <c r="H1004" t="inlineStr">
        <is>
          <t>0.69</t>
        </is>
      </c>
      <c r="J1004" t="inlineStr">
        <is>
          <t>María carlota jaramillo Martínez</t>
        </is>
      </c>
      <c r="K1004" t="inlineStr">
        <is>
          <t>1103235139</t>
        </is>
      </c>
      <c r="L1004" t="inlineStr">
        <is>
          <t>Machala</t>
        </is>
      </c>
      <c r="M1004" t="inlineStr">
        <is>
          <t>Cliente Final</t>
        </is>
      </c>
      <c r="N1004" t="inlineStr">
        <is>
          <t>CANAL INDIRECTO</t>
        </is>
      </c>
    </row>
    <row r="1005">
      <c r="A1005" t="inlineStr">
        <is>
          <t>19/10/2026</t>
        </is>
      </c>
      <c r="B1005" t="inlineStr">
        <is>
          <t>97779170</t>
        </is>
      </c>
      <c r="C1005" t="inlineStr">
        <is>
          <t>163140</t>
        </is>
      </c>
      <c r="D1005" t="inlineStr">
        <is>
          <t>163140</t>
        </is>
      </c>
      <c r="E1005" t="inlineStr">
        <is>
          <t>HALFSIM TIGO</t>
        </is>
      </c>
      <c r="F1005" t="n">
        <v>1</v>
      </c>
      <c r="G1005" t="n">
        <v>0.69</v>
      </c>
      <c r="H1005" t="inlineStr">
        <is>
          <t>0.69</t>
        </is>
      </c>
      <c r="J1005" t="inlineStr">
        <is>
          <t>Joshuann Daniel Bermudez Mera</t>
        </is>
      </c>
      <c r="K1005" t="inlineStr">
        <is>
          <t>0952750131</t>
        </is>
      </c>
      <c r="L1005" t="inlineStr">
        <is>
          <t>Guayaquil</t>
        </is>
      </c>
      <c r="M1005" t="inlineStr">
        <is>
          <t>Cliente Final</t>
        </is>
      </c>
      <c r="N1005" t="inlineStr">
        <is>
          <t>CANAL INDIRECTO</t>
        </is>
      </c>
    </row>
    <row r="1006">
      <c r="A1006" t="inlineStr">
        <is>
          <t>19/10/2026</t>
        </is>
      </c>
      <c r="B1006" t="inlineStr">
        <is>
          <t>97774049</t>
        </is>
      </c>
      <c r="C1006" t="inlineStr">
        <is>
          <t>163140</t>
        </is>
      </c>
      <c r="D1006" t="inlineStr">
        <is>
          <t>163140</t>
        </is>
      </c>
      <c r="E1006" t="inlineStr">
        <is>
          <t>HALFSIM TIGO</t>
        </is>
      </c>
      <c r="F1006" t="n">
        <v>1</v>
      </c>
      <c r="G1006" t="n">
        <v>0.69</v>
      </c>
      <c r="H1006" t="inlineStr">
        <is>
          <t>0.69</t>
        </is>
      </c>
      <c r="J1006" t="inlineStr">
        <is>
          <t>Edison José Ramírez Velasquez</t>
        </is>
      </c>
      <c r="K1006" t="inlineStr">
        <is>
          <t>1762272290</t>
        </is>
      </c>
      <c r="L1006" t="inlineStr">
        <is>
          <t>Quito</t>
        </is>
      </c>
      <c r="M1006" t="inlineStr">
        <is>
          <t>Cliente Final</t>
        </is>
      </c>
      <c r="N1006" t="inlineStr">
        <is>
          <t>CANAL INDIRECTO</t>
        </is>
      </c>
    </row>
    <row r="1007">
      <c r="A1007" t="inlineStr">
        <is>
          <t>19/10/2026</t>
        </is>
      </c>
      <c r="B1007" t="inlineStr">
        <is>
          <t>97774476</t>
        </is>
      </c>
      <c r="C1007" t="inlineStr">
        <is>
          <t>163140</t>
        </is>
      </c>
      <c r="D1007" t="inlineStr">
        <is>
          <t>163140</t>
        </is>
      </c>
      <c r="E1007" t="inlineStr">
        <is>
          <t>HALFSIM TIGO</t>
        </is>
      </c>
      <c r="F1007" t="n">
        <v>1</v>
      </c>
      <c r="G1007" t="n">
        <v>0.69</v>
      </c>
      <c r="H1007" t="inlineStr">
        <is>
          <t>0.69</t>
        </is>
      </c>
      <c r="J1007" t="inlineStr">
        <is>
          <t>Xavier Orlando Carrera Ron</t>
        </is>
      </c>
      <c r="K1007" t="inlineStr">
        <is>
          <t>1709360240</t>
        </is>
      </c>
      <c r="L1007" t="inlineStr">
        <is>
          <t>Quito</t>
        </is>
      </c>
      <c r="M1007" t="inlineStr">
        <is>
          <t>Cliente Final</t>
        </is>
      </c>
      <c r="N1007" t="inlineStr">
        <is>
          <t>CANAL INDIRECTO</t>
        </is>
      </c>
    </row>
    <row r="1008">
      <c r="A1008" t="inlineStr">
        <is>
          <t>19/10/2026</t>
        </is>
      </c>
      <c r="B1008" t="inlineStr">
        <is>
          <t>97774512</t>
        </is>
      </c>
      <c r="C1008" t="inlineStr">
        <is>
          <t>163140</t>
        </is>
      </c>
      <c r="D1008" t="inlineStr">
        <is>
          <t>163140</t>
        </is>
      </c>
      <c r="E1008" t="inlineStr">
        <is>
          <t>HALFSIM TIGO</t>
        </is>
      </c>
      <c r="F1008" t="n">
        <v>1</v>
      </c>
      <c r="G1008" t="n">
        <v>0.69</v>
      </c>
      <c r="H1008" t="inlineStr">
        <is>
          <t>0.69</t>
        </is>
      </c>
      <c r="J1008" t="inlineStr">
        <is>
          <t>Giovanni Andrés Contero Acebo</t>
        </is>
      </c>
      <c r="K1008" t="inlineStr">
        <is>
          <t>0925510489</t>
        </is>
      </c>
      <c r="L1008" t="inlineStr">
        <is>
          <t>Guayaquil</t>
        </is>
      </c>
      <c r="M1008" t="inlineStr">
        <is>
          <t>Cliente Final</t>
        </is>
      </c>
      <c r="N1008" t="inlineStr">
        <is>
          <t>CANAL INDIRECTO</t>
        </is>
      </c>
    </row>
    <row r="1009">
      <c r="A1009" t="inlineStr">
        <is>
          <t>19/10/2026</t>
        </is>
      </c>
      <c r="B1009" t="inlineStr">
        <is>
          <t>97774547</t>
        </is>
      </c>
      <c r="C1009" t="inlineStr">
        <is>
          <t>163140</t>
        </is>
      </c>
      <c r="D1009" t="inlineStr">
        <is>
          <t>163140</t>
        </is>
      </c>
      <c r="E1009" t="inlineStr">
        <is>
          <t>HALFSIM TIGO</t>
        </is>
      </c>
      <c r="F1009" t="n">
        <v>1</v>
      </c>
      <c r="G1009" t="n">
        <v>0.69</v>
      </c>
      <c r="H1009" t="inlineStr">
        <is>
          <t>0.69</t>
        </is>
      </c>
      <c r="J1009" t="inlineStr">
        <is>
          <t>Gerzzon Espin</t>
        </is>
      </c>
      <c r="K1009" t="inlineStr">
        <is>
          <t>1717513160</t>
        </is>
      </c>
      <c r="L1009" t="inlineStr">
        <is>
          <t>Quito</t>
        </is>
      </c>
      <c r="M1009" t="inlineStr">
        <is>
          <t>Cliente Final</t>
        </is>
      </c>
      <c r="N1009" t="inlineStr">
        <is>
          <t>CANAL INDIRECTO</t>
        </is>
      </c>
    </row>
    <row r="1010">
      <c r="A1010" t="inlineStr">
        <is>
          <t>19/10/2026</t>
        </is>
      </c>
      <c r="B1010" t="inlineStr">
        <is>
          <t>97774548</t>
        </is>
      </c>
      <c r="C1010" t="inlineStr">
        <is>
          <t>163140</t>
        </is>
      </c>
      <c r="D1010" t="inlineStr">
        <is>
          <t>163140</t>
        </is>
      </c>
      <c r="E1010" t="inlineStr">
        <is>
          <t>HALFSIM TIGO</t>
        </is>
      </c>
      <c r="F1010" t="n">
        <v>1</v>
      </c>
      <c r="G1010" t="n">
        <v>0.69</v>
      </c>
      <c r="H1010" t="inlineStr">
        <is>
          <t>0.69</t>
        </is>
      </c>
      <c r="J1010" t="inlineStr">
        <is>
          <t>Gerzzon Espin</t>
        </is>
      </c>
      <c r="K1010" t="inlineStr">
        <is>
          <t>1717513160</t>
        </is>
      </c>
      <c r="L1010" t="inlineStr">
        <is>
          <t>Quito</t>
        </is>
      </c>
      <c r="M1010" t="inlineStr">
        <is>
          <t>Cliente Final</t>
        </is>
      </c>
      <c r="N1010" t="inlineStr">
        <is>
          <t>CANAL INDIRECTO</t>
        </is>
      </c>
    </row>
    <row r="1011">
      <c r="A1011" t="inlineStr">
        <is>
          <t>19/10/2026</t>
        </is>
      </c>
      <c r="B1011" t="inlineStr">
        <is>
          <t>97774567</t>
        </is>
      </c>
      <c r="C1011" t="inlineStr">
        <is>
          <t>163140</t>
        </is>
      </c>
      <c r="D1011" t="inlineStr">
        <is>
          <t>163140</t>
        </is>
      </c>
      <c r="E1011" t="inlineStr">
        <is>
          <t>HALFSIM TIGO</t>
        </is>
      </c>
      <c r="F1011" t="n">
        <v>1</v>
      </c>
      <c r="G1011" t="n">
        <v>0.69</v>
      </c>
      <c r="H1011" t="inlineStr">
        <is>
          <t>0.69</t>
        </is>
      </c>
      <c r="J1011" t="inlineStr">
        <is>
          <t>Augusto Andrés Reyes Venegas</t>
        </is>
      </c>
      <c r="K1011" t="inlineStr">
        <is>
          <t>1003144738</t>
        </is>
      </c>
      <c r="L1011" t="inlineStr">
        <is>
          <t>Quito</t>
        </is>
      </c>
      <c r="M1011" t="inlineStr">
        <is>
          <t>Cliente Final</t>
        </is>
      </c>
      <c r="N1011" t="inlineStr">
        <is>
          <t>CANAL INDIRECTO</t>
        </is>
      </c>
    </row>
    <row r="1012">
      <c r="A1012" t="inlineStr">
        <is>
          <t>19/10/2026</t>
        </is>
      </c>
      <c r="B1012" t="inlineStr">
        <is>
          <t>97774706</t>
        </is>
      </c>
      <c r="C1012" t="inlineStr">
        <is>
          <t>163140</t>
        </is>
      </c>
      <c r="D1012" t="inlineStr">
        <is>
          <t>163140</t>
        </is>
      </c>
      <c r="E1012" t="inlineStr">
        <is>
          <t>HALFSIM TIGO</t>
        </is>
      </c>
      <c r="F1012" t="n">
        <v>1</v>
      </c>
      <c r="G1012" t="n">
        <v>0.69</v>
      </c>
      <c r="H1012" t="inlineStr">
        <is>
          <t>0.69</t>
        </is>
      </c>
      <c r="J1012" t="inlineStr">
        <is>
          <t>José Fernando Morocho Yaguana</t>
        </is>
      </c>
      <c r="K1012" t="inlineStr">
        <is>
          <t>1719768705</t>
        </is>
      </c>
      <c r="L1012" t="inlineStr">
        <is>
          <t>Quito</t>
        </is>
      </c>
      <c r="M1012" t="inlineStr">
        <is>
          <t>Cliente Final</t>
        </is>
      </c>
      <c r="N1012" t="inlineStr">
        <is>
          <t>CANAL INDIRECTO</t>
        </is>
      </c>
    </row>
    <row r="1013">
      <c r="A1013" t="inlineStr">
        <is>
          <t>19/10/2026</t>
        </is>
      </c>
      <c r="B1013" t="inlineStr">
        <is>
          <t>97774778</t>
        </is>
      </c>
      <c r="C1013" t="inlineStr">
        <is>
          <t>163140</t>
        </is>
      </c>
      <c r="D1013" t="inlineStr">
        <is>
          <t>163140</t>
        </is>
      </c>
      <c r="E1013" t="inlineStr">
        <is>
          <t>HALFSIM TIGO</t>
        </is>
      </c>
      <c r="F1013" t="n">
        <v>1</v>
      </c>
      <c r="G1013" t="n">
        <v>0.69</v>
      </c>
      <c r="H1013" t="inlineStr">
        <is>
          <t>0.69</t>
        </is>
      </c>
      <c r="J1013" t="inlineStr">
        <is>
          <t>Jorge Martinez</t>
        </is>
      </c>
      <c r="K1013" t="inlineStr">
        <is>
          <t>0951313691</t>
        </is>
      </c>
      <c r="L1013" t="inlineStr">
        <is>
          <t>Gallegos Lara Prosperina</t>
        </is>
      </c>
      <c r="M1013" t="inlineStr">
        <is>
          <t>Cliente Final</t>
        </is>
      </c>
      <c r="N1013" t="inlineStr">
        <is>
          <t>CANAL INDIRECTO</t>
        </is>
      </c>
    </row>
    <row r="1014">
      <c r="A1014" t="inlineStr">
        <is>
          <t>19/10/2026</t>
        </is>
      </c>
      <c r="B1014" t="inlineStr">
        <is>
          <t>97774782</t>
        </is>
      </c>
      <c r="C1014" t="inlineStr">
        <is>
          <t>163140</t>
        </is>
      </c>
      <c r="D1014" t="inlineStr">
        <is>
          <t>163140</t>
        </is>
      </c>
      <c r="E1014" t="inlineStr">
        <is>
          <t>HALFSIM TIGO</t>
        </is>
      </c>
      <c r="F1014" t="n">
        <v>1</v>
      </c>
      <c r="G1014" t="n">
        <v>0.69</v>
      </c>
      <c r="H1014" t="inlineStr">
        <is>
          <t>0.69</t>
        </is>
      </c>
      <c r="J1014" t="inlineStr">
        <is>
          <t>MIGUEL ANGEL VALLADARES HELENO</t>
        </is>
      </c>
      <c r="K1014" t="inlineStr">
        <is>
          <t>1717875460</t>
        </is>
      </c>
      <c r="L1014" t="inlineStr">
        <is>
          <t>Quito</t>
        </is>
      </c>
      <c r="M1014" t="inlineStr">
        <is>
          <t>Cliente Final</t>
        </is>
      </c>
      <c r="N1014" t="inlineStr">
        <is>
          <t>CANAL INDIRECTO</t>
        </is>
      </c>
    </row>
    <row r="1015">
      <c r="A1015" t="inlineStr">
        <is>
          <t>19/10/2026</t>
        </is>
      </c>
      <c r="B1015" t="inlineStr">
        <is>
          <t>97775296</t>
        </is>
      </c>
      <c r="C1015" t="inlineStr">
        <is>
          <t>163140</t>
        </is>
      </c>
      <c r="D1015" t="inlineStr">
        <is>
          <t>163140</t>
        </is>
      </c>
      <c r="E1015" t="inlineStr">
        <is>
          <t>HALFSIM TIGO</t>
        </is>
      </c>
      <c r="F1015" t="n">
        <v>1</v>
      </c>
      <c r="G1015" t="n">
        <v>0.69</v>
      </c>
      <c r="H1015" t="inlineStr">
        <is>
          <t>0.69</t>
        </is>
      </c>
      <c r="J1015" t="inlineStr">
        <is>
          <t>EDISON AMILCAR ILES GUAMAN</t>
        </is>
      </c>
      <c r="K1015" t="inlineStr">
        <is>
          <t>1003068044</t>
        </is>
      </c>
      <c r="L1015" t="inlineStr">
        <is>
          <t>Ibarra</t>
        </is>
      </c>
      <c r="M1015" t="inlineStr">
        <is>
          <t>Cliente Final</t>
        </is>
      </c>
      <c r="N1015" t="inlineStr">
        <is>
          <t>CANAL INDIRECTO</t>
        </is>
      </c>
    </row>
    <row r="1016">
      <c r="A1016" t="inlineStr">
        <is>
          <t>19/10/2026</t>
        </is>
      </c>
      <c r="B1016" t="inlineStr">
        <is>
          <t>97775312</t>
        </is>
      </c>
      <c r="C1016" t="inlineStr">
        <is>
          <t>163140</t>
        </is>
      </c>
      <c r="D1016" t="inlineStr">
        <is>
          <t>163140</t>
        </is>
      </c>
      <c r="E1016" t="inlineStr">
        <is>
          <t>HALFSIM TIGO</t>
        </is>
      </c>
      <c r="F1016" t="n">
        <v>1</v>
      </c>
      <c r="G1016" t="n">
        <v>0.69</v>
      </c>
      <c r="H1016" t="inlineStr">
        <is>
          <t>0.69</t>
        </is>
      </c>
      <c r="J1016" t="inlineStr">
        <is>
          <t>Britany Yadhira López Espinosa</t>
        </is>
      </c>
      <c r="K1016" t="inlineStr">
        <is>
          <t>1756162374</t>
        </is>
      </c>
      <c r="L1016" t="inlineStr">
        <is>
          <t>Quito</t>
        </is>
      </c>
      <c r="M1016" t="inlineStr">
        <is>
          <t>Cliente Final</t>
        </is>
      </c>
      <c r="N1016" t="inlineStr">
        <is>
          <t>CANAL INDIRECTO</t>
        </is>
      </c>
    </row>
    <row r="1017">
      <c r="A1017" t="inlineStr">
        <is>
          <t>19/10/2026</t>
        </is>
      </c>
      <c r="B1017" t="inlineStr">
        <is>
          <t>97775322</t>
        </is>
      </c>
      <c r="C1017" t="inlineStr">
        <is>
          <t>163140</t>
        </is>
      </c>
      <c r="D1017" t="inlineStr">
        <is>
          <t>163140</t>
        </is>
      </c>
      <c r="E1017" t="inlineStr">
        <is>
          <t>HALFSIM TIGO</t>
        </is>
      </c>
      <c r="F1017" t="n">
        <v>1</v>
      </c>
      <c r="G1017" t="n">
        <v>0.69</v>
      </c>
      <c r="H1017" t="inlineStr">
        <is>
          <t>0.69</t>
        </is>
      </c>
      <c r="J1017" t="inlineStr">
        <is>
          <t>JOSE LUIS SOSA BARZOLA</t>
        </is>
      </c>
      <c r="K1017" t="inlineStr">
        <is>
          <t>0924402068</t>
        </is>
      </c>
      <c r="L1017" t="inlineStr">
        <is>
          <t>Quito</t>
        </is>
      </c>
      <c r="M1017" t="inlineStr">
        <is>
          <t>Cliente Final</t>
        </is>
      </c>
      <c r="N1017" t="inlineStr">
        <is>
          <t>CANAL INDIRECTO</t>
        </is>
      </c>
    </row>
    <row r="1018">
      <c r="A1018" t="inlineStr">
        <is>
          <t>19/10/2026</t>
        </is>
      </c>
      <c r="B1018" t="inlineStr">
        <is>
          <t>97775450</t>
        </is>
      </c>
      <c r="C1018" t="inlineStr">
        <is>
          <t>163140</t>
        </is>
      </c>
      <c r="D1018" t="inlineStr">
        <is>
          <t>163140</t>
        </is>
      </c>
      <c r="E1018" t="inlineStr">
        <is>
          <t>HALFSIM TIGO</t>
        </is>
      </c>
      <c r="F1018" t="n">
        <v>1</v>
      </c>
      <c r="G1018" t="n">
        <v>0.69</v>
      </c>
      <c r="H1018" t="inlineStr">
        <is>
          <t>0.69</t>
        </is>
      </c>
      <c r="J1018" t="inlineStr">
        <is>
          <t>Gaddiel Yepez Armas</t>
        </is>
      </c>
      <c r="K1018" t="inlineStr">
        <is>
          <t>1001712015</t>
        </is>
      </c>
      <c r="L1018" t="inlineStr">
        <is>
          <t>Ibarra</t>
        </is>
      </c>
      <c r="M1018" t="inlineStr">
        <is>
          <t>Cliente Final</t>
        </is>
      </c>
      <c r="N1018" t="inlineStr">
        <is>
          <t>CANAL INDIRECTO</t>
        </is>
      </c>
    </row>
    <row r="1019">
      <c r="A1019" t="inlineStr">
        <is>
          <t>19/10/2026</t>
        </is>
      </c>
      <c r="B1019" t="inlineStr">
        <is>
          <t>97775635</t>
        </is>
      </c>
      <c r="C1019" t="inlineStr">
        <is>
          <t>163140</t>
        </is>
      </c>
      <c r="D1019" t="inlineStr">
        <is>
          <t>163140</t>
        </is>
      </c>
      <c r="E1019" t="inlineStr">
        <is>
          <t>HALFSIM TIGO</t>
        </is>
      </c>
      <c r="F1019" t="n">
        <v>1</v>
      </c>
      <c r="G1019" t="n">
        <v>0.69</v>
      </c>
      <c r="H1019" t="inlineStr">
        <is>
          <t>0.69</t>
        </is>
      </c>
      <c r="J1019" t="inlineStr">
        <is>
          <t>Andrés Yánez</t>
        </is>
      </c>
      <c r="K1019" t="inlineStr">
        <is>
          <t>1713127742</t>
        </is>
      </c>
      <c r="L1019" t="inlineStr">
        <is>
          <t>Quito</t>
        </is>
      </c>
      <c r="M1019" t="inlineStr">
        <is>
          <t>Cliente Final</t>
        </is>
      </c>
      <c r="N1019" t="inlineStr">
        <is>
          <t>CANAL INDIRECTO</t>
        </is>
      </c>
    </row>
    <row r="1020">
      <c r="A1020" t="inlineStr">
        <is>
          <t>19/10/2026</t>
        </is>
      </c>
      <c r="B1020" t="inlineStr">
        <is>
          <t>97775763</t>
        </is>
      </c>
      <c r="C1020" t="inlineStr">
        <is>
          <t>163140</t>
        </is>
      </c>
      <c r="D1020" t="inlineStr">
        <is>
          <t>163140</t>
        </is>
      </c>
      <c r="E1020" t="inlineStr">
        <is>
          <t>HALFSIM TIGO</t>
        </is>
      </c>
      <c r="F1020" t="n">
        <v>1</v>
      </c>
      <c r="G1020" t="n">
        <v>0.69</v>
      </c>
      <c r="H1020" t="inlineStr">
        <is>
          <t>0.69</t>
        </is>
      </c>
      <c r="J1020" t="inlineStr">
        <is>
          <t>Rosa Mercedes Zambrano Zambrano</t>
        </is>
      </c>
      <c r="K1020" t="inlineStr">
        <is>
          <t>1310927437</t>
        </is>
      </c>
      <c r="L1020" t="inlineStr">
        <is>
          <t>Quito</t>
        </is>
      </c>
      <c r="M1020" t="inlineStr">
        <is>
          <t>Cliente Final</t>
        </is>
      </c>
      <c r="N1020" t="inlineStr">
        <is>
          <t>CANAL INDIRECTO</t>
        </is>
      </c>
    </row>
    <row r="1021">
      <c r="A1021" t="inlineStr">
        <is>
          <t>19/10/2026</t>
        </is>
      </c>
      <c r="B1021" t="inlineStr">
        <is>
          <t>97775768</t>
        </is>
      </c>
      <c r="C1021" t="inlineStr">
        <is>
          <t>163140</t>
        </is>
      </c>
      <c r="D1021" t="inlineStr">
        <is>
          <t>163140</t>
        </is>
      </c>
      <c r="E1021" t="inlineStr">
        <is>
          <t>HALFSIM TIGO</t>
        </is>
      </c>
      <c r="F1021" t="n">
        <v>1</v>
      </c>
      <c r="G1021" t="n">
        <v>0.69</v>
      </c>
      <c r="H1021" t="inlineStr">
        <is>
          <t>0.69</t>
        </is>
      </c>
      <c r="J1021" t="inlineStr">
        <is>
          <t>Ana Beatriz Zarasti Montece</t>
        </is>
      </c>
      <c r="K1021" t="inlineStr">
        <is>
          <t>0922291083</t>
        </is>
      </c>
      <c r="L1021" t="inlineStr">
        <is>
          <t>Guayaquil</t>
        </is>
      </c>
      <c r="M1021" t="inlineStr">
        <is>
          <t>Cliente Final</t>
        </is>
      </c>
      <c r="N1021" t="inlineStr">
        <is>
          <t>CANAL INDIRECTO</t>
        </is>
      </c>
    </row>
    <row r="1022">
      <c r="A1022" t="inlineStr">
        <is>
          <t>19/10/2026</t>
        </is>
      </c>
      <c r="B1022" t="inlineStr">
        <is>
          <t>97775939</t>
        </is>
      </c>
      <c r="C1022" t="inlineStr">
        <is>
          <t>163140</t>
        </is>
      </c>
      <c r="D1022" t="inlineStr">
        <is>
          <t>163140</t>
        </is>
      </c>
      <c r="E1022" t="inlineStr">
        <is>
          <t>HALFSIM TIGO</t>
        </is>
      </c>
      <c r="F1022" t="n">
        <v>1</v>
      </c>
      <c r="G1022" t="n">
        <v>0.69</v>
      </c>
      <c r="H1022" t="inlineStr">
        <is>
          <t>0.69</t>
        </is>
      </c>
      <c r="J1022" t="inlineStr">
        <is>
          <t>Carlos Efrain Pulupa Carrera</t>
        </is>
      </c>
      <c r="K1022" t="inlineStr">
        <is>
          <t>1715389373</t>
        </is>
      </c>
      <c r="L1022" t="inlineStr">
        <is>
          <t>Quito</t>
        </is>
      </c>
      <c r="M1022" t="inlineStr">
        <is>
          <t>Cliente Final</t>
        </is>
      </c>
      <c r="N1022" t="inlineStr">
        <is>
          <t>CANAL INDIRECTO</t>
        </is>
      </c>
    </row>
    <row r="1023">
      <c r="A1023" t="inlineStr">
        <is>
          <t>19/10/2026</t>
        </is>
      </c>
      <c r="B1023" t="inlineStr">
        <is>
          <t>97775970</t>
        </is>
      </c>
      <c r="C1023" t="inlineStr">
        <is>
          <t>163140</t>
        </is>
      </c>
      <c r="D1023" t="inlineStr">
        <is>
          <t>163140</t>
        </is>
      </c>
      <c r="E1023" t="inlineStr">
        <is>
          <t>HALFSIM TIGO</t>
        </is>
      </c>
      <c r="F1023" t="n">
        <v>1</v>
      </c>
      <c r="G1023" t="n">
        <v>0.69</v>
      </c>
      <c r="H1023" t="inlineStr">
        <is>
          <t>0.69</t>
        </is>
      </c>
      <c r="J1023" t="inlineStr">
        <is>
          <t>Angel Homero Dominguez Parra</t>
        </is>
      </c>
      <c r="K1023" t="inlineStr">
        <is>
          <t>0952612133</t>
        </is>
      </c>
      <c r="L1023" t="inlineStr">
        <is>
          <t>Guayaquil</t>
        </is>
      </c>
      <c r="M1023" t="inlineStr">
        <is>
          <t>Cliente Final</t>
        </is>
      </c>
      <c r="N1023" t="inlineStr">
        <is>
          <t>CANAL INDIRECTO</t>
        </is>
      </c>
    </row>
    <row r="1024">
      <c r="A1024" t="inlineStr">
        <is>
          <t>19/10/2026</t>
        </is>
      </c>
      <c r="B1024" t="inlineStr">
        <is>
          <t>97776668</t>
        </is>
      </c>
      <c r="C1024" t="inlineStr">
        <is>
          <t>163140</t>
        </is>
      </c>
      <c r="D1024" t="inlineStr">
        <is>
          <t>163140</t>
        </is>
      </c>
      <c r="E1024" t="inlineStr">
        <is>
          <t>HALFSIM TIGO</t>
        </is>
      </c>
      <c r="F1024" t="n">
        <v>1</v>
      </c>
      <c r="G1024" t="n">
        <v>0.69</v>
      </c>
      <c r="H1024" t="inlineStr">
        <is>
          <t>0.69</t>
        </is>
      </c>
      <c r="J1024" t="inlineStr">
        <is>
          <t>Luis Antonio imbaquingo cuascota</t>
        </is>
      </c>
      <c r="K1024" t="inlineStr">
        <is>
          <t>1726577743</t>
        </is>
      </c>
      <c r="L1024" t="inlineStr">
        <is>
          <t>Quito</t>
        </is>
      </c>
      <c r="M1024" t="inlineStr">
        <is>
          <t>Cliente Final</t>
        </is>
      </c>
      <c r="N1024" t="inlineStr">
        <is>
          <t>CANAL INDIRECTO</t>
        </is>
      </c>
    </row>
    <row r="1025">
      <c r="A1025" t="inlineStr">
        <is>
          <t>19/10/2026</t>
        </is>
      </c>
      <c r="B1025" t="inlineStr">
        <is>
          <t>97776713</t>
        </is>
      </c>
      <c r="C1025" t="inlineStr">
        <is>
          <t>163140</t>
        </is>
      </c>
      <c r="D1025" t="inlineStr">
        <is>
          <t>163140</t>
        </is>
      </c>
      <c r="E1025" t="inlineStr">
        <is>
          <t>HALFSIM TIGO</t>
        </is>
      </c>
      <c r="F1025" t="n">
        <v>1</v>
      </c>
      <c r="G1025" t="n">
        <v>0.69</v>
      </c>
      <c r="H1025" t="inlineStr">
        <is>
          <t>0.69</t>
        </is>
      </c>
      <c r="J1025" t="inlineStr">
        <is>
          <t>Yolanda betzabeth Jaramillo caiza</t>
        </is>
      </c>
      <c r="K1025" t="inlineStr">
        <is>
          <t>1710697598</t>
        </is>
      </c>
      <c r="L1025" t="inlineStr">
        <is>
          <t>Quito</t>
        </is>
      </c>
      <c r="M1025" t="inlineStr">
        <is>
          <t>Cliente Final</t>
        </is>
      </c>
      <c r="N1025" t="inlineStr">
        <is>
          <t>CANAL INDIRECTO</t>
        </is>
      </c>
    </row>
    <row r="1026">
      <c r="A1026" t="inlineStr">
        <is>
          <t>19/10/2026</t>
        </is>
      </c>
      <c r="B1026" t="inlineStr">
        <is>
          <t>97776747</t>
        </is>
      </c>
      <c r="C1026" t="inlineStr">
        <is>
          <t>163140</t>
        </is>
      </c>
      <c r="D1026" t="inlineStr">
        <is>
          <t>163140</t>
        </is>
      </c>
      <c r="E1026" t="inlineStr">
        <is>
          <t>HALFSIM TIGO</t>
        </is>
      </c>
      <c r="F1026" t="n">
        <v>1</v>
      </c>
      <c r="G1026" t="n">
        <v>0.69</v>
      </c>
      <c r="H1026" t="inlineStr">
        <is>
          <t>0.69</t>
        </is>
      </c>
      <c r="J1026" t="inlineStr">
        <is>
          <t>delia nacipucha ortega</t>
        </is>
      </c>
      <c r="K1026" t="inlineStr">
        <is>
          <t>0921570347</t>
        </is>
      </c>
      <c r="L1026" t="inlineStr">
        <is>
          <t>Guayaquil</t>
        </is>
      </c>
      <c r="M1026" t="inlineStr">
        <is>
          <t>Cliente Final</t>
        </is>
      </c>
      <c r="N1026" t="inlineStr">
        <is>
          <t>CANAL INDIRECTO</t>
        </is>
      </c>
    </row>
    <row r="1027">
      <c r="A1027" t="inlineStr">
        <is>
          <t>19/10/2026</t>
        </is>
      </c>
      <c r="B1027" t="inlineStr">
        <is>
          <t>97776752</t>
        </is>
      </c>
      <c r="C1027" t="inlineStr">
        <is>
          <t>163140</t>
        </is>
      </c>
      <c r="D1027" t="inlineStr">
        <is>
          <t>163140</t>
        </is>
      </c>
      <c r="E1027" t="inlineStr">
        <is>
          <t>HALFSIM TIGO</t>
        </is>
      </c>
      <c r="F1027" t="n">
        <v>1</v>
      </c>
      <c r="G1027" t="n">
        <v>0.69</v>
      </c>
      <c r="H1027" t="inlineStr">
        <is>
          <t>0.69</t>
        </is>
      </c>
      <c r="J1027" t="inlineStr">
        <is>
          <t>Gustavo Fernando Torres Medrano</t>
        </is>
      </c>
      <c r="K1027" t="inlineStr">
        <is>
          <t>1712340940</t>
        </is>
      </c>
      <c r="L1027" t="inlineStr">
        <is>
          <t>Quito</t>
        </is>
      </c>
      <c r="M1027" t="inlineStr">
        <is>
          <t>Cliente Final</t>
        </is>
      </c>
      <c r="N1027" t="inlineStr">
        <is>
          <t>CANAL INDIRECTO</t>
        </is>
      </c>
    </row>
    <row r="1028">
      <c r="A1028" t="inlineStr">
        <is>
          <t>19/10/2026</t>
        </is>
      </c>
      <c r="B1028" t="inlineStr">
        <is>
          <t>97776987</t>
        </is>
      </c>
      <c r="C1028" t="inlineStr">
        <is>
          <t>163140</t>
        </is>
      </c>
      <c r="D1028" t="inlineStr">
        <is>
          <t>163140</t>
        </is>
      </c>
      <c r="E1028" t="inlineStr">
        <is>
          <t>HALFSIM TIGO</t>
        </is>
      </c>
      <c r="F1028" t="n">
        <v>1</v>
      </c>
      <c r="G1028" t="n">
        <v>0.69</v>
      </c>
      <c r="H1028" t="inlineStr">
        <is>
          <t>0.69</t>
        </is>
      </c>
      <c r="J1028" t="inlineStr">
        <is>
          <t>Jordy Jimmy Quimi Ponce</t>
        </is>
      </c>
      <c r="K1028" t="inlineStr">
        <is>
          <t>0953991494</t>
        </is>
      </c>
      <c r="L1028" t="inlineStr">
        <is>
          <t>Guayaquil</t>
        </is>
      </c>
      <c r="M1028" t="inlineStr">
        <is>
          <t>Cliente Final</t>
        </is>
      </c>
      <c r="N1028" t="inlineStr">
        <is>
          <t>CANAL INDIRECTO</t>
        </is>
      </c>
    </row>
    <row r="1029">
      <c r="A1029" t="inlineStr">
        <is>
          <t>19/10/2026</t>
        </is>
      </c>
      <c r="B1029" t="inlineStr">
        <is>
          <t>97777022</t>
        </is>
      </c>
      <c r="C1029" t="inlineStr">
        <is>
          <t>163140</t>
        </is>
      </c>
      <c r="D1029" t="inlineStr">
        <is>
          <t>163140</t>
        </is>
      </c>
      <c r="E1029" t="inlineStr">
        <is>
          <t>HALFSIM TIGO</t>
        </is>
      </c>
      <c r="F1029" t="n">
        <v>1</v>
      </c>
      <c r="G1029" t="n">
        <v>0.69</v>
      </c>
      <c r="H1029" t="inlineStr">
        <is>
          <t>0.69</t>
        </is>
      </c>
      <c r="J1029" t="inlineStr">
        <is>
          <t>EINSTEIN JIMSON JIMENEZ ALVERCA</t>
        </is>
      </c>
      <c r="K1029" t="inlineStr">
        <is>
          <t>1103792998</t>
        </is>
      </c>
      <c r="L1029" t="inlineStr">
        <is>
          <t>Quito</t>
        </is>
      </c>
      <c r="M1029" t="inlineStr">
        <is>
          <t>Cliente Final</t>
        </is>
      </c>
      <c r="N1029" t="inlineStr">
        <is>
          <t>CANAL INDIRECTO</t>
        </is>
      </c>
    </row>
    <row r="1030">
      <c r="A1030" t="inlineStr">
        <is>
          <t>19/10/2026</t>
        </is>
      </c>
      <c r="B1030" t="inlineStr">
        <is>
          <t>97777292</t>
        </is>
      </c>
      <c r="C1030" t="inlineStr">
        <is>
          <t>163140</t>
        </is>
      </c>
      <c r="D1030" t="inlineStr">
        <is>
          <t>163140</t>
        </is>
      </c>
      <c r="E1030" t="inlineStr">
        <is>
          <t>HALFSIM TIGO</t>
        </is>
      </c>
      <c r="F1030" t="n">
        <v>1</v>
      </c>
      <c r="G1030" t="n">
        <v>0.69</v>
      </c>
      <c r="H1030" t="inlineStr">
        <is>
          <t>0.69</t>
        </is>
      </c>
      <c r="J1030" t="inlineStr">
        <is>
          <t>Guillermo Ortega</t>
        </is>
      </c>
      <c r="K1030" t="inlineStr">
        <is>
          <t>0918354531</t>
        </is>
      </c>
      <c r="L1030" t="inlineStr">
        <is>
          <t>Guayaquil</t>
        </is>
      </c>
      <c r="M1030" t="inlineStr">
        <is>
          <t>Cliente Final</t>
        </is>
      </c>
      <c r="N1030" t="inlineStr">
        <is>
          <t>CANAL INDIRECTO</t>
        </is>
      </c>
    </row>
    <row r="1031">
      <c r="A1031" t="inlineStr">
        <is>
          <t>19/10/2026</t>
        </is>
      </c>
      <c r="B1031" t="inlineStr">
        <is>
          <t>97777562</t>
        </is>
      </c>
      <c r="C1031" t="inlineStr">
        <is>
          <t>163140</t>
        </is>
      </c>
      <c r="D1031" t="inlineStr">
        <is>
          <t>163140</t>
        </is>
      </c>
      <c r="E1031" t="inlineStr">
        <is>
          <t>HALFSIM TIGO</t>
        </is>
      </c>
      <c r="F1031" t="n">
        <v>1</v>
      </c>
      <c r="G1031" t="n">
        <v>0.69</v>
      </c>
      <c r="H1031" t="inlineStr">
        <is>
          <t>0.69</t>
        </is>
      </c>
      <c r="J1031" t="inlineStr">
        <is>
          <t>Marianela Judith López Obregon</t>
        </is>
      </c>
      <c r="K1031" t="inlineStr">
        <is>
          <t>0914883863</t>
        </is>
      </c>
      <c r="L1031" t="inlineStr">
        <is>
          <t>Guayaquil</t>
        </is>
      </c>
      <c r="M1031" t="inlineStr">
        <is>
          <t>Cliente Final</t>
        </is>
      </c>
      <c r="N1031" t="inlineStr">
        <is>
          <t>CANAL INDIRECTO</t>
        </is>
      </c>
    </row>
    <row r="1032">
      <c r="A1032" t="inlineStr">
        <is>
          <t>19/10/2026</t>
        </is>
      </c>
      <c r="B1032" t="inlineStr">
        <is>
          <t>97777621</t>
        </is>
      </c>
      <c r="C1032" t="inlineStr">
        <is>
          <t>163140</t>
        </is>
      </c>
      <c r="D1032" t="inlineStr">
        <is>
          <t>163140</t>
        </is>
      </c>
      <c r="E1032" t="inlineStr">
        <is>
          <t>HALFSIM TIGO</t>
        </is>
      </c>
      <c r="F1032" t="n">
        <v>1</v>
      </c>
      <c r="G1032" t="n">
        <v>0.69</v>
      </c>
      <c r="H1032" t="inlineStr">
        <is>
          <t>0.69</t>
        </is>
      </c>
      <c r="J1032" t="inlineStr">
        <is>
          <t>Evelyn Ramos</t>
        </is>
      </c>
      <c r="K1032" t="inlineStr">
        <is>
          <t>1725050262</t>
        </is>
      </c>
      <c r="L1032" t="inlineStr">
        <is>
          <t>Quito</t>
        </is>
      </c>
      <c r="M1032" t="inlineStr">
        <is>
          <t>Cliente Final</t>
        </is>
      </c>
      <c r="N1032" t="inlineStr">
        <is>
          <t>CANAL INDIRECTO</t>
        </is>
      </c>
    </row>
    <row r="1033">
      <c r="A1033" t="inlineStr">
        <is>
          <t>19/10/2026</t>
        </is>
      </c>
      <c r="B1033" t="inlineStr">
        <is>
          <t>97778110</t>
        </is>
      </c>
      <c r="C1033" t="inlineStr">
        <is>
          <t>163140</t>
        </is>
      </c>
      <c r="D1033" t="inlineStr">
        <is>
          <t>163140</t>
        </is>
      </c>
      <c r="E1033" t="inlineStr">
        <is>
          <t>HALFSIM TIGO</t>
        </is>
      </c>
      <c r="F1033" t="n">
        <v>1</v>
      </c>
      <c r="G1033" t="n">
        <v>0.69</v>
      </c>
      <c r="H1033" t="inlineStr">
        <is>
          <t>0.69</t>
        </is>
      </c>
      <c r="J1033" t="inlineStr">
        <is>
          <t>Alejandro castañeda</t>
        </is>
      </c>
      <c r="K1033" t="inlineStr">
        <is>
          <t>1713476107</t>
        </is>
      </c>
      <c r="L1033" t="inlineStr">
        <is>
          <t>Quito</t>
        </is>
      </c>
      <c r="M1033" t="inlineStr">
        <is>
          <t>Cliente Final</t>
        </is>
      </c>
      <c r="N1033" t="inlineStr">
        <is>
          <t>CANAL INDIRECTO</t>
        </is>
      </c>
    </row>
    <row r="1034">
      <c r="A1034" t="inlineStr">
        <is>
          <t>19/10/2026</t>
        </is>
      </c>
      <c r="B1034" t="inlineStr">
        <is>
          <t>97778152</t>
        </is>
      </c>
      <c r="C1034" t="inlineStr">
        <is>
          <t>163140</t>
        </is>
      </c>
      <c r="D1034" t="inlineStr">
        <is>
          <t>163140</t>
        </is>
      </c>
      <c r="E1034" t="inlineStr">
        <is>
          <t>HALFSIM TIGO</t>
        </is>
      </c>
      <c r="F1034" t="n">
        <v>1</v>
      </c>
      <c r="G1034" t="n">
        <v>0.69</v>
      </c>
      <c r="H1034" t="inlineStr">
        <is>
          <t>0.69</t>
        </is>
      </c>
      <c r="J1034" t="inlineStr">
        <is>
          <t>JEFFERSON ANDRES CHORA QUISPE</t>
        </is>
      </c>
      <c r="K1034" t="inlineStr">
        <is>
          <t>1750227942</t>
        </is>
      </c>
      <c r="L1034" t="inlineStr">
        <is>
          <t>Quito</t>
        </is>
      </c>
      <c r="M1034" t="inlineStr">
        <is>
          <t>Cliente Final</t>
        </is>
      </c>
      <c r="N1034" t="inlineStr">
        <is>
          <t>CANAL INDIRECTO</t>
        </is>
      </c>
    </row>
    <row r="1035">
      <c r="A1035" t="inlineStr">
        <is>
          <t>19/10/2026</t>
        </is>
      </c>
      <c r="B1035" t="inlineStr">
        <is>
          <t>97778204</t>
        </is>
      </c>
      <c r="C1035" t="inlineStr">
        <is>
          <t>163140</t>
        </is>
      </c>
      <c r="D1035" t="inlineStr">
        <is>
          <t>163140</t>
        </is>
      </c>
      <c r="E1035" t="inlineStr">
        <is>
          <t>HALFSIM TIGO</t>
        </is>
      </c>
      <c r="F1035" t="n">
        <v>1</v>
      </c>
      <c r="G1035" t="n">
        <v>0.69</v>
      </c>
      <c r="H1035" t="inlineStr">
        <is>
          <t>0.69</t>
        </is>
      </c>
      <c r="J1035" t="inlineStr">
        <is>
          <t>Noemí Vélez</t>
        </is>
      </c>
      <c r="K1035" t="inlineStr">
        <is>
          <t>0916427511</t>
        </is>
      </c>
      <c r="L1035" t="inlineStr">
        <is>
          <t>Guayaquil</t>
        </is>
      </c>
      <c r="M1035" t="inlineStr">
        <is>
          <t>Cliente Final</t>
        </is>
      </c>
      <c r="N1035" t="inlineStr">
        <is>
          <t>CANAL INDIRECTO</t>
        </is>
      </c>
    </row>
    <row r="1036">
      <c r="A1036" t="inlineStr">
        <is>
          <t>19/10/2026</t>
        </is>
      </c>
      <c r="B1036" t="inlineStr">
        <is>
          <t>97778360</t>
        </is>
      </c>
      <c r="C1036" t="inlineStr">
        <is>
          <t>163140</t>
        </is>
      </c>
      <c r="D1036" t="inlineStr">
        <is>
          <t>163140</t>
        </is>
      </c>
      <c r="E1036" t="inlineStr">
        <is>
          <t>HALFSIM TIGO</t>
        </is>
      </c>
      <c r="F1036" t="n">
        <v>1</v>
      </c>
      <c r="G1036" t="n">
        <v>0.69</v>
      </c>
      <c r="H1036" t="inlineStr">
        <is>
          <t>0.69</t>
        </is>
      </c>
      <c r="J1036" t="inlineStr">
        <is>
          <t>William Dario Andrade Escobar</t>
        </is>
      </c>
      <c r="K1036" t="inlineStr">
        <is>
          <t>1723737027</t>
        </is>
      </c>
      <c r="L1036" t="inlineStr">
        <is>
          <t>Quito</t>
        </is>
      </c>
      <c r="M1036" t="inlineStr">
        <is>
          <t>Cliente Final</t>
        </is>
      </c>
      <c r="N1036" t="inlineStr">
        <is>
          <t>CANAL INDIRECTO</t>
        </is>
      </c>
    </row>
    <row r="1037">
      <c r="A1037" t="inlineStr">
        <is>
          <t>19/10/2026</t>
        </is>
      </c>
      <c r="B1037" t="inlineStr">
        <is>
          <t>97778408</t>
        </is>
      </c>
      <c r="C1037" t="inlineStr">
        <is>
          <t>163140</t>
        </is>
      </c>
      <c r="D1037" t="inlineStr">
        <is>
          <t>163140</t>
        </is>
      </c>
      <c r="E1037" t="inlineStr">
        <is>
          <t>HALFSIM TIGO</t>
        </is>
      </c>
      <c r="F1037" t="n">
        <v>1</v>
      </c>
      <c r="G1037" t="n">
        <v>0.69</v>
      </c>
      <c r="H1037" t="inlineStr">
        <is>
          <t>0.69</t>
        </is>
      </c>
      <c r="J1037" t="inlineStr">
        <is>
          <t>KAREN OÑA</t>
        </is>
      </c>
      <c r="K1037" t="inlineStr">
        <is>
          <t>2300388382</t>
        </is>
      </c>
      <c r="L1037" t="inlineStr">
        <is>
          <t>Quito</t>
        </is>
      </c>
      <c r="M1037" t="inlineStr">
        <is>
          <t>Cliente Final</t>
        </is>
      </c>
      <c r="N1037" t="inlineStr">
        <is>
          <t>CANAL INDIRECTO</t>
        </is>
      </c>
    </row>
    <row r="1038">
      <c r="A1038" t="inlineStr">
        <is>
          <t>19/10/2026</t>
        </is>
      </c>
      <c r="B1038" t="inlineStr">
        <is>
          <t>97779507</t>
        </is>
      </c>
      <c r="C1038" t="inlineStr">
        <is>
          <t>163140</t>
        </is>
      </c>
      <c r="D1038" t="inlineStr">
        <is>
          <t>163140</t>
        </is>
      </c>
      <c r="E1038" t="inlineStr">
        <is>
          <t>HALFSIM TIGO</t>
        </is>
      </c>
      <c r="F1038" t="n">
        <v>1</v>
      </c>
      <c r="G1038" t="n">
        <v>0.69</v>
      </c>
      <c r="H1038" t="inlineStr">
        <is>
          <t>0.69</t>
        </is>
      </c>
      <c r="J1038" t="inlineStr">
        <is>
          <t>MOYA ANDA CRISTIAN RAUL</t>
        </is>
      </c>
      <c r="K1038" t="inlineStr">
        <is>
          <t>1804333803</t>
        </is>
      </c>
      <c r="L1038" t="inlineStr">
        <is>
          <t>Guayaquil</t>
        </is>
      </c>
      <c r="M1038" t="inlineStr">
        <is>
          <t>Cliente Final</t>
        </is>
      </c>
      <c r="N1038" t="inlineStr">
        <is>
          <t>CANAL INDIRECTO</t>
        </is>
      </c>
    </row>
    <row r="1039">
      <c r="A1039" t="inlineStr">
        <is>
          <t>19/10/2026</t>
        </is>
      </c>
      <c r="B1039" t="inlineStr">
        <is>
          <t>97779515</t>
        </is>
      </c>
      <c r="C1039" t="inlineStr">
        <is>
          <t>163140</t>
        </is>
      </c>
      <c r="D1039" t="inlineStr">
        <is>
          <t>163140</t>
        </is>
      </c>
      <c r="E1039" t="inlineStr">
        <is>
          <t>HALFSIM TIGO</t>
        </is>
      </c>
      <c r="F1039" t="n">
        <v>1</v>
      </c>
      <c r="G1039" t="n">
        <v>0.69</v>
      </c>
      <c r="H1039" t="inlineStr">
        <is>
          <t>0.69</t>
        </is>
      </c>
      <c r="J1039" t="inlineStr">
        <is>
          <t>María egas</t>
        </is>
      </c>
      <c r="K1039" t="inlineStr">
        <is>
          <t>0930615463</t>
        </is>
      </c>
      <c r="L1039" t="inlineStr">
        <is>
          <t>Guayaquil</t>
        </is>
      </c>
      <c r="M1039" t="inlineStr">
        <is>
          <t>Cliente Final</t>
        </is>
      </c>
      <c r="N1039" t="inlineStr">
        <is>
          <t>CANAL INDIRECTO</t>
        </is>
      </c>
    </row>
    <row r="1040">
      <c r="A1040" t="inlineStr">
        <is>
          <t>19/10/2026</t>
        </is>
      </c>
      <c r="B1040" t="inlineStr">
        <is>
          <t>97779590</t>
        </is>
      </c>
      <c r="C1040" t="inlineStr">
        <is>
          <t>163140</t>
        </is>
      </c>
      <c r="D1040" t="inlineStr">
        <is>
          <t>163140</t>
        </is>
      </c>
      <c r="E1040" t="inlineStr">
        <is>
          <t>HALFSIM TIGO</t>
        </is>
      </c>
      <c r="F1040" t="n">
        <v>1</v>
      </c>
      <c r="G1040" t="n">
        <v>0.69</v>
      </c>
      <c r="H1040" t="inlineStr">
        <is>
          <t>0.69</t>
        </is>
      </c>
      <c r="J1040" t="inlineStr">
        <is>
          <t>Daniel Ivan Vergara Aguirre</t>
        </is>
      </c>
      <c r="K1040" t="inlineStr">
        <is>
          <t>0924112766</t>
        </is>
      </c>
      <c r="L1040" t="inlineStr">
        <is>
          <t>Guayaquil</t>
        </is>
      </c>
      <c r="M1040" t="inlineStr">
        <is>
          <t>Cliente Final</t>
        </is>
      </c>
      <c r="N1040" t="inlineStr">
        <is>
          <t>CANAL INDIRECTO</t>
        </is>
      </c>
    </row>
    <row r="1041">
      <c r="A1041" t="inlineStr">
        <is>
          <t>19/10/2026</t>
        </is>
      </c>
      <c r="B1041" t="inlineStr">
        <is>
          <t>97779611</t>
        </is>
      </c>
      <c r="C1041" t="inlineStr">
        <is>
          <t>163140</t>
        </is>
      </c>
      <c r="D1041" t="inlineStr">
        <is>
          <t>163140</t>
        </is>
      </c>
      <c r="E1041" t="inlineStr">
        <is>
          <t>HALFSIM TIGO</t>
        </is>
      </c>
      <c r="F1041" t="n">
        <v>1</v>
      </c>
      <c r="G1041" t="n">
        <v>0.69</v>
      </c>
      <c r="H1041" t="inlineStr">
        <is>
          <t>0.69</t>
        </is>
      </c>
      <c r="J1041" t="inlineStr">
        <is>
          <t>Luis Carlos UNAMUNO MERIZALDE</t>
        </is>
      </c>
      <c r="K1041" t="inlineStr">
        <is>
          <t>0922256979</t>
        </is>
      </c>
      <c r="L1041" t="inlineStr">
        <is>
          <t>Guayaquil</t>
        </is>
      </c>
      <c r="M1041" t="inlineStr">
        <is>
          <t>Cliente Final</t>
        </is>
      </c>
      <c r="N1041" t="inlineStr">
        <is>
          <t>CANAL INDIRECTO</t>
        </is>
      </c>
    </row>
    <row r="1042">
      <c r="A1042" t="inlineStr">
        <is>
          <t>19/10/2026</t>
        </is>
      </c>
      <c r="B1042" t="inlineStr">
        <is>
          <t>97779659</t>
        </is>
      </c>
      <c r="C1042" t="inlineStr">
        <is>
          <t>163140</t>
        </is>
      </c>
      <c r="D1042" t="inlineStr">
        <is>
          <t>163140</t>
        </is>
      </c>
      <c r="E1042" t="inlineStr">
        <is>
          <t>HALFSIM TIGO</t>
        </is>
      </c>
      <c r="F1042" t="n">
        <v>1</v>
      </c>
      <c r="G1042" t="n">
        <v>0.69</v>
      </c>
      <c r="H1042" t="inlineStr">
        <is>
          <t>0.69</t>
        </is>
      </c>
      <c r="J1042" t="inlineStr">
        <is>
          <t>Joan Steven Vinces Rezabala</t>
        </is>
      </c>
      <c r="K1042" t="inlineStr">
        <is>
          <t>1314490523</t>
        </is>
      </c>
      <c r="L1042" t="inlineStr">
        <is>
          <t>Portoviejo</t>
        </is>
      </c>
      <c r="M1042" t="inlineStr">
        <is>
          <t>Cliente Final</t>
        </is>
      </c>
      <c r="N1042" t="inlineStr">
        <is>
          <t>CANAL INDIRECTO</t>
        </is>
      </c>
    </row>
    <row r="1043">
      <c r="A1043" t="inlineStr">
        <is>
          <t>19/10/2026</t>
        </is>
      </c>
      <c r="B1043" t="inlineStr">
        <is>
          <t>97779778</t>
        </is>
      </c>
      <c r="C1043" t="inlineStr">
        <is>
          <t>163140</t>
        </is>
      </c>
      <c r="D1043" t="inlineStr">
        <is>
          <t>163140</t>
        </is>
      </c>
      <c r="E1043" t="inlineStr">
        <is>
          <t>HALFSIM TIGO</t>
        </is>
      </c>
      <c r="F1043" t="n">
        <v>1</v>
      </c>
      <c r="G1043" t="n">
        <v>0.69</v>
      </c>
      <c r="H1043" t="inlineStr">
        <is>
          <t>0.69</t>
        </is>
      </c>
      <c r="J1043" t="inlineStr">
        <is>
          <t>Dario González</t>
        </is>
      </c>
      <c r="K1043" t="inlineStr">
        <is>
          <t>0302613112</t>
        </is>
      </c>
      <c r="L1043" t="inlineStr">
        <is>
          <t>Cuenca</t>
        </is>
      </c>
      <c r="M1043" t="inlineStr">
        <is>
          <t>Cliente Final</t>
        </is>
      </c>
      <c r="N1043" t="inlineStr">
        <is>
          <t>CANAL INDIRECTO</t>
        </is>
      </c>
    </row>
    <row r="1044">
      <c r="A1044" t="inlineStr">
        <is>
          <t>19/10/2026</t>
        </is>
      </c>
      <c r="B1044" t="inlineStr">
        <is>
          <t>97780003</t>
        </is>
      </c>
      <c r="C1044" t="inlineStr">
        <is>
          <t>163140</t>
        </is>
      </c>
      <c r="D1044" t="inlineStr">
        <is>
          <t>163140</t>
        </is>
      </c>
      <c r="E1044" t="inlineStr">
        <is>
          <t>HALFSIM TIGO</t>
        </is>
      </c>
      <c r="F1044" t="n">
        <v>1</v>
      </c>
      <c r="G1044" t="n">
        <v>0.69</v>
      </c>
      <c r="H1044" t="inlineStr">
        <is>
          <t>0.69</t>
        </is>
      </c>
      <c r="J1044" t="inlineStr">
        <is>
          <t>Yessenia Alejandra Rea Salazar</t>
        </is>
      </c>
      <c r="K1044" t="inlineStr">
        <is>
          <t>1752822195</t>
        </is>
      </c>
      <c r="L1044" t="inlineStr">
        <is>
          <t>Quito</t>
        </is>
      </c>
      <c r="M1044" t="inlineStr">
        <is>
          <t>Cliente Final</t>
        </is>
      </c>
      <c r="N1044" t="inlineStr">
        <is>
          <t>CANAL INDIRECTO</t>
        </is>
      </c>
    </row>
    <row r="1045">
      <c r="A1045" t="inlineStr">
        <is>
          <t>19/10/2026</t>
        </is>
      </c>
      <c r="B1045" t="inlineStr">
        <is>
          <t>97780088</t>
        </is>
      </c>
      <c r="C1045" t="inlineStr">
        <is>
          <t>163140</t>
        </is>
      </c>
      <c r="D1045" t="inlineStr">
        <is>
          <t>163140</t>
        </is>
      </c>
      <c r="E1045" t="inlineStr">
        <is>
          <t>HALFSIM TIGO</t>
        </is>
      </c>
      <c r="F1045" t="n">
        <v>1</v>
      </c>
      <c r="G1045" t="n">
        <v>0.69</v>
      </c>
      <c r="H1045" t="inlineStr">
        <is>
          <t>0.69</t>
        </is>
      </c>
      <c r="J1045" t="inlineStr">
        <is>
          <t>Janio Freddy Nuñez Guevara</t>
        </is>
      </c>
      <c r="K1045" t="inlineStr">
        <is>
          <t>0703536383</t>
        </is>
      </c>
      <c r="L1045" t="inlineStr">
        <is>
          <t>Machala</t>
        </is>
      </c>
      <c r="M1045" t="inlineStr">
        <is>
          <t>Cliente Final</t>
        </is>
      </c>
      <c r="N1045" t="inlineStr">
        <is>
          <t>CANAL INDIRECTO</t>
        </is>
      </c>
    </row>
    <row r="1046">
      <c r="A1046" t="inlineStr">
        <is>
          <t>19/10/2026</t>
        </is>
      </c>
      <c r="B1046" t="inlineStr">
        <is>
          <t>16505854</t>
        </is>
      </c>
      <c r="C1046" t="inlineStr">
        <is>
          <t>163140</t>
        </is>
      </c>
      <c r="D1046" t="inlineStr">
        <is>
          <t>163140</t>
        </is>
      </c>
      <c r="E1046" t="inlineStr">
        <is>
          <t>HALFSIM TIGO</t>
        </is>
      </c>
      <c r="F1046" t="n">
        <v>1</v>
      </c>
      <c r="G1046" t="n">
        <v>0.69</v>
      </c>
      <c r="H1046" t="inlineStr">
        <is>
          <t>0.69</t>
        </is>
      </c>
      <c r="J1046" t="inlineStr">
        <is>
          <t>ARCOS ANDRADE JAIME DAVID_ARCOS ANDRADE JAIME DAVID</t>
        </is>
      </c>
      <c r="K1046" t="inlineStr">
        <is>
          <t>1719022533001</t>
        </is>
      </c>
      <c r="M1046" t="inlineStr">
        <is>
          <t>BTB</t>
        </is>
      </c>
      <c r="N1046" t="inlineStr">
        <is>
          <t>CANAL DIRECTO</t>
        </is>
      </c>
    </row>
    <row r="1047">
      <c r="A1047" t="inlineStr">
        <is>
          <t>19/10/2026</t>
        </is>
      </c>
      <c r="B1047" t="inlineStr">
        <is>
          <t>16505839</t>
        </is>
      </c>
      <c r="C1047" t="inlineStr">
        <is>
          <t>163140</t>
        </is>
      </c>
      <c r="D1047" t="inlineStr">
        <is>
          <t>163140</t>
        </is>
      </c>
      <c r="E1047" t="inlineStr">
        <is>
          <t>HALFSIM TIGO</t>
        </is>
      </c>
      <c r="F1047" t="n">
        <v>1</v>
      </c>
      <c r="G1047" t="n">
        <v>0.69</v>
      </c>
      <c r="H1047" t="inlineStr">
        <is>
          <t>0.69</t>
        </is>
      </c>
      <c r="J1047" t="inlineStr">
        <is>
          <t>HIDALGO GARCIA ORLY RONALD_HIDALGO GARCIA ORLY RONALD</t>
        </is>
      </c>
      <c r="K1047" t="inlineStr">
        <is>
          <t>0925101768001</t>
        </is>
      </c>
      <c r="M1047" t="inlineStr">
        <is>
          <t>BTB</t>
        </is>
      </c>
      <c r="N1047" t="inlineStr">
        <is>
          <t>CANAL DIRECTO</t>
        </is>
      </c>
    </row>
    <row r="1048">
      <c r="A1048" t="inlineStr">
        <is>
          <t>19/10/2026</t>
        </is>
      </c>
      <c r="B1048" t="inlineStr">
        <is>
          <t>16505849</t>
        </is>
      </c>
      <c r="C1048" t="inlineStr">
        <is>
          <t>163140</t>
        </is>
      </c>
      <c r="D1048" t="inlineStr">
        <is>
          <t>163140</t>
        </is>
      </c>
      <c r="E1048" t="inlineStr">
        <is>
          <t>HALFSIM TIGO</t>
        </is>
      </c>
      <c r="F1048" t="n">
        <v>1</v>
      </c>
      <c r="G1048" t="n">
        <v>0.69</v>
      </c>
      <c r="H1048" t="inlineStr">
        <is>
          <t>0.69</t>
        </is>
      </c>
      <c r="J1048" t="inlineStr">
        <is>
          <t>PACHECO NEIRA KENNETH GUSTAVO_PACHECO NEIRA KENNETH GUSTAVO</t>
        </is>
      </c>
      <c r="K1048" t="inlineStr">
        <is>
          <t>0908506470001</t>
        </is>
      </c>
      <c r="M1048" t="inlineStr">
        <is>
          <t>BTB</t>
        </is>
      </c>
      <c r="N1048" t="inlineStr">
        <is>
          <t>CANAL DIRECTO</t>
        </is>
      </c>
    </row>
    <row r="1049">
      <c r="A1049" t="inlineStr">
        <is>
          <t>19/10/2026</t>
        </is>
      </c>
      <c r="B1049" t="inlineStr">
        <is>
          <t>16505851</t>
        </is>
      </c>
      <c r="C1049" t="inlineStr">
        <is>
          <t>163140</t>
        </is>
      </c>
      <c r="D1049" t="inlineStr">
        <is>
          <t>163140</t>
        </is>
      </c>
      <c r="E1049" t="inlineStr">
        <is>
          <t>HALFSIM TIGO</t>
        </is>
      </c>
      <c r="F1049" t="n">
        <v>1</v>
      </c>
      <c r="G1049" t="n">
        <v>0.69</v>
      </c>
      <c r="H1049" t="inlineStr">
        <is>
          <t>0.69</t>
        </is>
      </c>
      <c r="J1049" t="inlineStr">
        <is>
          <t>PACHECO NEIRA KENNETH GUSTAVO_PACHECO NEIRA KENNETH GUSTAVO</t>
        </is>
      </c>
      <c r="K1049" t="inlineStr">
        <is>
          <t>0908506470001</t>
        </is>
      </c>
      <c r="M1049" t="inlineStr">
        <is>
          <t>BTB</t>
        </is>
      </c>
      <c r="N1049" t="inlineStr">
        <is>
          <t>CANAL DIRECTO</t>
        </is>
      </c>
    </row>
    <row r="1050">
      <c r="A1050" t="inlineStr">
        <is>
          <t>19/10/2026</t>
        </is>
      </c>
      <c r="B1050" t="inlineStr">
        <is>
          <t>16505855</t>
        </is>
      </c>
      <c r="C1050" t="inlineStr">
        <is>
          <t>163140</t>
        </is>
      </c>
      <c r="D1050" t="inlineStr">
        <is>
          <t>163140</t>
        </is>
      </c>
      <c r="E1050" t="inlineStr">
        <is>
          <t>HALFSIM TIGO</t>
        </is>
      </c>
      <c r="F1050" t="n">
        <v>1</v>
      </c>
      <c r="G1050" t="n">
        <v>0.69</v>
      </c>
      <c r="H1050" t="inlineStr">
        <is>
          <t>0.69</t>
        </is>
      </c>
      <c r="J1050" t="inlineStr">
        <is>
          <t>PENAFIEL LOZADA XAVIER ROLANDO_PENAFIEL LOZADA XAVIER ROLANDO</t>
        </is>
      </c>
      <c r="K1050" t="inlineStr">
        <is>
          <t>1710915677001</t>
        </is>
      </c>
      <c r="M1050" t="inlineStr">
        <is>
          <t>BTB</t>
        </is>
      </c>
      <c r="N1050" t="inlineStr">
        <is>
          <t>CANAL DIRECTO</t>
        </is>
      </c>
    </row>
    <row r="1051">
      <c r="A1051" t="inlineStr">
        <is>
          <t>19/10/2026</t>
        </is>
      </c>
      <c r="B1051" t="inlineStr">
        <is>
          <t>16505889</t>
        </is>
      </c>
      <c r="C1051" t="inlineStr">
        <is>
          <t>163140</t>
        </is>
      </c>
      <c r="D1051" t="inlineStr">
        <is>
          <t>163140</t>
        </is>
      </c>
      <c r="E1051" t="inlineStr">
        <is>
          <t>HALFSIM TIGO</t>
        </is>
      </c>
      <c r="F1051" t="n">
        <v>1</v>
      </c>
      <c r="G1051" t="n">
        <v>0.69</v>
      </c>
      <c r="H1051" t="inlineStr">
        <is>
          <t>0.69</t>
        </is>
      </c>
      <c r="J1051" t="inlineStr">
        <is>
          <t>MALDONADO ALAVA IVAN STEFANO_MALDONADO ALAVA IVAN STEFANO</t>
        </is>
      </c>
      <c r="K1051" t="inlineStr">
        <is>
          <t>1724686397001</t>
        </is>
      </c>
      <c r="M1051" t="inlineStr">
        <is>
          <t>BTB</t>
        </is>
      </c>
      <c r="N1051" t="inlineStr">
        <is>
          <t>CANAL DIRECTO</t>
        </is>
      </c>
    </row>
    <row r="1052">
      <c r="A1052" t="inlineStr">
        <is>
          <t>19/10/2026</t>
        </is>
      </c>
      <c r="B1052" t="inlineStr">
        <is>
          <t>16505850</t>
        </is>
      </c>
      <c r="C1052" t="inlineStr">
        <is>
          <t>163140</t>
        </is>
      </c>
      <c r="D1052" t="inlineStr">
        <is>
          <t>163140</t>
        </is>
      </c>
      <c r="E1052" t="inlineStr">
        <is>
          <t>HALFSIM TIGO</t>
        </is>
      </c>
      <c r="F1052" t="n">
        <v>1</v>
      </c>
      <c r="G1052" t="n">
        <v>0.69</v>
      </c>
      <c r="H1052" t="inlineStr">
        <is>
          <t>0.69</t>
        </is>
      </c>
      <c r="J1052" t="inlineStr">
        <is>
          <t>LILIANA ALEJANDRINA ARICO ESPIN_FLEXNET DEL ECUADOR CIA LTDA</t>
        </is>
      </c>
      <c r="K1052" t="inlineStr">
        <is>
          <t>1791890663001</t>
        </is>
      </c>
      <c r="M1052" t="inlineStr">
        <is>
          <t>BTB</t>
        </is>
      </c>
      <c r="N1052" t="inlineStr">
        <is>
          <t>CANAL DIRECTO</t>
        </is>
      </c>
    </row>
    <row r="1053">
      <c r="A1053" t="inlineStr">
        <is>
          <t>19/10/2026</t>
        </is>
      </c>
      <c r="B1053" t="inlineStr">
        <is>
          <t>16505867</t>
        </is>
      </c>
      <c r="C1053" t="inlineStr">
        <is>
          <t>163140</t>
        </is>
      </c>
      <c r="D1053" t="inlineStr">
        <is>
          <t>163140</t>
        </is>
      </c>
      <c r="E1053" t="inlineStr">
        <is>
          <t>HALFSIM TIGO</t>
        </is>
      </c>
      <c r="F1053" t="n">
        <v>20</v>
      </c>
      <c r="G1053" t="n">
        <v>13.799999999999999</v>
      </c>
      <c r="H1053" t="inlineStr">
        <is>
          <t>0.69</t>
        </is>
      </c>
      <c r="J1053" t="inlineStr">
        <is>
          <t>CARMEN ABELINA UCHO VILLA_COMITE DE EMPRESA DE LOS TRABAJADORES DE LA EMPRES</t>
        </is>
      </c>
      <c r="K1053" t="inlineStr">
        <is>
          <t>0190160289001</t>
        </is>
      </c>
      <c r="M1053" t="inlineStr">
        <is>
          <t>BTB</t>
        </is>
      </c>
      <c r="N1053" t="inlineStr">
        <is>
          <t>CANAL DIRECTO</t>
        </is>
      </c>
    </row>
    <row r="1054">
      <c r="A1054" t="inlineStr">
        <is>
          <t>19/10/2026</t>
        </is>
      </c>
      <c r="B1054" t="inlineStr">
        <is>
          <t>16505903</t>
        </is>
      </c>
      <c r="C1054" t="inlineStr">
        <is>
          <t>163140</t>
        </is>
      </c>
      <c r="D1054" t="inlineStr">
        <is>
          <t>163140</t>
        </is>
      </c>
      <c r="E1054" t="inlineStr">
        <is>
          <t>HALFSIM TIGO</t>
        </is>
      </c>
      <c r="F1054" t="n">
        <v>1</v>
      </c>
      <c r="G1054" t="n">
        <v>0.69</v>
      </c>
      <c r="H1054" t="inlineStr">
        <is>
          <t>0.69</t>
        </is>
      </c>
      <c r="J1054" t="inlineStr">
        <is>
          <t>CRISTIAN BORJA_MOLPACK ECUADOR ECUAMOLPACK S A</t>
        </is>
      </c>
      <c r="K1054" t="inlineStr">
        <is>
          <t>1891774180001</t>
        </is>
      </c>
      <c r="M1054" t="inlineStr">
        <is>
          <t>BTB</t>
        </is>
      </c>
      <c r="N1054" t="inlineStr">
        <is>
          <t>CANAL DIRECTO</t>
        </is>
      </c>
    </row>
    <row r="1055">
      <c r="A1055" t="inlineStr">
        <is>
          <t>19/10/2026</t>
        </is>
      </c>
      <c r="B1055" t="inlineStr">
        <is>
          <t>97780687</t>
        </is>
      </c>
      <c r="C1055" t="inlineStr">
        <is>
          <t>163140</t>
        </is>
      </c>
      <c r="D1055" t="inlineStr">
        <is>
          <t>163140</t>
        </is>
      </c>
      <c r="E1055" t="inlineStr">
        <is>
          <t>HALFSIM TIGO</t>
        </is>
      </c>
      <c r="F1055" t="n">
        <v>1</v>
      </c>
      <c r="G1055" t="n">
        <v>0.69</v>
      </c>
      <c r="H1055" t="inlineStr">
        <is>
          <t>0.69</t>
        </is>
      </c>
      <c r="J1055" t="inlineStr">
        <is>
          <t>ANDREA DOMINGUEZ</t>
        </is>
      </c>
      <c r="K1055" t="inlineStr">
        <is>
          <t>1720080090</t>
        </is>
      </c>
      <c r="L1055" t="inlineStr">
        <is>
          <t>-0.10336052942457079,-78.47973874411981</t>
        </is>
      </c>
      <c r="M1055" t="inlineStr">
        <is>
          <t>Cliente Final</t>
        </is>
      </c>
      <c r="N1055" t="inlineStr">
        <is>
          <t>CANAL INDIRECTO</t>
        </is>
      </c>
    </row>
    <row r="1056">
      <c r="A1056" t="inlineStr">
        <is>
          <t>19/10/2026</t>
        </is>
      </c>
      <c r="B1056" t="inlineStr">
        <is>
          <t>2026-08483</t>
        </is>
      </c>
      <c r="C1056" t="inlineStr">
        <is>
          <t>163140_02</t>
        </is>
      </c>
      <c r="D1056" t="inlineStr">
        <is>
          <t>163140</t>
        </is>
      </c>
      <c r="E1056" t="inlineStr">
        <is>
          <t>HALFSIM TIGO CHIP PREPAGO $3 WP NUMERADO</t>
        </is>
      </c>
      <c r="F1056" t="n">
        <v>1500</v>
      </c>
      <c r="G1056" t="n">
        <v>1035</v>
      </c>
      <c r="H1056" t="inlineStr">
        <is>
          <t>0.69</t>
        </is>
      </c>
      <c r="J1056" t="inlineStr">
        <is>
          <t>TECECAB ZONIFICACION ORIENTE_PAOLA MORETA</t>
        </is>
      </c>
      <c r="K1056" t="inlineStr">
        <is>
          <t>1716278575</t>
        </is>
      </c>
      <c r="M1056" t="inlineStr">
        <is>
          <t>INDIRECTO</t>
        </is>
      </c>
      <c r="N1056" t="inlineStr">
        <is>
          <t>CANAL INDIRECTO</t>
        </is>
      </c>
    </row>
    <row r="1057">
      <c r="A1057" t="inlineStr">
        <is>
          <t>19/10/2026</t>
        </is>
      </c>
      <c r="B1057" t="inlineStr">
        <is>
          <t>2026-08484</t>
        </is>
      </c>
      <c r="C1057" t="inlineStr">
        <is>
          <t>163140</t>
        </is>
      </c>
      <c r="D1057" t="inlineStr">
        <is>
          <t>163140</t>
        </is>
      </c>
      <c r="E1057" t="inlineStr">
        <is>
          <t>HALFSIM TIGO</t>
        </is>
      </c>
      <c r="F1057" t="n">
        <v>200</v>
      </c>
      <c r="G1057" t="n">
        <v>138</v>
      </c>
      <c r="H1057" t="inlineStr">
        <is>
          <t>0.69</t>
        </is>
      </c>
      <c r="J1057" t="inlineStr">
        <is>
          <t>CAVS PORTAL SHOPPING_ANDRES REA / ESTEBAL JIMENEZ</t>
        </is>
      </c>
      <c r="K1057" t="inlineStr">
        <is>
          <t>1791890663001</t>
        </is>
      </c>
      <c r="M1057" t="inlineStr">
        <is>
          <t>INDIRECTO</t>
        </is>
      </c>
      <c r="N1057" t="inlineStr">
        <is>
          <t>CANAL INDIRECTO</t>
        </is>
      </c>
    </row>
    <row r="1058">
      <c r="A1058" t="inlineStr">
        <is>
          <t>19/10/2026</t>
        </is>
      </c>
      <c r="B1058" t="inlineStr">
        <is>
          <t>2026-08485</t>
        </is>
      </c>
      <c r="C1058" t="inlineStr">
        <is>
          <t>163140_02</t>
        </is>
      </c>
      <c r="D1058" t="inlineStr">
        <is>
          <t>163140</t>
        </is>
      </c>
      <c r="E1058" t="inlineStr">
        <is>
          <t>HALFSIM TIGO CHIP PREPAGO $3 WP NUMERADO</t>
        </is>
      </c>
      <c r="F1058" t="n">
        <v>100</v>
      </c>
      <c r="G1058" t="n">
        <v>69</v>
      </c>
      <c r="H1058" t="inlineStr">
        <is>
          <t>0.69</t>
        </is>
      </c>
      <c r="J1058" t="inlineStr">
        <is>
          <t>KIOSKO RYRTECH MALL DEL SUR_ROMERO RODRIGUEZ MAURENY GEANELLA</t>
        </is>
      </c>
      <c r="K1058" t="inlineStr">
        <is>
          <t>0915962609</t>
        </is>
      </c>
      <c r="M1058" t="inlineStr">
        <is>
          <t>INDIRECTO</t>
        </is>
      </c>
      <c r="N1058" t="inlineStr">
        <is>
          <t>CANAL INDIRECTO</t>
        </is>
      </c>
    </row>
    <row r="1059">
      <c r="A1059" t="inlineStr">
        <is>
          <t>19/10/2026</t>
        </is>
      </c>
      <c r="B1059" t="inlineStr">
        <is>
          <t>2026-08486</t>
        </is>
      </c>
      <c r="C1059" t="inlineStr">
        <is>
          <t>163140_02</t>
        </is>
      </c>
      <c r="D1059" t="inlineStr">
        <is>
          <t>163140</t>
        </is>
      </c>
      <c r="E1059" t="inlineStr">
        <is>
          <t>HALFSIM TIGO CHIP PREPAGO $3 WP NUMERADO</t>
        </is>
      </c>
      <c r="F1059" t="n">
        <v>100</v>
      </c>
      <c r="G1059" t="n">
        <v>69</v>
      </c>
      <c r="H1059" t="inlineStr">
        <is>
          <t>0.69</t>
        </is>
      </c>
      <c r="J1059" t="inlineStr">
        <is>
          <t>KIOSKO RYRTECH RIOCENTRO EL DORADO_ROMERO RODRIGUEZ MAURENY GEANELLA</t>
        </is>
      </c>
      <c r="K1059" t="inlineStr">
        <is>
          <t>0915962609</t>
        </is>
      </c>
      <c r="M1059" t="inlineStr">
        <is>
          <t>INDIRECTO</t>
        </is>
      </c>
      <c r="N1059" t="inlineStr">
        <is>
          <t>CANAL INDIRECTO</t>
        </is>
      </c>
    </row>
    <row r="1060">
      <c r="A1060" t="inlineStr">
        <is>
          <t>19/10/2026</t>
        </is>
      </c>
      <c r="B1060" t="inlineStr">
        <is>
          <t>2026-08487</t>
        </is>
      </c>
      <c r="C1060" t="inlineStr">
        <is>
          <t>163140_02</t>
        </is>
      </c>
      <c r="D1060" t="inlineStr">
        <is>
          <t>163140</t>
        </is>
      </c>
      <c r="E1060" t="inlineStr">
        <is>
          <t>HALFSIM TIGO CHIP PREPAGO $3 WP NUMERADO</t>
        </is>
      </c>
      <c r="F1060" t="n">
        <v>2000</v>
      </c>
      <c r="G1060" t="n">
        <v>1380</v>
      </c>
      <c r="H1060" t="inlineStr">
        <is>
          <t>0.69</t>
        </is>
      </c>
      <c r="J1060" t="inlineStr">
        <is>
          <t>TELECOS RIOBAMBA_ALEJANDRO CACERES / DAYSI PARRA</t>
        </is>
      </c>
      <c r="K1060" t="inlineStr">
        <is>
          <t>1791415728001</t>
        </is>
      </c>
      <c r="M1060" t="inlineStr">
        <is>
          <t>INDIRECTO</t>
        </is>
      </c>
      <c r="N1060" t="inlineStr">
        <is>
          <t>CANAL INDIRECTO</t>
        </is>
      </c>
    </row>
    <row r="1061">
      <c r="A1061" t="inlineStr">
        <is>
          <t>19/10/2026</t>
        </is>
      </c>
      <c r="B1061" t="inlineStr">
        <is>
          <t>2026-08488</t>
        </is>
      </c>
      <c r="C1061" t="inlineStr">
        <is>
          <t>163140_02</t>
        </is>
      </c>
      <c r="D1061" t="inlineStr">
        <is>
          <t>163140</t>
        </is>
      </c>
      <c r="E1061" t="inlineStr">
        <is>
          <t>HALFSIM TIGO CHIP PREPAGO $3 WP NUMERADO</t>
        </is>
      </c>
      <c r="F1061" t="n">
        <v>400</v>
      </c>
      <c r="G1061" t="n">
        <v>276</v>
      </c>
      <c r="H1061" t="inlineStr">
        <is>
          <t>0.69</t>
        </is>
      </c>
      <c r="J1061" t="inlineStr">
        <is>
          <t>TUTELNEW LOS RIOS_MARIO JAVIER GIL CEVALLOS</t>
        </is>
      </c>
      <c r="K1061" t="inlineStr">
        <is>
          <t>0925805525</t>
        </is>
      </c>
      <c r="M1061" t="inlineStr">
        <is>
          <t>INDIRECTO</t>
        </is>
      </c>
      <c r="N1061" t="inlineStr">
        <is>
          <t>CANAL INDIRECTO</t>
        </is>
      </c>
    </row>
    <row r="1062">
      <c r="A1062" t="inlineStr">
        <is>
          <t>19/10/2026</t>
        </is>
      </c>
      <c r="B1062" t="inlineStr">
        <is>
          <t>2026-08489</t>
        </is>
      </c>
      <c r="C1062" t="inlineStr">
        <is>
          <t>163140_06</t>
        </is>
      </c>
      <c r="D1062" t="inlineStr">
        <is>
          <t>163140</t>
        </is>
      </c>
      <c r="E1062" t="inlineStr">
        <is>
          <t>HALFSIM TIGO PORTABILIDAD</t>
        </is>
      </c>
      <c r="F1062" t="n">
        <v>200</v>
      </c>
      <c r="G1062" t="n">
        <v>138</v>
      </c>
      <c r="H1062" t="inlineStr">
        <is>
          <t>0.69</t>
        </is>
      </c>
      <c r="J1062" t="inlineStr">
        <is>
          <t>KIOSK SMARTPHONELANDIA PASEO SHOPPING PLAYAS_ROMERO RODRIGUEZ CESAR BERNABE</t>
        </is>
      </c>
      <c r="K1062" t="inlineStr">
        <is>
          <t>0918930660</t>
        </is>
      </c>
      <c r="M1062" t="inlineStr">
        <is>
          <t>INDIRECTO</t>
        </is>
      </c>
      <c r="N1062" t="inlineStr">
        <is>
          <t>CANAL INDIRECTO</t>
        </is>
      </c>
    </row>
    <row r="1063">
      <c r="A1063" t="inlineStr">
        <is>
          <t>19/10/2026</t>
        </is>
      </c>
      <c r="B1063" t="inlineStr">
        <is>
          <t>2026-08490</t>
        </is>
      </c>
      <c r="C1063" t="inlineStr">
        <is>
          <t>163140_02</t>
        </is>
      </c>
      <c r="D1063" t="inlineStr">
        <is>
          <t>163140</t>
        </is>
      </c>
      <c r="E1063" t="inlineStr">
        <is>
          <t>HALFSIM TIGO CHIP PREPAGO $3 WP NUMERADO</t>
        </is>
      </c>
      <c r="F1063" t="n">
        <v>2300</v>
      </c>
      <c r="G1063" t="n">
        <v>1586.9999999999998</v>
      </c>
      <c r="H1063" t="inlineStr">
        <is>
          <t>0.69</t>
        </is>
      </c>
      <c r="J1063" t="inlineStr">
        <is>
          <t>TUTELNEW  - TUENTI - GUAYAS_MARIO JAVIER GIL CEVALLOS</t>
        </is>
      </c>
      <c r="K1063" t="inlineStr">
        <is>
          <t>0925805525001</t>
        </is>
      </c>
      <c r="M1063" t="inlineStr">
        <is>
          <t>INDIRECTO</t>
        </is>
      </c>
      <c r="N1063" t="inlineStr">
        <is>
          <t>CANAL INDIRECTO</t>
        </is>
      </c>
    </row>
    <row r="1064">
      <c r="A1064" t="inlineStr">
        <is>
          <t>19/10/2026</t>
        </is>
      </c>
      <c r="B1064" t="inlineStr">
        <is>
          <t>2026-08492</t>
        </is>
      </c>
      <c r="C1064" t="inlineStr">
        <is>
          <t>163140_02</t>
        </is>
      </c>
      <c r="D1064" t="inlineStr">
        <is>
          <t>163140</t>
        </is>
      </c>
      <c r="E1064" t="inlineStr">
        <is>
          <t>HALFSIM TIGO CHIP PREPAGO $3 WP NUMERADO</t>
        </is>
      </c>
      <c r="F1064" t="n">
        <v>1000</v>
      </c>
      <c r="G1064" t="n">
        <v>690</v>
      </c>
      <c r="H1064" t="inlineStr">
        <is>
          <t>0.69</t>
        </is>
      </c>
      <c r="J1064" t="inlineStr">
        <is>
          <t>MOVIPHONE ZONIFICADOS CAÑAR_LENIN CRESPO</t>
        </is>
      </c>
      <c r="K1064" t="inlineStr">
        <is>
          <t>0301197232</t>
        </is>
      </c>
      <c r="M1064" t="inlineStr">
        <is>
          <t>INDIRECTO</t>
        </is>
      </c>
      <c r="N1064" t="inlineStr">
        <is>
          <t>CANAL INDIRECTO</t>
        </is>
      </c>
    </row>
    <row r="1065">
      <c r="A1065" t="inlineStr">
        <is>
          <t>19/10/2026</t>
        </is>
      </c>
      <c r="B1065" t="inlineStr">
        <is>
          <t>2026-08493</t>
        </is>
      </c>
      <c r="C1065" t="inlineStr">
        <is>
          <t>163140_02</t>
        </is>
      </c>
      <c r="D1065" t="inlineStr">
        <is>
          <t>163140</t>
        </is>
      </c>
      <c r="E1065" t="inlineStr">
        <is>
          <t>HALFSIM TIGO CHIP PREPAGO $3 WP NUMERADO</t>
        </is>
      </c>
      <c r="F1065" t="n">
        <v>2000</v>
      </c>
      <c r="G1065" t="n">
        <v>1380</v>
      </c>
      <c r="H1065" t="inlineStr">
        <is>
          <t>0.69</t>
        </is>
      </c>
      <c r="J1065" t="inlineStr">
        <is>
          <t>MOVIPHONE ZONIFICADO MACHALA_LENIN CRESPO</t>
        </is>
      </c>
      <c r="K1065" t="inlineStr">
        <is>
          <t>0391007160001</t>
        </is>
      </c>
      <c r="M1065" t="inlineStr">
        <is>
          <t>INDIRECTO</t>
        </is>
      </c>
      <c r="N1065" t="inlineStr">
        <is>
          <t>CANAL INDIRECTO</t>
        </is>
      </c>
    </row>
    <row r="1066">
      <c r="A1066" t="inlineStr">
        <is>
          <t>19/10/2026</t>
        </is>
      </c>
      <c r="B1066" t="inlineStr">
        <is>
          <t>2026-08496</t>
        </is>
      </c>
      <c r="C1066" t="inlineStr">
        <is>
          <t>163140_02</t>
        </is>
      </c>
      <c r="D1066" t="inlineStr">
        <is>
          <t>163140</t>
        </is>
      </c>
      <c r="E1066" t="inlineStr">
        <is>
          <t>HALFSIM TIGO CHIP PREPAGO $3 WP NUMERADO</t>
        </is>
      </c>
      <c r="F1066" t="n">
        <v>200</v>
      </c>
      <c r="G1066" t="n">
        <v>138</v>
      </c>
      <c r="H1066" t="inlineStr">
        <is>
          <t>0.69</t>
        </is>
      </c>
      <c r="J1066" t="inlineStr">
        <is>
          <t>WINNERS CELL TUENTI SANTO DOMINGO_DANIEL EDUARDO JARRIN MARROQUIN</t>
        </is>
      </c>
      <c r="K1066" t="inlineStr">
        <is>
          <t>1720429685001</t>
        </is>
      </c>
      <c r="M1066" t="inlineStr">
        <is>
          <t>INDIRECTO</t>
        </is>
      </c>
      <c r="N1066" t="inlineStr">
        <is>
          <t>CANAL INDIRECTO</t>
        </is>
      </c>
    </row>
    <row r="1067">
      <c r="A1067" t="inlineStr">
        <is>
          <t>19/10/2026</t>
        </is>
      </c>
      <c r="B1067" t="inlineStr">
        <is>
          <t>2026-08497</t>
        </is>
      </c>
      <c r="C1067" t="inlineStr">
        <is>
          <t>163140_02</t>
        </is>
      </c>
      <c r="D1067" t="inlineStr">
        <is>
          <t>163140</t>
        </is>
      </c>
      <c r="E1067" t="inlineStr">
        <is>
          <t>HALFSIM TIGO CHIP PREPAGO $3 WP NUMERADO</t>
        </is>
      </c>
      <c r="F1067" t="n">
        <v>100</v>
      </c>
      <c r="G1067" t="n">
        <v>69</v>
      </c>
      <c r="H1067" t="inlineStr">
        <is>
          <t>0.69</t>
        </is>
      </c>
      <c r="J1067" t="inlineStr">
        <is>
          <t>KIOSKO RYRTECH PASEO SHOPPING QUEVEDO_ROMERO RODRIGUEZ MAURENY GEANELLA</t>
        </is>
      </c>
      <c r="K1067" t="inlineStr">
        <is>
          <t>0915962609</t>
        </is>
      </c>
      <c r="M1067" t="inlineStr">
        <is>
          <t>INDIRECTO</t>
        </is>
      </c>
      <c r="N1067" t="inlineStr">
        <is>
          <t>CANAL INDIRECTO</t>
        </is>
      </c>
    </row>
    <row r="1068">
      <c r="A1068" t="inlineStr">
        <is>
          <t>19/10/2026</t>
        </is>
      </c>
      <c r="B1068" t="inlineStr">
        <is>
          <t>2026-08499</t>
        </is>
      </c>
      <c r="C1068" t="inlineStr">
        <is>
          <t>163140_02</t>
        </is>
      </c>
      <c r="D1068" t="inlineStr">
        <is>
          <t>163140</t>
        </is>
      </c>
      <c r="E1068" t="inlineStr">
        <is>
          <t>HALFSIM TIGO CHIP PREPAGO $3 WP NUMERADO</t>
        </is>
      </c>
      <c r="F1068" t="n">
        <v>100</v>
      </c>
      <c r="G1068" t="n">
        <v>69</v>
      </c>
      <c r="H1068" t="inlineStr">
        <is>
          <t>0.69</t>
        </is>
      </c>
      <c r="J1068" t="inlineStr">
        <is>
          <t>KIOSKO RYRTECH TT GUAYAQUIL_ROMERO RODRIGUEZ MAURENY GEANELLA</t>
        </is>
      </c>
      <c r="K1068" t="inlineStr">
        <is>
          <t>0915962609</t>
        </is>
      </c>
      <c r="M1068" t="inlineStr">
        <is>
          <t>INDIRECTO</t>
        </is>
      </c>
      <c r="N1068" t="inlineStr">
        <is>
          <t>CANAL INDIRECTO</t>
        </is>
      </c>
    </row>
    <row r="1069">
      <c r="A1069" t="inlineStr">
        <is>
          <t>19/10/2026</t>
        </is>
      </c>
      <c r="B1069" t="inlineStr">
        <is>
          <t>2026-08500</t>
        </is>
      </c>
      <c r="C1069" t="inlineStr">
        <is>
          <t>163140_02</t>
        </is>
      </c>
      <c r="D1069" t="inlineStr">
        <is>
          <t>163140</t>
        </is>
      </c>
      <c r="E1069" t="inlineStr">
        <is>
          <t>HALFSIM TIGO CHIP PREPAGO $3 WP NUMERADO</t>
        </is>
      </c>
      <c r="F1069" t="n">
        <v>1500</v>
      </c>
      <c r="G1069" t="n">
        <v>1035</v>
      </c>
      <c r="H1069" t="inlineStr">
        <is>
          <t>0.69</t>
        </is>
      </c>
      <c r="J1069" t="inlineStr">
        <is>
          <t>TELECOS COTOPAXI PDA_JOHANNA VANESSA PLAZA MIRANDA</t>
        </is>
      </c>
      <c r="K1069" t="inlineStr">
        <is>
          <t>1720224771</t>
        </is>
      </c>
      <c r="M1069" t="inlineStr">
        <is>
          <t>INDIRECTO</t>
        </is>
      </c>
      <c r="N1069" t="inlineStr">
        <is>
          <t>CANAL INDIRECTO</t>
        </is>
      </c>
    </row>
    <row r="1070">
      <c r="A1070" t="inlineStr">
        <is>
          <t>19/10/2026</t>
        </is>
      </c>
      <c r="B1070" t="inlineStr">
        <is>
          <t>2026-08501</t>
        </is>
      </c>
      <c r="C1070" t="inlineStr">
        <is>
          <t>163140_02</t>
        </is>
      </c>
      <c r="D1070" t="inlineStr">
        <is>
          <t>163140</t>
        </is>
      </c>
      <c r="E1070" t="inlineStr">
        <is>
          <t>HALFSIM TIGO CHIP PREPAGO $3 WP NUMERADO</t>
        </is>
      </c>
      <c r="F1070" t="n">
        <v>800</v>
      </c>
      <c r="G1070" t="n">
        <v>552</v>
      </c>
      <c r="H1070" t="inlineStr">
        <is>
          <t>0.69</t>
        </is>
      </c>
      <c r="J1070" t="inlineStr">
        <is>
          <t>MOVIPHONE ZONIFICADO LOJA_DIEGO ARMANDO VASQUEZ SALDAÑA</t>
        </is>
      </c>
      <c r="K1070" t="inlineStr">
        <is>
          <t>0391007160001</t>
        </is>
      </c>
      <c r="M1070" t="inlineStr">
        <is>
          <t>INDIRECTO</t>
        </is>
      </c>
      <c r="N1070" t="inlineStr">
        <is>
          <t>CANAL INDIRECTO</t>
        </is>
      </c>
    </row>
    <row r="1071">
      <c r="A1071" t="inlineStr">
        <is>
          <t>19/10/2026</t>
        </is>
      </c>
      <c r="B1071" t="inlineStr">
        <is>
          <t>2026-08502</t>
        </is>
      </c>
      <c r="C1071" t="inlineStr">
        <is>
          <t>163140_02</t>
        </is>
      </c>
      <c r="D1071" t="inlineStr">
        <is>
          <t>163140</t>
        </is>
      </c>
      <c r="E1071" t="inlineStr">
        <is>
          <t>HALFSIM TIGO CHIP PREPAGO $3 WP NUMERADO</t>
        </is>
      </c>
      <c r="F1071" t="n">
        <v>3000</v>
      </c>
      <c r="G1071" t="n">
        <v>2070</v>
      </c>
      <c r="H1071" t="inlineStr">
        <is>
          <t>0.69</t>
        </is>
      </c>
      <c r="J1071" t="inlineStr">
        <is>
          <t>MOVIPHONE AZUAY_GALO PALLAROSO</t>
        </is>
      </c>
      <c r="K1071" t="inlineStr">
        <is>
          <t>0391007160001</t>
        </is>
      </c>
      <c r="M1071" t="inlineStr">
        <is>
          <t>INDIRECTO</t>
        </is>
      </c>
      <c r="N1071" t="inlineStr">
        <is>
          <t>CANAL INDIRECTO</t>
        </is>
      </c>
    </row>
    <row r="1072">
      <c r="A1072" t="inlineStr">
        <is>
          <t>19/10/2026</t>
        </is>
      </c>
      <c r="B1072" t="inlineStr">
        <is>
          <t>2026-08503</t>
        </is>
      </c>
      <c r="C1072" t="inlineStr">
        <is>
          <t>163140_02</t>
        </is>
      </c>
      <c r="D1072" t="inlineStr">
        <is>
          <t>163140</t>
        </is>
      </c>
      <c r="E1072" t="inlineStr">
        <is>
          <t>HALFSIM TIGO CHIP PREPAGO $3 WP NUMERADO</t>
        </is>
      </c>
      <c r="F1072" t="n">
        <v>3000</v>
      </c>
      <c r="G1072" t="n">
        <v>2070</v>
      </c>
      <c r="H1072" t="inlineStr">
        <is>
          <t>0.69</t>
        </is>
      </c>
      <c r="J1072" t="inlineStr">
        <is>
          <t>ECUATECHNOLOGIES COTOPAXI ZONIFICADOS_JESSICA BALSECA</t>
        </is>
      </c>
      <c r="K1072" t="inlineStr">
        <is>
          <t>1791415728001</t>
        </is>
      </c>
      <c r="M1072" t="inlineStr">
        <is>
          <t>INDIRECTO</t>
        </is>
      </c>
      <c r="N1072" t="inlineStr">
        <is>
          <t>CANAL INDIRECTO</t>
        </is>
      </c>
    </row>
    <row r="1073">
      <c r="A1073" t="inlineStr">
        <is>
          <t>19/10/2026</t>
        </is>
      </c>
      <c r="B1073" t="inlineStr">
        <is>
          <t>16505906</t>
        </is>
      </c>
      <c r="C1073" t="inlineStr">
        <is>
          <t>163140</t>
        </is>
      </c>
      <c r="D1073" t="inlineStr">
        <is>
          <t>163140</t>
        </is>
      </c>
      <c r="E1073" t="inlineStr">
        <is>
          <t>HALFSIM TIGO</t>
        </is>
      </c>
      <c r="F1073" t="n">
        <v>1</v>
      </c>
      <c r="G1073" t="n">
        <v>0.69</v>
      </c>
      <c r="H1073" t="inlineStr">
        <is>
          <t>0.69</t>
        </is>
      </c>
      <c r="J1073" t="inlineStr">
        <is>
          <t>CALDERON REYES LUIS ARTURO_CALDERON REYES LUIS ARTURO</t>
        </is>
      </c>
      <c r="K1073" t="inlineStr">
        <is>
          <t>1002793642001</t>
        </is>
      </c>
      <c r="M1073" t="inlineStr">
        <is>
          <t>BTB</t>
        </is>
      </c>
      <c r="N1073" t="inlineStr">
        <is>
          <t>CANAL DIRECTO</t>
        </is>
      </c>
    </row>
    <row r="1074">
      <c r="A1074" t="inlineStr">
        <is>
          <t>19/10/2026</t>
        </is>
      </c>
      <c r="B1074" t="inlineStr">
        <is>
          <t>16505906</t>
        </is>
      </c>
      <c r="C1074" t="inlineStr">
        <is>
          <t>163140</t>
        </is>
      </c>
      <c r="D1074" t="inlineStr">
        <is>
          <t>163140</t>
        </is>
      </c>
      <c r="E1074" t="inlineStr">
        <is>
          <t>HALFSIM TIGO</t>
        </is>
      </c>
      <c r="F1074" t="n">
        <v>1</v>
      </c>
      <c r="G1074" t="n">
        <v>0.69</v>
      </c>
      <c r="H1074" t="inlineStr">
        <is>
          <t>0.69</t>
        </is>
      </c>
      <c r="J1074" t="inlineStr">
        <is>
          <t>CALDERON REYES LUIS ARTURO_CALDERON REYES LUIS ARTURO</t>
        </is>
      </c>
      <c r="K1074" t="inlineStr">
        <is>
          <t>1002793642001</t>
        </is>
      </c>
      <c r="M1074" t="inlineStr">
        <is>
          <t>BTB</t>
        </is>
      </c>
      <c r="N1074" t="inlineStr">
        <is>
          <t>CANAL DIRECTO</t>
        </is>
      </c>
    </row>
    <row r="1075">
      <c r="A1075" t="inlineStr">
        <is>
          <t>19/10/2026</t>
        </is>
      </c>
      <c r="B1075" t="inlineStr">
        <is>
          <t>16505908</t>
        </is>
      </c>
      <c r="C1075" t="inlineStr">
        <is>
          <t>163140</t>
        </is>
      </c>
      <c r="D1075" t="inlineStr">
        <is>
          <t>163140</t>
        </is>
      </c>
      <c r="E1075" t="inlineStr">
        <is>
          <t>HALFSIM TIGO</t>
        </is>
      </c>
      <c r="F1075" t="n">
        <v>1</v>
      </c>
      <c r="G1075" t="n">
        <v>0.69</v>
      </c>
      <c r="H1075" t="inlineStr">
        <is>
          <t>0.69</t>
        </is>
      </c>
      <c r="J1075" t="inlineStr">
        <is>
          <t>IPIALES TERAN FRANCISCO JAVIER_IPIALES TERAN FRANCISCO JAVIER</t>
        </is>
      </c>
      <c r="K1075" t="inlineStr">
        <is>
          <t>1002352597001</t>
        </is>
      </c>
      <c r="M1075" t="inlineStr">
        <is>
          <t>BTB</t>
        </is>
      </c>
      <c r="N1075" t="inlineStr">
        <is>
          <t>CANAL DIRECTO</t>
        </is>
      </c>
    </row>
    <row r="1076">
      <c r="A1076" t="inlineStr">
        <is>
          <t>19/10/2026</t>
        </is>
      </c>
      <c r="B1076" t="inlineStr">
        <is>
          <t>16505917</t>
        </is>
      </c>
      <c r="C1076" t="inlineStr">
        <is>
          <t>163140</t>
        </is>
      </c>
      <c r="D1076" t="inlineStr">
        <is>
          <t>163140</t>
        </is>
      </c>
      <c r="E1076" t="inlineStr">
        <is>
          <t>HALFSIM TIGO</t>
        </is>
      </c>
      <c r="F1076" t="n">
        <v>1</v>
      </c>
      <c r="G1076" t="n">
        <v>0.69</v>
      </c>
      <c r="H1076" t="inlineStr">
        <is>
          <t>0.69</t>
        </is>
      </c>
      <c r="J1076" t="inlineStr">
        <is>
          <t>MOLINA CHAVEZ DISNEY ISMAEL_MOLINA CHAVEZ DISNEY ISMAEL</t>
        </is>
      </c>
      <c r="K1076" t="inlineStr">
        <is>
          <t>1315988046001</t>
        </is>
      </c>
      <c r="M1076" t="inlineStr">
        <is>
          <t>BTB</t>
        </is>
      </c>
      <c r="N1076" t="inlineStr">
        <is>
          <t>CANAL DIRECTO</t>
        </is>
      </c>
    </row>
    <row r="1077">
      <c r="A1077" t="inlineStr">
        <is>
          <t>19/10/2026</t>
        </is>
      </c>
      <c r="B1077" t="inlineStr">
        <is>
          <t>16505929</t>
        </is>
      </c>
      <c r="C1077" t="inlineStr">
        <is>
          <t>163140</t>
        </is>
      </c>
      <c r="D1077" t="inlineStr">
        <is>
          <t>163140</t>
        </is>
      </c>
      <c r="E1077" t="inlineStr">
        <is>
          <t>HALFSIM TIGO</t>
        </is>
      </c>
      <c r="F1077" t="n">
        <v>1</v>
      </c>
      <c r="G1077" t="n">
        <v>0.69</v>
      </c>
      <c r="H1077" t="inlineStr">
        <is>
          <t>0.69</t>
        </is>
      </c>
      <c r="J1077" t="inlineStr">
        <is>
          <t>TV CABLE SANTA ANA TVCABSA S A _TV CABLE SANTA ANA TVCABSA S A</t>
        </is>
      </c>
      <c r="K1077" t="inlineStr">
        <is>
          <t>1391827164001</t>
        </is>
      </c>
      <c r="M1077" t="inlineStr">
        <is>
          <t>BTB</t>
        </is>
      </c>
      <c r="N1077" t="inlineStr">
        <is>
          <t>CANAL DIRECTO</t>
        </is>
      </c>
    </row>
    <row r="1078">
      <c r="A1078" t="inlineStr">
        <is>
          <t>19/10/2026</t>
        </is>
      </c>
      <c r="B1078" t="inlineStr">
        <is>
          <t>16505931</t>
        </is>
      </c>
      <c r="C1078" t="inlineStr">
        <is>
          <t>163140</t>
        </is>
      </c>
      <c r="D1078" t="inlineStr">
        <is>
          <t>163140</t>
        </is>
      </c>
      <c r="E1078" t="inlineStr">
        <is>
          <t>HALFSIM TIGO</t>
        </is>
      </c>
      <c r="F1078" t="n">
        <v>1</v>
      </c>
      <c r="G1078" t="n">
        <v>0.69</v>
      </c>
      <c r="H1078" t="inlineStr">
        <is>
          <t>0.69</t>
        </is>
      </c>
      <c r="J1078" t="inlineStr">
        <is>
          <t>ING JESSICA TERAN_COMITE DE EMPRESA DE TRABAJADORES DE LA EMPRESA ELECTRICA REGIONAL NORTE SA</t>
        </is>
      </c>
      <c r="K1078" t="inlineStr">
        <is>
          <t>1091721070001</t>
        </is>
      </c>
      <c r="M1078" t="inlineStr">
        <is>
          <t>BTB</t>
        </is>
      </c>
      <c r="N1078" t="inlineStr">
        <is>
          <t>CANAL DIRECTO</t>
        </is>
      </c>
    </row>
    <row r="1079">
      <c r="A1079" t="inlineStr">
        <is>
          <t>19/10/2026</t>
        </is>
      </c>
      <c r="B1079" t="inlineStr">
        <is>
          <t>16505932</t>
        </is>
      </c>
      <c r="C1079" t="inlineStr">
        <is>
          <t>163140</t>
        </is>
      </c>
      <c r="D1079" t="inlineStr">
        <is>
          <t>163140</t>
        </is>
      </c>
      <c r="E1079" t="inlineStr">
        <is>
          <t>HALFSIM TIGO</t>
        </is>
      </c>
      <c r="F1079" t="n">
        <v>1</v>
      </c>
      <c r="G1079" t="n">
        <v>0.69</v>
      </c>
      <c r="H1079" t="inlineStr">
        <is>
          <t>0.69</t>
        </is>
      </c>
      <c r="J1079" t="inlineStr">
        <is>
          <t>TADAY MOSQUERA ORLANDO VLADIMIR_TADAY MOSQUERA ORLANDO VLADIMIR</t>
        </is>
      </c>
      <c r="K1079" t="inlineStr">
        <is>
          <t>1717814733001</t>
        </is>
      </c>
      <c r="M1079" t="inlineStr">
        <is>
          <t>BTB</t>
        </is>
      </c>
      <c r="N1079" t="inlineStr">
        <is>
          <t>CANAL DIRECTO</t>
        </is>
      </c>
    </row>
    <row r="1080">
      <c r="A1080" t="inlineStr">
        <is>
          <t>19/10/2026</t>
        </is>
      </c>
      <c r="B1080" t="inlineStr">
        <is>
          <t>16505933</t>
        </is>
      </c>
      <c r="C1080" t="inlineStr">
        <is>
          <t>163140</t>
        </is>
      </c>
      <c r="D1080" t="inlineStr">
        <is>
          <t>163140</t>
        </is>
      </c>
      <c r="E1080" t="inlineStr">
        <is>
          <t>HALFSIM TIGO</t>
        </is>
      </c>
      <c r="F1080" t="n">
        <v>1</v>
      </c>
      <c r="G1080" t="n">
        <v>0.69</v>
      </c>
      <c r="H1080" t="inlineStr">
        <is>
          <t>0.69</t>
        </is>
      </c>
      <c r="J1080" t="inlineStr">
        <is>
          <t>PRO COMUNICACION Y ESTRATEGIA PRISPAT S A S _PRO COMUNICACION Y ESTRATEGIA PRISPAT S A S</t>
        </is>
      </c>
      <c r="K1080" t="inlineStr">
        <is>
          <t>1793235231001</t>
        </is>
      </c>
      <c r="M1080" t="inlineStr">
        <is>
          <t>BTB</t>
        </is>
      </c>
      <c r="N1080" t="inlineStr">
        <is>
          <t>CANAL DIRECTO</t>
        </is>
      </c>
    </row>
    <row r="1081">
      <c r="A1081" t="inlineStr">
        <is>
          <t>19/10/2026</t>
        </is>
      </c>
      <c r="B1081" t="inlineStr">
        <is>
          <t>16505934</t>
        </is>
      </c>
      <c r="C1081" t="inlineStr">
        <is>
          <t>163140</t>
        </is>
      </c>
      <c r="D1081" t="inlineStr">
        <is>
          <t>163140</t>
        </is>
      </c>
      <c r="E1081" t="inlineStr">
        <is>
          <t>HALFSIM TIGO</t>
        </is>
      </c>
      <c r="F1081" t="n">
        <v>1</v>
      </c>
      <c r="G1081" t="n">
        <v>0.69</v>
      </c>
      <c r="H1081" t="inlineStr">
        <is>
          <t>0.69</t>
        </is>
      </c>
      <c r="J1081" t="inlineStr">
        <is>
          <t>LAZO CRUZ SANTIAGO JOSE_LAZO CRUZ SANTIAGO JOSE</t>
        </is>
      </c>
      <c r="K1081" t="inlineStr">
        <is>
          <t>1708971187001</t>
        </is>
      </c>
      <c r="M1081" t="inlineStr">
        <is>
          <t>BTB</t>
        </is>
      </c>
      <c r="N1081" t="inlineStr">
        <is>
          <t>CANAL DIRECTO</t>
        </is>
      </c>
    </row>
    <row r="1082">
      <c r="A1082" t="inlineStr">
        <is>
          <t>19/10/2026</t>
        </is>
      </c>
      <c r="B1082" t="inlineStr">
        <is>
          <t>16505935</t>
        </is>
      </c>
      <c r="C1082" t="inlineStr">
        <is>
          <t>163140</t>
        </is>
      </c>
      <c r="D1082" t="inlineStr">
        <is>
          <t>163140</t>
        </is>
      </c>
      <c r="E1082" t="inlineStr">
        <is>
          <t>HALFSIM TIGO</t>
        </is>
      </c>
      <c r="F1082" t="n">
        <v>1</v>
      </c>
      <c r="G1082" t="n">
        <v>0.69</v>
      </c>
      <c r="H1082" t="inlineStr">
        <is>
          <t>0.69</t>
        </is>
      </c>
      <c r="J1082" t="inlineStr">
        <is>
          <t>JARA GARZON JUAN FRANCISCO_JARA GARZON JUAN FRANCISCO</t>
        </is>
      </c>
      <c r="K1082" t="inlineStr">
        <is>
          <t>0502055338001</t>
        </is>
      </c>
      <c r="M1082" t="inlineStr">
        <is>
          <t>BTB</t>
        </is>
      </c>
      <c r="N1082" t="inlineStr">
        <is>
          <t>CANAL DIRECTO</t>
        </is>
      </c>
    </row>
    <row r="1083">
      <c r="A1083" t="inlineStr">
        <is>
          <t>19/10/2026</t>
        </is>
      </c>
      <c r="B1083" t="inlineStr">
        <is>
          <t>16505935</t>
        </is>
      </c>
      <c r="C1083" t="inlineStr">
        <is>
          <t>163140</t>
        </is>
      </c>
      <c r="D1083" t="inlineStr">
        <is>
          <t>163140</t>
        </is>
      </c>
      <c r="E1083" t="inlineStr">
        <is>
          <t>HALFSIM TIGO</t>
        </is>
      </c>
      <c r="F1083" t="n">
        <v>1</v>
      </c>
      <c r="G1083" t="n">
        <v>0.69</v>
      </c>
      <c r="H1083" t="inlineStr">
        <is>
          <t>0.69</t>
        </is>
      </c>
      <c r="J1083" t="inlineStr">
        <is>
          <t>JARA GARZON JUAN FRANCISCO_JARA GARZON JUAN FRANCISCO</t>
        </is>
      </c>
      <c r="K1083" t="inlineStr">
        <is>
          <t>0502055338001</t>
        </is>
      </c>
      <c r="M1083" t="inlineStr">
        <is>
          <t>BTB</t>
        </is>
      </c>
      <c r="N1083" t="inlineStr">
        <is>
          <t>CANAL DIRECTO</t>
        </is>
      </c>
    </row>
    <row r="1084">
      <c r="A1084" t="inlineStr">
        <is>
          <t>19/10/2026</t>
        </is>
      </c>
      <c r="B1084" t="inlineStr">
        <is>
          <t>16505936</t>
        </is>
      </c>
      <c r="C1084" t="inlineStr">
        <is>
          <t>163140</t>
        </is>
      </c>
      <c r="D1084" t="inlineStr">
        <is>
          <t>163140</t>
        </is>
      </c>
      <c r="E1084" t="inlineStr">
        <is>
          <t>HALFSIM TIGO</t>
        </is>
      </c>
      <c r="F1084" t="n">
        <v>1</v>
      </c>
      <c r="G1084" t="n">
        <v>0.69</v>
      </c>
      <c r="H1084" t="inlineStr">
        <is>
          <t>0.69</t>
        </is>
      </c>
      <c r="J1084" t="inlineStr">
        <is>
          <t>VELEZ CORTES ANTONIO LEONARDO_VELEZ CORTES ANTONIO LEONARDO</t>
        </is>
      </c>
      <c r="K1084" t="inlineStr">
        <is>
          <t>0925009227001</t>
        </is>
      </c>
      <c r="M1084" t="inlineStr">
        <is>
          <t>BTB</t>
        </is>
      </c>
      <c r="N1084" t="inlineStr">
        <is>
          <t>CANAL DIRECTO</t>
        </is>
      </c>
    </row>
    <row r="1085">
      <c r="A1085" t="inlineStr">
        <is>
          <t>19/10/2026</t>
        </is>
      </c>
      <c r="B1085" t="inlineStr">
        <is>
          <t>16505937</t>
        </is>
      </c>
      <c r="C1085" t="inlineStr">
        <is>
          <t>163140</t>
        </is>
      </c>
      <c r="D1085" t="inlineStr">
        <is>
          <t>163140</t>
        </is>
      </c>
      <c r="E1085" t="inlineStr">
        <is>
          <t>HALFSIM TIGO</t>
        </is>
      </c>
      <c r="F1085" t="n">
        <v>2</v>
      </c>
      <c r="G1085" t="n">
        <v>1.38</v>
      </c>
      <c r="H1085" t="inlineStr">
        <is>
          <t>0.69</t>
        </is>
      </c>
      <c r="J1085" t="inlineStr">
        <is>
          <t>SANDY ROMAN FEIJOO_PLASTICOS RIVAL CIA LTDA</t>
        </is>
      </c>
      <c r="K1085" t="inlineStr">
        <is>
          <t>0190050033001</t>
        </is>
      </c>
      <c r="M1085" t="inlineStr">
        <is>
          <t>BTB</t>
        </is>
      </c>
      <c r="N1085" t="inlineStr">
        <is>
          <t>CANAL DIRECTO</t>
        </is>
      </c>
    </row>
    <row r="1086">
      <c r="A1086" t="inlineStr">
        <is>
          <t>19/10/2026</t>
        </is>
      </c>
      <c r="B1086" t="inlineStr">
        <is>
          <t>16505939</t>
        </is>
      </c>
      <c r="C1086" t="inlineStr">
        <is>
          <t>163140</t>
        </is>
      </c>
      <c r="D1086" t="inlineStr">
        <is>
          <t>163140</t>
        </is>
      </c>
      <c r="E1086" t="inlineStr">
        <is>
          <t>HALFSIM TIGO</t>
        </is>
      </c>
      <c r="F1086" t="n">
        <v>1</v>
      </c>
      <c r="G1086" t="n">
        <v>0.69</v>
      </c>
      <c r="H1086" t="inlineStr">
        <is>
          <t>0.69</t>
        </is>
      </c>
      <c r="J1086" t="inlineStr">
        <is>
          <t>RIAN LUCIA CAIZA MASAPANTA_ INVEDELCA S A</t>
        </is>
      </c>
      <c r="K1086" t="inlineStr">
        <is>
          <t>1790429016001</t>
        </is>
      </c>
      <c r="M1086" t="inlineStr">
        <is>
          <t>BTB</t>
        </is>
      </c>
      <c r="N1086" t="inlineStr">
        <is>
          <t>CANAL DIRECTO</t>
        </is>
      </c>
    </row>
    <row r="1087">
      <c r="A1087" t="inlineStr">
        <is>
          <t>19/10/2026</t>
        </is>
      </c>
      <c r="B1087" t="inlineStr">
        <is>
          <t>16505940</t>
        </is>
      </c>
      <c r="C1087" t="inlineStr">
        <is>
          <t>163140</t>
        </is>
      </c>
      <c r="D1087" t="inlineStr">
        <is>
          <t>163140</t>
        </is>
      </c>
      <c r="E1087" t="inlineStr">
        <is>
          <t>HALFSIM TIGO</t>
        </is>
      </c>
      <c r="F1087" t="n">
        <v>1</v>
      </c>
      <c r="G1087" t="n">
        <v>0.69</v>
      </c>
      <c r="H1087" t="inlineStr">
        <is>
          <t>0.69</t>
        </is>
      </c>
      <c r="J1087" t="inlineStr">
        <is>
          <t>CEDENO INTRIAGO LIMBER MIGUEL_CEDENO INTRIAGO LIMBER MIGUEL</t>
        </is>
      </c>
      <c r="K1087" t="inlineStr">
        <is>
          <t>1304653296001</t>
        </is>
      </c>
      <c r="M1087" t="inlineStr">
        <is>
          <t>BTB</t>
        </is>
      </c>
      <c r="N1087" t="inlineStr">
        <is>
          <t>CANAL DIRECTO</t>
        </is>
      </c>
    </row>
    <row r="1088">
      <c r="A1088" t="inlineStr">
        <is>
          <t>19/10/2026</t>
        </is>
      </c>
      <c r="B1088" t="inlineStr">
        <is>
          <t>16505941</t>
        </is>
      </c>
      <c r="C1088" t="inlineStr">
        <is>
          <t>163140</t>
        </is>
      </c>
      <c r="D1088" t="inlineStr">
        <is>
          <t>163140</t>
        </is>
      </c>
      <c r="E1088" t="inlineStr">
        <is>
          <t>HALFSIM TIGO</t>
        </is>
      </c>
      <c r="F1088" t="n">
        <v>1</v>
      </c>
      <c r="G1088" t="n">
        <v>0.69</v>
      </c>
      <c r="H1088" t="inlineStr">
        <is>
          <t>0.69</t>
        </is>
      </c>
      <c r="J1088" t="inlineStr">
        <is>
          <t>ZAMBRANO TORAL PITER FRAWEN_ZAMBRANO TORAL PITER FRAWEN</t>
        </is>
      </c>
      <c r="K1088" t="inlineStr">
        <is>
          <t>1716344088001</t>
        </is>
      </c>
      <c r="M1088" t="inlineStr">
        <is>
          <t>BTB</t>
        </is>
      </c>
      <c r="N1088" t="inlineStr">
        <is>
          <t>CANAL DIRECTO</t>
        </is>
      </c>
    </row>
    <row r="1089">
      <c r="A1089" t="inlineStr">
        <is>
          <t>19/10/2026</t>
        </is>
      </c>
      <c r="B1089" t="inlineStr">
        <is>
          <t>16505942</t>
        </is>
      </c>
      <c r="C1089" t="inlineStr">
        <is>
          <t>163140</t>
        </is>
      </c>
      <c r="D1089" t="inlineStr">
        <is>
          <t>163140</t>
        </is>
      </c>
      <c r="E1089" t="inlineStr">
        <is>
          <t>HALFSIM TIGO</t>
        </is>
      </c>
      <c r="F1089" t="n">
        <v>86</v>
      </c>
      <c r="G1089" t="n">
        <v>59.339999999999996</v>
      </c>
      <c r="H1089" t="inlineStr">
        <is>
          <t>0.69</t>
        </is>
      </c>
      <c r="J1089" t="inlineStr">
        <is>
          <t>DIANA GUALOTUNA_ONETELECOM</t>
        </is>
      </c>
      <c r="K1089" t="inlineStr">
        <is>
          <t>2390018293001</t>
        </is>
      </c>
      <c r="M1089" t="inlineStr">
        <is>
          <t>BTB</t>
        </is>
      </c>
      <c r="N1089" t="inlineStr">
        <is>
          <t>CANAL DIRECTO</t>
        </is>
      </c>
    </row>
    <row r="1090">
      <c r="A1090" t="inlineStr">
        <is>
          <t>19/10/2026</t>
        </is>
      </c>
      <c r="B1090" t="inlineStr">
        <is>
          <t>16506032</t>
        </is>
      </c>
      <c r="C1090" t="inlineStr">
        <is>
          <t>163140</t>
        </is>
      </c>
      <c r="D1090" t="inlineStr">
        <is>
          <t>163140</t>
        </is>
      </c>
      <c r="E1090" t="inlineStr">
        <is>
          <t>HALFSIM TIGO</t>
        </is>
      </c>
      <c r="F1090" t="n">
        <v>1</v>
      </c>
      <c r="G1090" t="n">
        <v>0.69</v>
      </c>
      <c r="H1090" t="inlineStr">
        <is>
          <t>0.69</t>
        </is>
      </c>
      <c r="J1090" t="inlineStr">
        <is>
          <t>BASURTO BAJANA JOSE LUIS_BASURTO BAJANA JOSE LUIS</t>
        </is>
      </c>
      <c r="K1090" t="inlineStr">
        <is>
          <t>0923417257001</t>
        </is>
      </c>
      <c r="M1090" t="inlineStr">
        <is>
          <t>BTB</t>
        </is>
      </c>
      <c r="N1090" t="inlineStr">
        <is>
          <t>CANAL DIRECTO</t>
        </is>
      </c>
    </row>
    <row r="1091">
      <c r="A1091" t="inlineStr">
        <is>
          <t>19/10/2026</t>
        </is>
      </c>
      <c r="B1091" t="inlineStr">
        <is>
          <t>16506033</t>
        </is>
      </c>
      <c r="C1091" t="inlineStr">
        <is>
          <t>163140</t>
        </is>
      </c>
      <c r="D1091" t="inlineStr">
        <is>
          <t>163140</t>
        </is>
      </c>
      <c r="E1091" t="inlineStr">
        <is>
          <t>HALFSIM TIGO</t>
        </is>
      </c>
      <c r="F1091" t="n">
        <v>1</v>
      </c>
      <c r="G1091" t="n">
        <v>0.69</v>
      </c>
      <c r="H1091" t="inlineStr">
        <is>
          <t>0.69</t>
        </is>
      </c>
      <c r="J1091" t="inlineStr">
        <is>
          <t>PERAZA ARIAS DANIELA_PERAZA ARIAS DANIELA</t>
        </is>
      </c>
      <c r="K1091" t="inlineStr">
        <is>
          <t>0962795381001</t>
        </is>
      </c>
      <c r="M1091" t="inlineStr">
        <is>
          <t>BTB</t>
        </is>
      </c>
      <c r="N1091" t="inlineStr">
        <is>
          <t>CANAL DIRECTO</t>
        </is>
      </c>
    </row>
    <row r="1092">
      <c r="A1092" t="inlineStr">
        <is>
          <t>19/10/2026</t>
        </is>
      </c>
      <c r="B1092" t="inlineStr">
        <is>
          <t>16506034</t>
        </is>
      </c>
      <c r="C1092" t="inlineStr">
        <is>
          <t>163140</t>
        </is>
      </c>
      <c r="D1092" t="inlineStr">
        <is>
          <t>163140</t>
        </is>
      </c>
      <c r="E1092" t="inlineStr">
        <is>
          <t>HALFSIM TIGO</t>
        </is>
      </c>
      <c r="F1092" t="n">
        <v>1</v>
      </c>
      <c r="G1092" t="n">
        <v>0.69</v>
      </c>
      <c r="H1092" t="inlineStr">
        <is>
          <t>0.69</t>
        </is>
      </c>
      <c r="J1092" t="inlineStr">
        <is>
          <t>ILLESCAS AYAVACA EDGAR PATRICIO_ILLESCAS AYAVACA EDGAR PATRICIO</t>
        </is>
      </c>
      <c r="K1092" t="inlineStr">
        <is>
          <t>0104522057001</t>
        </is>
      </c>
      <c r="M1092" t="inlineStr">
        <is>
          <t>BTB</t>
        </is>
      </c>
      <c r="N1092" t="inlineStr">
        <is>
          <t>CANAL DIRECTO</t>
        </is>
      </c>
    </row>
    <row r="1093">
      <c r="A1093" t="inlineStr">
        <is>
          <t>19/10/2026</t>
        </is>
      </c>
      <c r="B1093" t="inlineStr">
        <is>
          <t>2026-08504</t>
        </is>
      </c>
      <c r="C1093" t="inlineStr">
        <is>
          <t>163140</t>
        </is>
      </c>
      <c r="D1093" t="inlineStr">
        <is>
          <t>163140</t>
        </is>
      </c>
      <c r="E1093" t="inlineStr">
        <is>
          <t>HALFSIM TIGO</t>
        </is>
      </c>
      <c r="F1093" t="n">
        <v>200</v>
      </c>
      <c r="G1093" t="n">
        <v>138</v>
      </c>
      <c r="H1093" t="inlineStr">
        <is>
          <t>0.69</t>
        </is>
      </c>
      <c r="J1093" t="inlineStr">
        <is>
          <t>AE CORPORATIVO ROMERO RYRTECH (MALL DEL SUR)_ELIZABETH SALAGATA</t>
        </is>
      </c>
      <c r="K1093" t="inlineStr">
        <is>
          <t>0915962609</t>
        </is>
      </c>
      <c r="M1093" t="inlineStr">
        <is>
          <t>INDIRECTO</t>
        </is>
      </c>
      <c r="N1093" t="inlineStr">
        <is>
          <t>CANAL INDIRECTO</t>
        </is>
      </c>
    </row>
    <row r="1094">
      <c r="A1094" t="inlineStr">
        <is>
          <t>19/10/2026</t>
        </is>
      </c>
      <c r="B1094" t="inlineStr">
        <is>
          <t>2026-08505</t>
        </is>
      </c>
      <c r="C1094" t="inlineStr">
        <is>
          <t>163140_02</t>
        </is>
      </c>
      <c r="D1094" t="inlineStr">
        <is>
          <t>163140</t>
        </is>
      </c>
      <c r="E1094" t="inlineStr">
        <is>
          <t>HALFSIM TIGO CHIP PREPAGO $3 WP NUMERADO</t>
        </is>
      </c>
      <c r="F1094" t="n">
        <v>16800</v>
      </c>
      <c r="G1094" t="n">
        <v>11592</v>
      </c>
      <c r="H1094" t="inlineStr">
        <is>
          <t>0.69</t>
        </is>
      </c>
      <c r="J1094" t="inlineStr">
        <is>
          <t>NORPHONE ZONIFICACION PICHINCHA _FERNANDO BONILLA</t>
        </is>
      </c>
      <c r="K1094" t="inlineStr">
        <is>
          <t>1091717898001</t>
        </is>
      </c>
      <c r="M1094" t="inlineStr">
        <is>
          <t>INDIRECTO</t>
        </is>
      </c>
      <c r="N1094" t="inlineStr">
        <is>
          <t>CANAL INDIRECTO</t>
        </is>
      </c>
    </row>
    <row r="1095">
      <c r="A1095" t="inlineStr">
        <is>
          <t>19/10/2026</t>
        </is>
      </c>
      <c r="B1095" t="inlineStr">
        <is>
          <t>2026-08506</t>
        </is>
      </c>
      <c r="C1095" t="inlineStr">
        <is>
          <t>163140_02</t>
        </is>
      </c>
      <c r="D1095" t="inlineStr">
        <is>
          <t>163140</t>
        </is>
      </c>
      <c r="E1095" t="inlineStr">
        <is>
          <t>HALFSIM TIGO CHIP PREPAGO $3 WP NUMERADO</t>
        </is>
      </c>
      <c r="F1095" t="n">
        <v>1000</v>
      </c>
      <c r="G1095" t="n">
        <v>690</v>
      </c>
      <c r="H1095" t="inlineStr">
        <is>
          <t>0.69</t>
        </is>
      </c>
      <c r="J1095" t="inlineStr">
        <is>
          <t>NORPHONE ZONIFICACION CARCHI 2_CARLOS JOSE CAMPOVERDE BERRU</t>
        </is>
      </c>
      <c r="K1095" t="inlineStr">
        <is>
          <t>1001472958</t>
        </is>
      </c>
      <c r="M1095" t="inlineStr">
        <is>
          <t>INDIRECTO</t>
        </is>
      </c>
      <c r="N1095" t="inlineStr">
        <is>
          <t>CANAL INDIRECTO</t>
        </is>
      </c>
    </row>
    <row r="1096">
      <c r="A1096" t="inlineStr">
        <is>
          <t>19/10/2026</t>
        </is>
      </c>
      <c r="B1096" t="inlineStr">
        <is>
          <t>2026-08507</t>
        </is>
      </c>
      <c r="C1096" t="inlineStr">
        <is>
          <t>163140_02</t>
        </is>
      </c>
      <c r="D1096" t="inlineStr">
        <is>
          <t>163140</t>
        </is>
      </c>
      <c r="E1096" t="inlineStr">
        <is>
          <t>HALFSIM TIGO CHIP PREPAGO $3 WP NUMERADO</t>
        </is>
      </c>
      <c r="F1096" t="n">
        <v>6000</v>
      </c>
      <c r="G1096" t="n">
        <v>4140</v>
      </c>
      <c r="H1096" t="inlineStr">
        <is>
          <t>0.69</t>
        </is>
      </c>
      <c r="J1096" t="inlineStr">
        <is>
          <t>TELECOS ZONIFICADO TUNGURAHUA _NATALY CAROLINA CUJI FAJARDO</t>
        </is>
      </c>
      <c r="K1096" t="inlineStr">
        <is>
          <t>1791415728001</t>
        </is>
      </c>
      <c r="M1096" t="inlineStr">
        <is>
          <t>INDIRECTO</t>
        </is>
      </c>
      <c r="N1096" t="inlineStr">
        <is>
          <t>CANAL INDIRECTO</t>
        </is>
      </c>
    </row>
    <row r="1097">
      <c r="A1097" t="inlineStr">
        <is>
          <t>19/10/2026</t>
        </is>
      </c>
      <c r="B1097" t="inlineStr">
        <is>
          <t>2026-08508</t>
        </is>
      </c>
      <c r="C1097" t="inlineStr">
        <is>
          <t>163140_02</t>
        </is>
      </c>
      <c r="D1097" t="inlineStr">
        <is>
          <t>163140</t>
        </is>
      </c>
      <c r="E1097" t="inlineStr">
        <is>
          <t>HALFSIM TIGO CHIP PREPAGO $3 WP NUMERADO</t>
        </is>
      </c>
      <c r="F1097" t="n">
        <v>3000</v>
      </c>
      <c r="G1097" t="n">
        <v>2070</v>
      </c>
      <c r="H1097" t="inlineStr">
        <is>
          <t>0.69</t>
        </is>
      </c>
      <c r="J1097" t="inlineStr">
        <is>
          <t>ECUATECHNOLOGIES COTOPAXI ZONIFICADOS_JESSICA BALSECA</t>
        </is>
      </c>
      <c r="K1097" t="inlineStr">
        <is>
          <t>1791415728001</t>
        </is>
      </c>
      <c r="M1097" t="inlineStr">
        <is>
          <t>INDIRECTO</t>
        </is>
      </c>
      <c r="N1097" t="inlineStr">
        <is>
          <t>CANAL INDIRECTO</t>
        </is>
      </c>
    </row>
    <row r="1098">
      <c r="A1098" t="inlineStr">
        <is>
          <t>19/10/2026</t>
        </is>
      </c>
      <c r="B1098" t="inlineStr">
        <is>
          <t>2026-08509</t>
        </is>
      </c>
      <c r="C1098" t="inlineStr">
        <is>
          <t>163140_02</t>
        </is>
      </c>
      <c r="D1098" t="inlineStr">
        <is>
          <t>163140</t>
        </is>
      </c>
      <c r="E1098" t="inlineStr">
        <is>
          <t>HALFSIM TIGO CHIP PREPAGO $3 WP NUMERADO</t>
        </is>
      </c>
      <c r="F1098" t="n">
        <v>1000</v>
      </c>
      <c r="G1098" t="n">
        <v>690</v>
      </c>
      <c r="H1098" t="inlineStr">
        <is>
          <t>0.69</t>
        </is>
      </c>
      <c r="J1098" t="inlineStr">
        <is>
          <t>NORPHONE ZONIFICACION IMBABURA _LOURDES BRAVO</t>
        </is>
      </c>
      <c r="K1098" t="inlineStr">
        <is>
          <t>1091717898001</t>
        </is>
      </c>
      <c r="M1098" t="inlineStr">
        <is>
          <t>INDIRECTO</t>
        </is>
      </c>
      <c r="N1098" t="inlineStr">
        <is>
          <t>CANAL INDIRECTO</t>
        </is>
      </c>
    </row>
    <row r="1099">
      <c r="A1099" t="inlineStr">
        <is>
          <t>19/10/2026</t>
        </is>
      </c>
      <c r="B1099" t="inlineStr">
        <is>
          <t>2026-08510</t>
        </is>
      </c>
      <c r="C1099" t="inlineStr">
        <is>
          <t>163140_02</t>
        </is>
      </c>
      <c r="D1099" t="inlineStr">
        <is>
          <t>163140</t>
        </is>
      </c>
      <c r="E1099" t="inlineStr">
        <is>
          <t>HALFSIM TIGO CHIP PREPAGO $3 WP NUMERADO</t>
        </is>
      </c>
      <c r="F1099" t="n">
        <v>3000</v>
      </c>
      <c r="G1099" t="n">
        <v>2070</v>
      </c>
      <c r="H1099" t="inlineStr">
        <is>
          <t>0.69</t>
        </is>
      </c>
      <c r="J1099" t="inlineStr">
        <is>
          <t>TELECOS TUNGURAHUA  PDA_ABIGAIL PEREZ SAILEMA</t>
        </is>
      </c>
      <c r="K1099" t="inlineStr">
        <is>
          <t>0503079535</t>
        </is>
      </c>
      <c r="M1099" t="inlineStr">
        <is>
          <t>INDIRECTO</t>
        </is>
      </c>
      <c r="N1099" t="inlineStr">
        <is>
          <t>CANAL INDIRECTO</t>
        </is>
      </c>
    </row>
    <row r="1100">
      <c r="A1100" t="inlineStr">
        <is>
          <t>19/10/2026</t>
        </is>
      </c>
      <c r="B1100" t="inlineStr">
        <is>
          <t>2026-08511</t>
        </is>
      </c>
      <c r="C1100" t="inlineStr">
        <is>
          <t>163140_02</t>
        </is>
      </c>
      <c r="D1100" t="inlineStr">
        <is>
          <t>163140</t>
        </is>
      </c>
      <c r="E1100" t="inlineStr">
        <is>
          <t>HALFSIM TIGO CHIP PREPAGO $3 WP NUMERADO</t>
        </is>
      </c>
      <c r="F1100" t="n">
        <v>1500</v>
      </c>
      <c r="G1100" t="n">
        <v>1035</v>
      </c>
      <c r="H1100" t="inlineStr">
        <is>
          <t>0.69</t>
        </is>
      </c>
      <c r="J1100" t="inlineStr">
        <is>
          <t>TELECOS COTOPAXI PDA_JOHANNA VANESSA PLAZA MIRANDA</t>
        </is>
      </c>
      <c r="K1100" t="inlineStr">
        <is>
          <t>1720224771</t>
        </is>
      </c>
      <c r="M1100" t="inlineStr">
        <is>
          <t>INDIRECTO</t>
        </is>
      </c>
      <c r="N1100" t="inlineStr">
        <is>
          <t>CANAL INDIRECTO</t>
        </is>
      </c>
    </row>
    <row r="1101">
      <c r="A1101" t="inlineStr">
        <is>
          <t>19/10/2026</t>
        </is>
      </c>
      <c r="B1101" t="inlineStr">
        <is>
          <t>2026-08512</t>
        </is>
      </c>
      <c r="C1101" t="inlineStr">
        <is>
          <t>163140_02</t>
        </is>
      </c>
      <c r="D1101" t="inlineStr">
        <is>
          <t>163140</t>
        </is>
      </c>
      <c r="E1101" t="inlineStr">
        <is>
          <t>HALFSIM TIGO CHIP PREPAGO $3 WP NUMERADO</t>
        </is>
      </c>
      <c r="F1101" t="n">
        <v>2000</v>
      </c>
      <c r="G1101" t="n">
        <v>1380</v>
      </c>
      <c r="H1101" t="inlineStr">
        <is>
          <t>0.69</t>
        </is>
      </c>
      <c r="J1101" t="inlineStr">
        <is>
          <t>TELECOS CHIMBORAZO PDA_DAYSI JANNETH PARRA CHANGO</t>
        </is>
      </c>
      <c r="K1101" t="inlineStr">
        <is>
          <t>0604718841</t>
        </is>
      </c>
      <c r="M1101" t="inlineStr">
        <is>
          <t>INDIRECTO</t>
        </is>
      </c>
      <c r="N1101" t="inlineStr">
        <is>
          <t>CANAL INDIRECTO</t>
        </is>
      </c>
    </row>
    <row r="1102">
      <c r="A1102" t="inlineStr">
        <is>
          <t>19/10/2026</t>
        </is>
      </c>
      <c r="B1102" t="inlineStr">
        <is>
          <t>2026-08513</t>
        </is>
      </c>
      <c r="C1102" t="inlineStr">
        <is>
          <t>163140_02</t>
        </is>
      </c>
      <c r="D1102" t="inlineStr">
        <is>
          <t>163140</t>
        </is>
      </c>
      <c r="E1102" t="inlineStr">
        <is>
          <t>HALFSIM TIGO CHIP PREPAGO $3 WP NUMERADO</t>
        </is>
      </c>
      <c r="F1102" t="n">
        <v>1000</v>
      </c>
      <c r="G1102" t="n">
        <v>690</v>
      </c>
      <c r="H1102" t="inlineStr">
        <is>
          <t>0.69</t>
        </is>
      </c>
      <c r="J1102" t="inlineStr">
        <is>
          <t>TECECAB ZONIFICACION ORIENTE_PAOLA MORETA</t>
        </is>
      </c>
      <c r="K1102" t="inlineStr">
        <is>
          <t>1716278575</t>
        </is>
      </c>
      <c r="M1102" t="inlineStr">
        <is>
          <t>INDIRECTO</t>
        </is>
      </c>
      <c r="N1102" t="inlineStr">
        <is>
          <t>CANAL INDIRECTO</t>
        </is>
      </c>
    </row>
    <row r="1103">
      <c r="A1103" t="inlineStr">
        <is>
          <t>19/10/2026</t>
        </is>
      </c>
      <c r="B1103" t="inlineStr">
        <is>
          <t>2026-08514</t>
        </is>
      </c>
      <c r="C1103" t="inlineStr">
        <is>
          <t>163140_02</t>
        </is>
      </c>
      <c r="D1103" t="inlineStr">
        <is>
          <t>163140</t>
        </is>
      </c>
      <c r="E1103" t="inlineStr">
        <is>
          <t>HALFSIM TIGO CHIP PREPAGO $3 WP NUMERADO</t>
        </is>
      </c>
      <c r="F1103" t="n">
        <v>2000</v>
      </c>
      <c r="G1103" t="n">
        <v>1380</v>
      </c>
      <c r="H1103" t="inlineStr">
        <is>
          <t>0.69</t>
        </is>
      </c>
      <c r="J1103" t="inlineStr">
        <is>
          <t>TELECOS RIOBAMBA_ALEJANDRO CACERES / DAYSI PARRA</t>
        </is>
      </c>
      <c r="K1103" t="inlineStr">
        <is>
          <t>1791415728001</t>
        </is>
      </c>
      <c r="M1103" t="inlineStr">
        <is>
          <t>INDIRECTO</t>
        </is>
      </c>
      <c r="N1103" t="inlineStr">
        <is>
          <t>CANAL INDIRECTO</t>
        </is>
      </c>
    </row>
    <row r="1104">
      <c r="A1104" t="inlineStr">
        <is>
          <t>19/10/2026</t>
        </is>
      </c>
      <c r="B1104" t="inlineStr">
        <is>
          <t>16506049</t>
        </is>
      </c>
      <c r="C1104" t="inlineStr">
        <is>
          <t>163140</t>
        </is>
      </c>
      <c r="D1104" t="inlineStr">
        <is>
          <t>163140</t>
        </is>
      </c>
      <c r="E1104" t="inlineStr">
        <is>
          <t>HALFSIM TIGO</t>
        </is>
      </c>
      <c r="F1104" t="n">
        <v>3</v>
      </c>
      <c r="G1104" t="n">
        <v>2.0699999999999998</v>
      </c>
      <c r="H1104" t="inlineStr">
        <is>
          <t>0.69</t>
        </is>
      </c>
      <c r="J1104" t="inlineStr">
        <is>
          <t>MARIA GABRIELA QUISHPE LOPEZ_PRODUCTORA Y COMERCIALIZADORA GUADAPRODUCTS CIA LT</t>
        </is>
      </c>
      <c r="K1104" t="inlineStr">
        <is>
          <t>1792734797001</t>
        </is>
      </c>
      <c r="M1104" t="inlineStr">
        <is>
          <t>BTB</t>
        </is>
      </c>
      <c r="N1104" t="inlineStr">
        <is>
          <t>CANAL DIRECTO</t>
        </is>
      </c>
    </row>
    <row r="1105">
      <c r="A1105" t="inlineStr">
        <is>
          <t>20/10/2026</t>
        </is>
      </c>
      <c r="B1105" t="inlineStr">
        <is>
          <t>16503720</t>
        </is>
      </c>
      <c r="C1105" t="inlineStr">
        <is>
          <t>163140</t>
        </is>
      </c>
      <c r="D1105" t="inlineStr">
        <is>
          <t>163140</t>
        </is>
      </c>
      <c r="E1105" t="inlineStr">
        <is>
          <t>HALFSIM TIGO</t>
        </is>
      </c>
      <c r="F1105" t="n">
        <v>1</v>
      </c>
      <c r="G1105" t="n">
        <v>0.69</v>
      </c>
      <c r="H1105" t="inlineStr">
        <is>
          <t>0.69</t>
        </is>
      </c>
      <c r="J1105" t="inlineStr">
        <is>
          <t>PIZARRO AYO GONZALO_PIZARRO AYO GONZALO</t>
        </is>
      </c>
      <c r="K1105" t="inlineStr">
        <is>
          <t>1704702313001</t>
        </is>
      </c>
      <c r="M1105" t="inlineStr">
        <is>
          <t>BTB</t>
        </is>
      </c>
      <c r="N1105" t="inlineStr">
        <is>
          <t>CANAL DIRECTO</t>
        </is>
      </c>
    </row>
    <row r="1106">
      <c r="A1106" t="inlineStr">
        <is>
          <t>20/10/2026</t>
        </is>
      </c>
      <c r="B1106" t="inlineStr">
        <is>
          <t>16505638</t>
        </is>
      </c>
      <c r="C1106" t="inlineStr">
        <is>
          <t>163140</t>
        </is>
      </c>
      <c r="D1106" t="inlineStr">
        <is>
          <t>163140</t>
        </is>
      </c>
      <c r="E1106" t="inlineStr">
        <is>
          <t>HALFSIM TIGO</t>
        </is>
      </c>
      <c r="F1106" t="n">
        <v>1</v>
      </c>
      <c r="G1106" t="n">
        <v>0.69</v>
      </c>
      <c r="H1106" t="inlineStr">
        <is>
          <t>0.69</t>
        </is>
      </c>
      <c r="J1106" t="inlineStr">
        <is>
          <t>QUILUMBA CIVINTA VIVIANA ELIZABETH_QUILUMBA CIVINTA VIVIANA ELIZABETH</t>
        </is>
      </c>
      <c r="K1106" t="inlineStr">
        <is>
          <t>1719622720001</t>
        </is>
      </c>
      <c r="M1106" t="inlineStr">
        <is>
          <t>BTB</t>
        </is>
      </c>
      <c r="N1106" t="inlineStr">
        <is>
          <t>CANAL DIRECTO</t>
        </is>
      </c>
    </row>
    <row r="1107">
      <c r="A1107" t="inlineStr">
        <is>
          <t>20/10/2026</t>
        </is>
      </c>
      <c r="B1107" t="inlineStr">
        <is>
          <t>16505706</t>
        </is>
      </c>
      <c r="C1107" t="inlineStr">
        <is>
          <t>163140</t>
        </is>
      </c>
      <c r="D1107" t="inlineStr">
        <is>
          <t>163140</t>
        </is>
      </c>
      <c r="E1107" t="inlineStr">
        <is>
          <t>HALFSIM TIGO</t>
        </is>
      </c>
      <c r="F1107" t="n">
        <v>1</v>
      </c>
      <c r="G1107" t="n">
        <v>0.69</v>
      </c>
      <c r="H1107" t="inlineStr">
        <is>
          <t>0.69</t>
        </is>
      </c>
      <c r="J1107" t="inlineStr">
        <is>
          <t>RUIZ REYNA SUANY VIVIANA_RUIZ REYNA SUANY VIVIANA</t>
        </is>
      </c>
      <c r="K1107" t="inlineStr">
        <is>
          <t>0926840679001</t>
        </is>
      </c>
      <c r="M1107" t="inlineStr">
        <is>
          <t>BTB</t>
        </is>
      </c>
      <c r="N1107" t="inlineStr">
        <is>
          <t>CANAL DIRECTO</t>
        </is>
      </c>
    </row>
    <row r="1108">
      <c r="A1108" t="inlineStr">
        <is>
          <t>20/10/2026</t>
        </is>
      </c>
      <c r="B1108" t="inlineStr">
        <is>
          <t>97778152</t>
        </is>
      </c>
      <c r="C1108" t="inlineStr">
        <is>
          <t>163140</t>
        </is>
      </c>
      <c r="D1108" t="inlineStr">
        <is>
          <t>163140</t>
        </is>
      </c>
      <c r="E1108" t="inlineStr">
        <is>
          <t>HALFSIM TIGO</t>
        </is>
      </c>
      <c r="F1108" t="n">
        <v>1</v>
      </c>
      <c r="G1108" t="n">
        <v>0.69</v>
      </c>
      <c r="H1108" t="inlineStr">
        <is>
          <t>0.69</t>
        </is>
      </c>
      <c r="J1108" t="inlineStr">
        <is>
          <t>JEFFERSON ANDRES CHORA QUISPE</t>
        </is>
      </c>
      <c r="K1108" t="inlineStr">
        <is>
          <t>1750227942</t>
        </is>
      </c>
      <c r="L1108" t="inlineStr">
        <is>
          <t>Quito</t>
        </is>
      </c>
      <c r="M1108" t="inlineStr">
        <is>
          <t>Cliente Final</t>
        </is>
      </c>
      <c r="N1108" t="inlineStr">
        <is>
          <t>CANAL INDIRECTO</t>
        </is>
      </c>
    </row>
    <row r="1109">
      <c r="A1109" t="inlineStr">
        <is>
          <t>20/10/2026</t>
        </is>
      </c>
      <c r="B1109" t="inlineStr">
        <is>
          <t>97778408</t>
        </is>
      </c>
      <c r="C1109" t="inlineStr">
        <is>
          <t>163140</t>
        </is>
      </c>
      <c r="D1109" t="inlineStr">
        <is>
          <t>163140</t>
        </is>
      </c>
      <c r="E1109" t="inlineStr">
        <is>
          <t>HALFSIM TIGO</t>
        </is>
      </c>
      <c r="F1109" t="n">
        <v>1</v>
      </c>
      <c r="G1109" t="n">
        <v>0.69</v>
      </c>
      <c r="H1109" t="inlineStr">
        <is>
          <t>0.69</t>
        </is>
      </c>
      <c r="J1109" t="inlineStr">
        <is>
          <t>KAREN OÑA</t>
        </is>
      </c>
      <c r="K1109" t="inlineStr">
        <is>
          <t>2300388382</t>
        </is>
      </c>
      <c r="L1109" t="inlineStr">
        <is>
          <t>Quito</t>
        </is>
      </c>
      <c r="M1109" t="inlineStr">
        <is>
          <t>Cliente Final</t>
        </is>
      </c>
      <c r="N1109" t="inlineStr">
        <is>
          <t>CANAL INDIRECTO</t>
        </is>
      </c>
    </row>
    <row r="1110">
      <c r="A1110" t="inlineStr">
        <is>
          <t>20/10/2026</t>
        </is>
      </c>
      <c r="B1110" t="inlineStr">
        <is>
          <t>97779778</t>
        </is>
      </c>
      <c r="C1110" t="inlineStr">
        <is>
          <t>163140</t>
        </is>
      </c>
      <c r="D1110" t="inlineStr">
        <is>
          <t>163140</t>
        </is>
      </c>
      <c r="E1110" t="inlineStr">
        <is>
          <t>HALFSIM TIGO</t>
        </is>
      </c>
      <c r="F1110" t="n">
        <v>1</v>
      </c>
      <c r="G1110" t="n">
        <v>0.69</v>
      </c>
      <c r="H1110" t="inlineStr">
        <is>
          <t>0.69</t>
        </is>
      </c>
      <c r="J1110" t="inlineStr">
        <is>
          <t>Dario González</t>
        </is>
      </c>
      <c r="K1110" t="inlineStr">
        <is>
          <t>0302613112</t>
        </is>
      </c>
      <c r="L1110" t="inlineStr">
        <is>
          <t>Cuenca</t>
        </is>
      </c>
      <c r="M1110" t="inlineStr">
        <is>
          <t>Cliente Final</t>
        </is>
      </c>
      <c r="N1110" t="inlineStr">
        <is>
          <t>CANAL INDIRECTO</t>
        </is>
      </c>
    </row>
    <row r="1111">
      <c r="A1111" t="inlineStr">
        <is>
          <t>20/10/2026</t>
        </is>
      </c>
      <c r="B1111" t="inlineStr">
        <is>
          <t>16505852</t>
        </is>
      </c>
      <c r="C1111" t="inlineStr">
        <is>
          <t>163140</t>
        </is>
      </c>
      <c r="D1111" t="inlineStr">
        <is>
          <t>163140</t>
        </is>
      </c>
      <c r="E1111" t="inlineStr">
        <is>
          <t>HALFSIM TIGO</t>
        </is>
      </c>
      <c r="F1111" t="n">
        <v>2</v>
      </c>
      <c r="G1111" t="n">
        <v>1.38</v>
      </c>
      <c r="H1111" t="inlineStr">
        <is>
          <t>0.69</t>
        </is>
      </c>
      <c r="J1111" t="inlineStr">
        <is>
          <t>VILLAFUERTE MENDOZA JUAN JOSE_VILLAFUERTE MENDOZA JUAN JOSE</t>
        </is>
      </c>
      <c r="K1111" t="inlineStr">
        <is>
          <t>1313070789001</t>
        </is>
      </c>
      <c r="M1111" t="inlineStr">
        <is>
          <t>BTB</t>
        </is>
      </c>
      <c r="N1111" t="inlineStr">
        <is>
          <t>CANAL DIRECTO</t>
        </is>
      </c>
    </row>
    <row r="1112">
      <c r="A1112" t="inlineStr">
        <is>
          <t>20/10/2026</t>
        </is>
      </c>
      <c r="B1112" t="inlineStr">
        <is>
          <t>16505934</t>
        </is>
      </c>
      <c r="C1112" t="inlineStr">
        <is>
          <t>163140</t>
        </is>
      </c>
      <c r="D1112" t="inlineStr">
        <is>
          <t>163140</t>
        </is>
      </c>
      <c r="E1112" t="inlineStr">
        <is>
          <t>HALFSIM TIGO</t>
        </is>
      </c>
      <c r="F1112" t="n">
        <v>1</v>
      </c>
      <c r="G1112" t="n">
        <v>0.69</v>
      </c>
      <c r="H1112" t="inlineStr">
        <is>
          <t>0.69</t>
        </is>
      </c>
      <c r="J1112" t="inlineStr">
        <is>
          <t>LAZO CRUZ SANTIAGO JOSE_LAZO CRUZ SANTIAGO JOSE</t>
        </is>
      </c>
      <c r="K1112" t="inlineStr">
        <is>
          <t>1708971187001</t>
        </is>
      </c>
      <c r="M1112" t="inlineStr">
        <is>
          <t>BTB</t>
        </is>
      </c>
      <c r="N1112" t="inlineStr">
        <is>
          <t>CANAL DIRECTO</t>
        </is>
      </c>
    </row>
    <row r="1113">
      <c r="A1113" t="inlineStr">
        <is>
          <t>20/10/2026</t>
        </is>
      </c>
      <c r="B1113" t="inlineStr">
        <is>
          <t>16505939</t>
        </is>
      </c>
      <c r="C1113" t="inlineStr">
        <is>
          <t>163140</t>
        </is>
      </c>
      <c r="D1113" t="inlineStr">
        <is>
          <t>163140</t>
        </is>
      </c>
      <c r="E1113" t="inlineStr">
        <is>
          <t>HALFSIM TIGO</t>
        </is>
      </c>
      <c r="F1113" t="n">
        <v>1</v>
      </c>
      <c r="G1113" t="n">
        <v>0.69</v>
      </c>
      <c r="H1113" t="inlineStr">
        <is>
          <t>0.69</t>
        </is>
      </c>
      <c r="J1113" t="inlineStr">
        <is>
          <t>RIAN LUCIA CAIZA MASAPANTA_ INVEDELCA S A</t>
        </is>
      </c>
      <c r="K1113" t="inlineStr">
        <is>
          <t>1790429016001</t>
        </is>
      </c>
      <c r="M1113" t="inlineStr">
        <is>
          <t>BTB</t>
        </is>
      </c>
      <c r="N1113" t="inlineStr">
        <is>
          <t>CANAL DIRECTO</t>
        </is>
      </c>
    </row>
    <row r="1114">
      <c r="A1114" t="inlineStr">
        <is>
          <t>20/10/2026</t>
        </is>
      </c>
      <c r="B1114" t="inlineStr">
        <is>
          <t>16505940</t>
        </is>
      </c>
      <c r="C1114" t="inlineStr">
        <is>
          <t>163140</t>
        </is>
      </c>
      <c r="D1114" t="inlineStr">
        <is>
          <t>163140</t>
        </is>
      </c>
      <c r="E1114" t="inlineStr">
        <is>
          <t>HALFSIM TIGO</t>
        </is>
      </c>
      <c r="F1114" t="n">
        <v>1</v>
      </c>
      <c r="G1114" t="n">
        <v>0.69</v>
      </c>
      <c r="H1114" t="inlineStr">
        <is>
          <t>0.69</t>
        </is>
      </c>
      <c r="J1114" t="inlineStr">
        <is>
          <t>CEDENO INTRIAGO LIMBER MIGUEL_CEDENO INTRIAGO LIMBER MIGUEL</t>
        </is>
      </c>
      <c r="K1114" t="inlineStr">
        <is>
          <t>1304653296001</t>
        </is>
      </c>
      <c r="M1114" t="inlineStr">
        <is>
          <t>BTB</t>
        </is>
      </c>
      <c r="N1114" t="inlineStr">
        <is>
          <t>CANAL DIRECTO</t>
        </is>
      </c>
    </row>
    <row r="1115">
      <c r="A1115" t="inlineStr">
        <is>
          <t>20/10/2026</t>
        </is>
      </c>
      <c r="B1115" t="inlineStr">
        <is>
          <t>16506069</t>
        </is>
      </c>
      <c r="C1115" t="inlineStr">
        <is>
          <t>163140</t>
        </is>
      </c>
      <c r="D1115" t="inlineStr">
        <is>
          <t>163140</t>
        </is>
      </c>
      <c r="E1115" t="inlineStr">
        <is>
          <t>HALFSIM TIGO</t>
        </is>
      </c>
      <c r="F1115" t="n">
        <v>1</v>
      </c>
      <c r="G1115" t="n">
        <v>0.69</v>
      </c>
      <c r="H1115" t="inlineStr">
        <is>
          <t>0.69</t>
        </is>
      </c>
      <c r="J1115" t="inlineStr">
        <is>
          <t>REPETTO CRUZ ANDRES FERNANDO_REPETTO CRUZ ANDRES FERNANDO</t>
        </is>
      </c>
      <c r="K1115" t="inlineStr">
        <is>
          <t>1717154544001</t>
        </is>
      </c>
      <c r="M1115" t="inlineStr">
        <is>
          <t>BTB</t>
        </is>
      </c>
      <c r="N1115" t="inlineStr">
        <is>
          <t>CANAL DIRECTO</t>
        </is>
      </c>
    </row>
    <row r="1116">
      <c r="A1116" t="inlineStr">
        <is>
          <t>20/10/2026</t>
        </is>
      </c>
      <c r="B1116" t="inlineStr">
        <is>
          <t>16506072</t>
        </is>
      </c>
      <c r="C1116" t="inlineStr">
        <is>
          <t>163140</t>
        </is>
      </c>
      <c r="D1116" t="inlineStr">
        <is>
          <t>163140</t>
        </is>
      </c>
      <c r="E1116" t="inlineStr">
        <is>
          <t>HALFSIM TIGO</t>
        </is>
      </c>
      <c r="F1116" t="n">
        <v>1</v>
      </c>
      <c r="G1116" t="n">
        <v>0.69</v>
      </c>
      <c r="H1116" t="inlineStr">
        <is>
          <t>0.69</t>
        </is>
      </c>
      <c r="J1116" t="inlineStr">
        <is>
          <t>ZAMBRANO MONTALVO JOSE SAMUEL_ZAMBRANO MONTALVO JOSE SAMUEL</t>
        </is>
      </c>
      <c r="K1116" t="inlineStr">
        <is>
          <t>1205392143001</t>
        </is>
      </c>
      <c r="M1116" t="inlineStr">
        <is>
          <t>BTB</t>
        </is>
      </c>
      <c r="N1116" t="inlineStr">
        <is>
          <t>CANAL DIRECTO</t>
        </is>
      </c>
    </row>
    <row r="1117">
      <c r="A1117" t="inlineStr">
        <is>
          <t>20/10/2026</t>
        </is>
      </c>
      <c r="B1117" t="inlineStr">
        <is>
          <t>16506088</t>
        </is>
      </c>
      <c r="C1117" t="inlineStr">
        <is>
          <t>163140</t>
        </is>
      </c>
      <c r="D1117" t="inlineStr">
        <is>
          <t>163140</t>
        </is>
      </c>
      <c r="E1117" t="inlineStr">
        <is>
          <t>HALFSIM TIGO</t>
        </is>
      </c>
      <c r="F1117" t="n">
        <v>1</v>
      </c>
      <c r="G1117" t="n">
        <v>0.69</v>
      </c>
      <c r="H1117" t="inlineStr">
        <is>
          <t>0.69</t>
        </is>
      </c>
      <c r="J1117" t="inlineStr">
        <is>
          <t>TONATO QUISPE KLEVER JACINTO_TONATO QUISPE KLEVER JACINTO</t>
        </is>
      </c>
      <c r="K1117" t="inlineStr">
        <is>
          <t>0502299340001</t>
        </is>
      </c>
      <c r="M1117" t="inlineStr">
        <is>
          <t>BTB</t>
        </is>
      </c>
      <c r="N1117" t="inlineStr">
        <is>
          <t>CANAL DIRECTO</t>
        </is>
      </c>
    </row>
    <row r="1118">
      <c r="A1118" t="inlineStr">
        <is>
          <t>20/10/2026</t>
        </is>
      </c>
      <c r="B1118" t="inlineStr">
        <is>
          <t>16506089</t>
        </is>
      </c>
      <c r="C1118" t="inlineStr">
        <is>
          <t>163140</t>
        </is>
      </c>
      <c r="D1118" t="inlineStr">
        <is>
          <t>163140</t>
        </is>
      </c>
      <c r="E1118" t="inlineStr">
        <is>
          <t>HALFSIM TIGO</t>
        </is>
      </c>
      <c r="F1118" t="n">
        <v>1</v>
      </c>
      <c r="G1118" t="n">
        <v>0.69</v>
      </c>
      <c r="H1118" t="inlineStr">
        <is>
          <t>0.69</t>
        </is>
      </c>
      <c r="J1118" t="inlineStr">
        <is>
          <t>MORAN HERRERA KENIA MARIANA_MORAN HERRERA KENIA MARIANA</t>
        </is>
      </c>
      <c r="K1118" t="inlineStr">
        <is>
          <t>1203918428001</t>
        </is>
      </c>
      <c r="M1118" t="inlineStr">
        <is>
          <t>BTB</t>
        </is>
      </c>
      <c r="N1118" t="inlineStr">
        <is>
          <t>CANAL DIRECTO</t>
        </is>
      </c>
    </row>
    <row r="1119">
      <c r="A1119" t="inlineStr">
        <is>
          <t>20/10/2026</t>
        </is>
      </c>
      <c r="B1119" t="inlineStr">
        <is>
          <t>16506090</t>
        </is>
      </c>
      <c r="C1119" t="inlineStr">
        <is>
          <t>163140</t>
        </is>
      </c>
      <c r="D1119" t="inlineStr">
        <is>
          <t>163140</t>
        </is>
      </c>
      <c r="E1119" t="inlineStr">
        <is>
          <t>HALFSIM TIGO</t>
        </is>
      </c>
      <c r="F1119" t="n">
        <v>1</v>
      </c>
      <c r="G1119" t="n">
        <v>0.69</v>
      </c>
      <c r="H1119" t="inlineStr">
        <is>
          <t>0.69</t>
        </is>
      </c>
      <c r="J1119" t="inlineStr">
        <is>
          <t>AGURTO MACAS ROCIO DEL CISNE_AGURTO MACAS ROCIO DEL CISNE</t>
        </is>
      </c>
      <c r="K1119" t="inlineStr">
        <is>
          <t>1103315410001</t>
        </is>
      </c>
      <c r="M1119" t="inlineStr">
        <is>
          <t>BTB</t>
        </is>
      </c>
      <c r="N1119" t="inlineStr">
        <is>
          <t>CANAL DIRECTO</t>
        </is>
      </c>
    </row>
    <row r="1120">
      <c r="A1120" t="inlineStr">
        <is>
          <t>20/10/2026</t>
        </is>
      </c>
      <c r="B1120" t="inlineStr">
        <is>
          <t>16506091</t>
        </is>
      </c>
      <c r="C1120" t="inlineStr">
        <is>
          <t>163140</t>
        </is>
      </c>
      <c r="D1120" t="inlineStr">
        <is>
          <t>163140</t>
        </is>
      </c>
      <c r="E1120" t="inlineStr">
        <is>
          <t>HALFSIM TIGO</t>
        </is>
      </c>
      <c r="F1120" t="n">
        <v>1</v>
      </c>
      <c r="G1120" t="n">
        <v>0.69</v>
      </c>
      <c r="H1120" t="inlineStr">
        <is>
          <t>0.69</t>
        </is>
      </c>
      <c r="J1120" t="inlineStr">
        <is>
          <t>PUETATE AYALA WILLAM OSWALDO_PUETATE AYALA WILLAM OSWALDO</t>
        </is>
      </c>
      <c r="K1120" t="inlineStr">
        <is>
          <t>0401659321001</t>
        </is>
      </c>
      <c r="M1120" t="inlineStr">
        <is>
          <t>BTB</t>
        </is>
      </c>
      <c r="N1120" t="inlineStr">
        <is>
          <t>CANAL DIRECTO</t>
        </is>
      </c>
    </row>
    <row r="1121">
      <c r="A1121" t="inlineStr">
        <is>
          <t>20/10/2026</t>
        </is>
      </c>
      <c r="B1121" t="inlineStr">
        <is>
          <t>16506157</t>
        </is>
      </c>
      <c r="C1121" t="inlineStr">
        <is>
          <t>163140</t>
        </is>
      </c>
      <c r="D1121" t="inlineStr">
        <is>
          <t>163140</t>
        </is>
      </c>
      <c r="E1121" t="inlineStr">
        <is>
          <t>HALFSIM TIGO</t>
        </is>
      </c>
      <c r="F1121" t="n">
        <v>1</v>
      </c>
      <c r="G1121" t="n">
        <v>0.69</v>
      </c>
      <c r="H1121" t="inlineStr">
        <is>
          <t>0.69</t>
        </is>
      </c>
      <c r="J1121" t="inlineStr">
        <is>
          <t>CACHIGUANGO QUIGUANGO JAIME ERMELO_CACHIGUANGO QUIGUANGO JAIME ERMELO</t>
        </is>
      </c>
      <c r="K1121" t="inlineStr">
        <is>
          <t>1715889141001</t>
        </is>
      </c>
      <c r="M1121" t="inlineStr">
        <is>
          <t>BTB</t>
        </is>
      </c>
      <c r="N1121" t="inlineStr">
        <is>
          <t>CANAL DIRECTO</t>
        </is>
      </c>
    </row>
    <row r="1122">
      <c r="A1122" t="inlineStr">
        <is>
          <t>20/10/2026</t>
        </is>
      </c>
      <c r="B1122" t="inlineStr">
        <is>
          <t>16506037</t>
        </is>
      </c>
      <c r="C1122" t="inlineStr">
        <is>
          <t>163140</t>
        </is>
      </c>
      <c r="D1122" t="inlineStr">
        <is>
          <t>163140</t>
        </is>
      </c>
      <c r="E1122" t="inlineStr">
        <is>
          <t>HALFSIM TIGO</t>
        </is>
      </c>
      <c r="F1122" t="n">
        <v>1</v>
      </c>
      <c r="G1122" t="n">
        <v>0.69</v>
      </c>
      <c r="H1122" t="inlineStr">
        <is>
          <t>0.69</t>
        </is>
      </c>
      <c r="J1122" t="inlineStr">
        <is>
          <t>ANDREA HEREDIA O FRANCISCO MONCAYO_SISEC S A SOLUCIONES DE INGENIERIA Y SERVICIOS ECUADOR</t>
        </is>
      </c>
      <c r="K1122" t="inlineStr">
        <is>
          <t>1792076463001</t>
        </is>
      </c>
      <c r="M1122" t="inlineStr">
        <is>
          <t>BTB</t>
        </is>
      </c>
      <c r="N1122" t="inlineStr">
        <is>
          <t>CANAL DIRECTO</t>
        </is>
      </c>
    </row>
    <row r="1123">
      <c r="A1123" t="inlineStr">
        <is>
          <t>20/10/2026</t>
        </is>
      </c>
      <c r="B1123" t="inlineStr">
        <is>
          <t>16506092</t>
        </is>
      </c>
      <c r="C1123" t="inlineStr">
        <is>
          <t>163140</t>
        </is>
      </c>
      <c r="D1123" t="inlineStr">
        <is>
          <t>163140</t>
        </is>
      </c>
      <c r="E1123" t="inlineStr">
        <is>
          <t>HALFSIM TIGO</t>
        </is>
      </c>
      <c r="F1123" t="n">
        <v>20</v>
      </c>
      <c r="G1123" t="n">
        <v>13.799999999999999</v>
      </c>
      <c r="H1123" t="inlineStr">
        <is>
          <t>0.69</t>
        </is>
      </c>
      <c r="J1123" t="inlineStr">
        <is>
          <t>ANGEL TAIPE MARCELA TAPIA_ MEGADATOS S A</t>
        </is>
      </c>
      <c r="K1123" t="inlineStr">
        <is>
          <t>1791287541001</t>
        </is>
      </c>
      <c r="M1123" t="inlineStr">
        <is>
          <t>BTB</t>
        </is>
      </c>
      <c r="N1123" t="inlineStr">
        <is>
          <t>CANAL DIRECTO</t>
        </is>
      </c>
    </row>
    <row r="1124">
      <c r="A1124" t="inlineStr">
        <is>
          <t>20/10/2026</t>
        </is>
      </c>
      <c r="B1124" t="inlineStr">
        <is>
          <t>16506112</t>
        </is>
      </c>
      <c r="C1124" t="inlineStr">
        <is>
          <t>163140</t>
        </is>
      </c>
      <c r="D1124" t="inlineStr">
        <is>
          <t>163140</t>
        </is>
      </c>
      <c r="E1124" t="inlineStr">
        <is>
          <t>HALFSIM TIGO</t>
        </is>
      </c>
      <c r="F1124" t="n">
        <v>1</v>
      </c>
      <c r="G1124" t="n">
        <v>0.69</v>
      </c>
      <c r="H1124" t="inlineStr">
        <is>
          <t>0.69</t>
        </is>
      </c>
      <c r="J1124" t="inlineStr">
        <is>
          <t>DIANA ABENDANO_MERCEDES LILIANA ASHQUI GUANA</t>
        </is>
      </c>
      <c r="K1124" t="inlineStr">
        <is>
          <t>1792568331001</t>
        </is>
      </c>
      <c r="M1124" t="inlineStr">
        <is>
          <t>BTB</t>
        </is>
      </c>
      <c r="N1124" t="inlineStr">
        <is>
          <t>CANAL DIRECTO</t>
        </is>
      </c>
    </row>
    <row r="1125">
      <c r="A1125" t="inlineStr">
        <is>
          <t>20/10/2026</t>
        </is>
      </c>
      <c r="B1125" t="inlineStr">
        <is>
          <t>16506121</t>
        </is>
      </c>
      <c r="C1125" t="inlineStr">
        <is>
          <t>162141</t>
        </is>
      </c>
      <c r="D1125" t="inlineStr">
        <is>
          <t>162141</t>
        </is>
      </c>
      <c r="E1125" t="inlineStr">
        <is>
          <t>HALFSIM MOVISTAR</t>
        </is>
      </c>
      <c r="F1125" t="n">
        <v>0</v>
      </c>
      <c r="G1125" t="n">
        <v>0</v>
      </c>
      <c r="H1125" t="inlineStr">
        <is>
          <t>0.69</t>
        </is>
      </c>
      <c r="J1125" t="inlineStr">
        <is>
          <t>ANGELA RIVAS YESENIA JIMENEZ_MEGADATOS S A</t>
        </is>
      </c>
      <c r="K1125" t="inlineStr">
        <is>
          <t>1791287541001</t>
        </is>
      </c>
      <c r="M1125" t="inlineStr">
        <is>
          <t>BTB</t>
        </is>
      </c>
      <c r="N1125" t="inlineStr">
        <is>
          <t>CANAL DIRECTO</t>
        </is>
      </c>
    </row>
    <row r="1126">
      <c r="A1126" t="inlineStr">
        <is>
          <t>20/10/2026</t>
        </is>
      </c>
      <c r="B1126" t="inlineStr">
        <is>
          <t>16506121</t>
        </is>
      </c>
      <c r="C1126" t="inlineStr">
        <is>
          <t>163140</t>
        </is>
      </c>
      <c r="D1126" t="inlineStr">
        <is>
          <t>163140</t>
        </is>
      </c>
      <c r="E1126" t="inlineStr">
        <is>
          <t>HALFSIM TIGO</t>
        </is>
      </c>
      <c r="F1126" t="n">
        <v>19</v>
      </c>
      <c r="G1126" t="n">
        <v>13.11</v>
      </c>
      <c r="H1126" t="inlineStr">
        <is>
          <t>0.69</t>
        </is>
      </c>
      <c r="J1126" t="inlineStr">
        <is>
          <t>ANGELA RIVAS YESENIA JIMENEZ_MEGADATOS S A</t>
        </is>
      </c>
      <c r="K1126" t="inlineStr">
        <is>
          <t>1791287541001</t>
        </is>
      </c>
      <c r="M1126" t="inlineStr">
        <is>
          <t>BTB</t>
        </is>
      </c>
      <c r="N1126" t="inlineStr">
        <is>
          <t>CANAL DIRECTO</t>
        </is>
      </c>
    </row>
    <row r="1127">
      <c r="A1127" t="inlineStr">
        <is>
          <t>20/10/2026</t>
        </is>
      </c>
      <c r="B1127" t="inlineStr">
        <is>
          <t>16506152</t>
        </is>
      </c>
      <c r="C1127" t="inlineStr">
        <is>
          <t>162141</t>
        </is>
      </c>
      <c r="D1127" t="inlineStr">
        <is>
          <t>162141</t>
        </is>
      </c>
      <c r="E1127" t="inlineStr">
        <is>
          <t>HALFSIM MOVISTAR</t>
        </is>
      </c>
      <c r="F1127" t="n">
        <v>0</v>
      </c>
      <c r="G1127" t="n">
        <v>0</v>
      </c>
      <c r="H1127" t="inlineStr">
        <is>
          <t>0.69</t>
        </is>
      </c>
      <c r="J1127" t="inlineStr">
        <is>
          <t>JOHANNA PLAZA_ ASOCIACION DE TRABAJADORES DE CNEL CORPORACION NACIONAL DE ELECTRICIDAD S A</t>
        </is>
      </c>
      <c r="K1127" t="inlineStr">
        <is>
          <t>0991393307001</t>
        </is>
      </c>
      <c r="M1127" t="inlineStr">
        <is>
          <t>BTB</t>
        </is>
      </c>
      <c r="N1127" t="inlineStr">
        <is>
          <t>CANAL DIRECTO</t>
        </is>
      </c>
    </row>
    <row r="1128">
      <c r="A1128" t="inlineStr">
        <is>
          <t>20/10/2026</t>
        </is>
      </c>
      <c r="B1128" t="inlineStr">
        <is>
          <t>16506152</t>
        </is>
      </c>
      <c r="C1128" t="inlineStr">
        <is>
          <t>163140</t>
        </is>
      </c>
      <c r="D1128" t="inlineStr">
        <is>
          <t>163140</t>
        </is>
      </c>
      <c r="E1128" t="inlineStr">
        <is>
          <t>HALFSIM TIGO</t>
        </is>
      </c>
      <c r="F1128" t="n">
        <v>1</v>
      </c>
      <c r="G1128" t="n">
        <v>0.69</v>
      </c>
      <c r="H1128" t="inlineStr">
        <is>
          <t>0.69</t>
        </is>
      </c>
      <c r="J1128" t="inlineStr">
        <is>
          <t>JOHANNA PLAZA_ ASOCIACION DE TRABAJADORES DE CNEL CORPORACION NACIONAL DE ELECTRICIDAD S A</t>
        </is>
      </c>
      <c r="K1128" t="inlineStr">
        <is>
          <t>0991393307001</t>
        </is>
      </c>
      <c r="M1128" t="inlineStr">
        <is>
          <t>BTB</t>
        </is>
      </c>
      <c r="N1128" t="inlineStr">
        <is>
          <t>CANAL DIRECTO</t>
        </is>
      </c>
    </row>
    <row r="1129">
      <c r="A1129" t="inlineStr">
        <is>
          <t>20/10/2026</t>
        </is>
      </c>
      <c r="B1129" t="inlineStr">
        <is>
          <t>16506154</t>
        </is>
      </c>
      <c r="C1129" t="inlineStr">
        <is>
          <t>163140</t>
        </is>
      </c>
      <c r="D1129" t="inlineStr">
        <is>
          <t>163140</t>
        </is>
      </c>
      <c r="E1129" t="inlineStr">
        <is>
          <t>HALFSIM TIGO</t>
        </is>
      </c>
      <c r="F1129" t="n">
        <v>1</v>
      </c>
      <c r="G1129" t="n">
        <v>0.69</v>
      </c>
      <c r="H1129" t="inlineStr">
        <is>
          <t>0.69</t>
        </is>
      </c>
      <c r="J1129" t="inlineStr">
        <is>
          <t>MARITZA NARANJO ALVAREZ_PLASTICOS INTERNACIONALES PLASINCA C A</t>
        </is>
      </c>
      <c r="K1129" t="inlineStr">
        <is>
          <t>0991287906001</t>
        </is>
      </c>
      <c r="M1129" t="inlineStr">
        <is>
          <t>BTB</t>
        </is>
      </c>
      <c r="N1129" t="inlineStr">
        <is>
          <t>CANAL DIRECTO</t>
        </is>
      </c>
    </row>
    <row r="1130">
      <c r="A1130" t="inlineStr">
        <is>
          <t>20/10/2026</t>
        </is>
      </c>
      <c r="B1130" t="inlineStr">
        <is>
          <t>16506158</t>
        </is>
      </c>
      <c r="C1130" t="inlineStr">
        <is>
          <t>163140</t>
        </is>
      </c>
      <c r="D1130" t="inlineStr">
        <is>
          <t>163140</t>
        </is>
      </c>
      <c r="E1130" t="inlineStr">
        <is>
          <t>HALFSIM TIGO</t>
        </is>
      </c>
      <c r="F1130" t="n">
        <v>3</v>
      </c>
      <c r="G1130" t="n">
        <v>2.0699999999999998</v>
      </c>
      <c r="H1130" t="inlineStr">
        <is>
          <t>0.69</t>
        </is>
      </c>
      <c r="J1130" t="inlineStr">
        <is>
          <t>BELEN PISCO CANARTE_ASOCIACION DE FUNCIONARIOS Y EMPLEADOS DEL MINISTE</t>
        </is>
      </c>
      <c r="K1130" t="inlineStr">
        <is>
          <t>0992262575001</t>
        </is>
      </c>
      <c r="M1130" t="inlineStr">
        <is>
          <t>BTB</t>
        </is>
      </c>
      <c r="N1130" t="inlineStr">
        <is>
          <t>CANAL DIRECTO</t>
        </is>
      </c>
    </row>
    <row r="1131">
      <c r="A1131" t="inlineStr">
        <is>
          <t>20/10/2026</t>
        </is>
      </c>
      <c r="B1131" t="inlineStr">
        <is>
          <t>16506161</t>
        </is>
      </c>
      <c r="C1131" t="inlineStr">
        <is>
          <t>163140</t>
        </is>
      </c>
      <c r="D1131" t="inlineStr">
        <is>
          <t>163140</t>
        </is>
      </c>
      <c r="E1131" t="inlineStr">
        <is>
          <t>HALFSIM TIGO</t>
        </is>
      </c>
      <c r="F1131" t="n">
        <v>1</v>
      </c>
      <c r="G1131" t="n">
        <v>0.69</v>
      </c>
      <c r="H1131" t="inlineStr">
        <is>
          <t>0.69</t>
        </is>
      </c>
      <c r="J1131" t="inlineStr">
        <is>
          <t>EVELYN PAUTA_ALTRAFRIO CIA LTDA</t>
        </is>
      </c>
      <c r="K1131" t="inlineStr">
        <is>
          <t>1792445981001</t>
        </is>
      </c>
      <c r="M1131" t="inlineStr">
        <is>
          <t>BTB</t>
        </is>
      </c>
      <c r="N1131" t="inlineStr">
        <is>
          <t>CANAL DIRECTO</t>
        </is>
      </c>
    </row>
    <row r="1132">
      <c r="A1132" t="inlineStr">
        <is>
          <t>20/10/2026</t>
        </is>
      </c>
      <c r="B1132" t="inlineStr">
        <is>
          <t>97776850</t>
        </is>
      </c>
      <c r="C1132" t="inlineStr">
        <is>
          <t>163140</t>
        </is>
      </c>
      <c r="D1132" t="inlineStr">
        <is>
          <t>163140</t>
        </is>
      </c>
      <c r="E1132" t="inlineStr">
        <is>
          <t>HALFSIM TIGO</t>
        </is>
      </c>
      <c r="F1132" t="n">
        <v>1</v>
      </c>
      <c r="G1132" t="n">
        <v>0.69</v>
      </c>
      <c r="H1132" t="inlineStr">
        <is>
          <t>0.69</t>
        </is>
      </c>
      <c r="J1132" t="inlineStr">
        <is>
          <t>Oscar Jarama</t>
        </is>
      </c>
      <c r="K1132" t="inlineStr">
        <is>
          <t>0105713739</t>
        </is>
      </c>
      <c r="L1132" t="inlineStr">
        <is>
          <t>Cuenca</t>
        </is>
      </c>
      <c r="M1132" t="inlineStr">
        <is>
          <t>Cliente Final</t>
        </is>
      </c>
      <c r="N1132" t="inlineStr">
        <is>
          <t>CANAL INDIRECTO</t>
        </is>
      </c>
    </row>
    <row r="1133">
      <c r="A1133" t="inlineStr">
        <is>
          <t>20/10/2026</t>
        </is>
      </c>
      <c r="B1133" t="inlineStr">
        <is>
          <t>97778298</t>
        </is>
      </c>
      <c r="C1133" t="inlineStr">
        <is>
          <t>163140</t>
        </is>
      </c>
      <c r="D1133" t="inlineStr">
        <is>
          <t>163140</t>
        </is>
      </c>
      <c r="E1133" t="inlineStr">
        <is>
          <t>HALFSIM TIGO</t>
        </is>
      </c>
      <c r="F1133" t="n">
        <v>1</v>
      </c>
      <c r="G1133" t="n">
        <v>0.69</v>
      </c>
      <c r="H1133" t="inlineStr">
        <is>
          <t>0.69</t>
        </is>
      </c>
      <c r="J1133" t="inlineStr">
        <is>
          <t>Danna Macias</t>
        </is>
      </c>
      <c r="K1133" t="inlineStr">
        <is>
          <t>0931034953</t>
        </is>
      </c>
      <c r="L1133" t="inlineStr">
        <is>
          <t>Bastion Popular</t>
        </is>
      </c>
      <c r="M1133" t="inlineStr">
        <is>
          <t>Cliente Final</t>
        </is>
      </c>
      <c r="N1133" t="inlineStr">
        <is>
          <t>CANAL INDIRECTO</t>
        </is>
      </c>
    </row>
    <row r="1134">
      <c r="A1134" t="inlineStr">
        <is>
          <t>20/10/2026</t>
        </is>
      </c>
      <c r="B1134" t="inlineStr">
        <is>
          <t>97781098</t>
        </is>
      </c>
      <c r="C1134" t="inlineStr">
        <is>
          <t>163140</t>
        </is>
      </c>
      <c r="D1134" t="inlineStr">
        <is>
          <t>163140</t>
        </is>
      </c>
      <c r="E1134" t="inlineStr">
        <is>
          <t>HALFSIM TIGO</t>
        </is>
      </c>
      <c r="F1134" t="n">
        <v>1</v>
      </c>
      <c r="G1134" t="n">
        <v>0.69</v>
      </c>
      <c r="H1134" t="inlineStr">
        <is>
          <t>0.69</t>
        </is>
      </c>
      <c r="J1134" t="inlineStr">
        <is>
          <t>Franchesca Cordero</t>
        </is>
      </c>
      <c r="K1134" t="inlineStr">
        <is>
          <t>0919450528</t>
        </is>
      </c>
      <c r="L1134" t="inlineStr">
        <is>
          <t>-2.1865923,-79.9831987</t>
        </is>
      </c>
      <c r="M1134" t="inlineStr">
        <is>
          <t>Cliente Final</t>
        </is>
      </c>
      <c r="N1134" t="inlineStr">
        <is>
          <t>CANAL INDIRECTO</t>
        </is>
      </c>
    </row>
    <row r="1135">
      <c r="A1135" t="inlineStr">
        <is>
          <t>20/10/2026</t>
        </is>
      </c>
      <c r="B1135" t="inlineStr">
        <is>
          <t>97781110</t>
        </is>
      </c>
      <c r="C1135" t="inlineStr">
        <is>
          <t>163140</t>
        </is>
      </c>
      <c r="D1135" t="inlineStr">
        <is>
          <t>163140</t>
        </is>
      </c>
      <c r="E1135" t="inlineStr">
        <is>
          <t>HALFSIM TIGO</t>
        </is>
      </c>
      <c r="F1135" t="n">
        <v>1</v>
      </c>
      <c r="G1135" t="n">
        <v>0.69</v>
      </c>
      <c r="H1135" t="inlineStr">
        <is>
          <t>0.69</t>
        </is>
      </c>
      <c r="J1135" t="inlineStr">
        <is>
          <t>Ronald Bautista</t>
        </is>
      </c>
      <c r="K1135" t="inlineStr">
        <is>
          <t>1729284511</t>
        </is>
      </c>
      <c r="L1135" t="inlineStr">
        <is>
          <t>-0.1317191,-78.5011154</t>
        </is>
      </c>
      <c r="M1135" t="inlineStr">
        <is>
          <t>Cliente Final</t>
        </is>
      </c>
      <c r="N1135" t="inlineStr">
        <is>
          <t>CANAL INDIRECTO</t>
        </is>
      </c>
    </row>
    <row r="1136">
      <c r="A1136" t="inlineStr">
        <is>
          <t>20/10/2026</t>
        </is>
      </c>
      <c r="B1136" t="inlineStr">
        <is>
          <t>97783404</t>
        </is>
      </c>
      <c r="C1136" t="inlineStr">
        <is>
          <t>163140</t>
        </is>
      </c>
      <c r="D1136" t="inlineStr">
        <is>
          <t>163140</t>
        </is>
      </c>
      <c r="E1136" t="inlineStr">
        <is>
          <t>HALFSIM TIGO</t>
        </is>
      </c>
      <c r="F1136" t="n">
        <v>1</v>
      </c>
      <c r="G1136" t="n">
        <v>0.69</v>
      </c>
      <c r="H1136" t="inlineStr">
        <is>
          <t>0.69</t>
        </is>
      </c>
      <c r="J1136" t="inlineStr">
        <is>
          <t>Luis mario Mendoza</t>
        </is>
      </c>
      <c r="K1136" t="inlineStr">
        <is>
          <t>1351914518</t>
        </is>
      </c>
      <c r="L1136" t="inlineStr">
        <is>
          <t>-0.9817262000000001,-80.6893497</t>
        </is>
      </c>
      <c r="M1136" t="inlineStr">
        <is>
          <t>Cliente Final</t>
        </is>
      </c>
      <c r="N1136" t="inlineStr">
        <is>
          <t>CANAL INDIRECTO</t>
        </is>
      </c>
    </row>
    <row r="1137">
      <c r="A1137" t="inlineStr">
        <is>
          <t>20/10/2026</t>
        </is>
      </c>
      <c r="B1137" t="inlineStr">
        <is>
          <t>97784121</t>
        </is>
      </c>
      <c r="C1137" t="inlineStr">
        <is>
          <t>163140</t>
        </is>
      </c>
      <c r="D1137" t="inlineStr">
        <is>
          <t>163140</t>
        </is>
      </c>
      <c r="E1137" t="inlineStr">
        <is>
          <t>HALFSIM TIGO</t>
        </is>
      </c>
      <c r="F1137" t="n">
        <v>1</v>
      </c>
      <c r="G1137" t="n">
        <v>0.69</v>
      </c>
      <c r="H1137" t="inlineStr">
        <is>
          <t>0.69</t>
        </is>
      </c>
      <c r="J1137" t="inlineStr">
        <is>
          <t>Jean Carlos Huacon Soriano</t>
        </is>
      </c>
      <c r="K1137" t="inlineStr">
        <is>
          <t>0954019428</t>
        </is>
      </c>
      <c r="L1137" t="inlineStr">
        <is>
          <t>-1.9600381,-79.7226128</t>
        </is>
      </c>
      <c r="M1137" t="inlineStr">
        <is>
          <t>Cliente Final</t>
        </is>
      </c>
      <c r="N1137" t="inlineStr">
        <is>
          <t>CANAL INDIRECTO</t>
        </is>
      </c>
    </row>
    <row r="1138">
      <c r="A1138" t="inlineStr">
        <is>
          <t>20/10/2026</t>
        </is>
      </c>
      <c r="B1138" t="inlineStr">
        <is>
          <t>97784276</t>
        </is>
      </c>
      <c r="C1138" t="inlineStr">
        <is>
          <t>163140</t>
        </is>
      </c>
      <c r="D1138" t="inlineStr">
        <is>
          <t>163140</t>
        </is>
      </c>
      <c r="E1138" t="inlineStr">
        <is>
          <t>HALFSIM TIGO</t>
        </is>
      </c>
      <c r="F1138" t="n">
        <v>1</v>
      </c>
      <c r="G1138" t="n">
        <v>0.69</v>
      </c>
      <c r="H1138" t="inlineStr">
        <is>
          <t>0.69</t>
        </is>
      </c>
      <c r="J1138" t="inlineStr">
        <is>
          <t>Ernesto Llerena</t>
        </is>
      </c>
      <c r="K1138" t="inlineStr">
        <is>
          <t>0930675251</t>
        </is>
      </c>
      <c r="L1138" t="inlineStr">
        <is>
          <t>-2.1346637,-79.9030834</t>
        </is>
      </c>
      <c r="M1138" t="inlineStr">
        <is>
          <t>Cliente Final</t>
        </is>
      </c>
      <c r="N1138" t="inlineStr">
        <is>
          <t>CANAL INDIRECTO</t>
        </is>
      </c>
    </row>
    <row r="1139">
      <c r="A1139" t="inlineStr">
        <is>
          <t>20/10/2026</t>
        </is>
      </c>
      <c r="B1139" t="inlineStr">
        <is>
          <t>97784667</t>
        </is>
      </c>
      <c r="C1139" t="inlineStr">
        <is>
          <t>163140</t>
        </is>
      </c>
      <c r="D1139" t="inlineStr">
        <is>
          <t>163140</t>
        </is>
      </c>
      <c r="E1139" t="inlineStr">
        <is>
          <t>HALFSIM TIGO</t>
        </is>
      </c>
      <c r="F1139" t="n">
        <v>1</v>
      </c>
      <c r="G1139" t="n">
        <v>0.69</v>
      </c>
      <c r="H1139" t="inlineStr">
        <is>
          <t>0.69</t>
        </is>
      </c>
      <c r="J1139" t="inlineStr">
        <is>
          <t>Luis Pérez</t>
        </is>
      </c>
      <c r="K1139" t="inlineStr">
        <is>
          <t>1805307194</t>
        </is>
      </c>
      <c r="L1139" t="inlineStr">
        <is>
          <t>-1.2193115,-78.61842349999999</t>
        </is>
      </c>
      <c r="M1139" t="inlineStr">
        <is>
          <t>Cliente Final</t>
        </is>
      </c>
      <c r="N1139" t="inlineStr">
        <is>
          <t>CANAL INDIRECTO</t>
        </is>
      </c>
    </row>
    <row r="1140">
      <c r="A1140" t="inlineStr">
        <is>
          <t>20/10/2026</t>
        </is>
      </c>
      <c r="B1140" t="inlineStr">
        <is>
          <t>16506167</t>
        </is>
      </c>
      <c r="C1140" t="inlineStr">
        <is>
          <t>162141</t>
        </is>
      </c>
      <c r="D1140" t="inlineStr">
        <is>
          <t>162141</t>
        </is>
      </c>
      <c r="E1140" t="inlineStr">
        <is>
          <t>HALFSIM MOVISTAR</t>
        </is>
      </c>
      <c r="F1140" t="n">
        <v>0</v>
      </c>
      <c r="G1140" t="n">
        <v>0</v>
      </c>
      <c r="H1140" t="inlineStr">
        <is>
          <t>0.69</t>
        </is>
      </c>
      <c r="J1140" t="inlineStr">
        <is>
          <t>SAMUEL ZAMORTA DIAZ_BANCO GUAYAQUIL S A</t>
        </is>
      </c>
      <c r="K1140" t="inlineStr">
        <is>
          <t>0990049459001</t>
        </is>
      </c>
      <c r="M1140" t="inlineStr">
        <is>
          <t>BTB</t>
        </is>
      </c>
      <c r="N1140" t="inlineStr">
        <is>
          <t>CANAL DIRECTO</t>
        </is>
      </c>
    </row>
    <row r="1141">
      <c r="A1141" t="inlineStr">
        <is>
          <t>20/10/2026</t>
        </is>
      </c>
      <c r="B1141" t="inlineStr">
        <is>
          <t>2026-08515</t>
        </is>
      </c>
      <c r="C1141" t="inlineStr">
        <is>
          <t>163140_02</t>
        </is>
      </c>
      <c r="D1141" t="inlineStr">
        <is>
          <t>163140</t>
        </is>
      </c>
      <c r="E1141" t="inlineStr">
        <is>
          <t>HALFSIM TIGO CHIP PREPAGO $3 WP NUMERADO</t>
        </is>
      </c>
      <c r="F1141" t="n">
        <v>100</v>
      </c>
      <c r="G1141" t="n">
        <v>69</v>
      </c>
      <c r="H1141" t="inlineStr">
        <is>
          <t>0.69</t>
        </is>
      </c>
      <c r="J1141" t="inlineStr">
        <is>
          <t>KIOSKO SMARTPHONELANDIA MALL DEL SOL _ROMERO RODRIGUEZ CESAR BERNABE</t>
        </is>
      </c>
      <c r="K1141" t="inlineStr">
        <is>
          <t>0918930660</t>
        </is>
      </c>
      <c r="M1141" t="inlineStr">
        <is>
          <t>INDIRECTO</t>
        </is>
      </c>
      <c r="N1141" t="inlineStr">
        <is>
          <t>CANAL INDIRECTO</t>
        </is>
      </c>
    </row>
    <row r="1142">
      <c r="A1142" t="inlineStr">
        <is>
          <t>20/10/2026</t>
        </is>
      </c>
      <c r="B1142" t="inlineStr">
        <is>
          <t>2026-08520</t>
        </is>
      </c>
      <c r="C1142" t="inlineStr">
        <is>
          <t>163140_02</t>
        </is>
      </c>
      <c r="D1142" t="inlineStr">
        <is>
          <t>163140</t>
        </is>
      </c>
      <c r="E1142" t="inlineStr">
        <is>
          <t>HALFSIM TIGO CHIP PREPAGO $3 WP NUMERADO</t>
        </is>
      </c>
      <c r="F1142" t="n">
        <v>100</v>
      </c>
      <c r="G1142" t="n">
        <v>69</v>
      </c>
      <c r="H1142" t="inlineStr">
        <is>
          <t>0.69</t>
        </is>
      </c>
      <c r="J1142" t="inlineStr">
        <is>
          <t>KIOSKO SMARTPHONELANDIA PASEO SHOPPING MANTA_ROMERO RODRIGUEZ CESAR BERNABE</t>
        </is>
      </c>
      <c r="K1142" t="inlineStr">
        <is>
          <t>0918930660</t>
        </is>
      </c>
      <c r="M1142" t="inlineStr">
        <is>
          <t>INDIRECTO</t>
        </is>
      </c>
      <c r="N1142" t="inlineStr">
        <is>
          <t>CANAL INDIRECTO</t>
        </is>
      </c>
    </row>
    <row r="1143">
      <c r="A1143" t="inlineStr">
        <is>
          <t>20/10/2026</t>
        </is>
      </c>
      <c r="B1143" t="inlineStr">
        <is>
          <t>2026-08520</t>
        </is>
      </c>
      <c r="C1143" t="inlineStr">
        <is>
          <t>163140_06</t>
        </is>
      </c>
      <c r="D1143" t="inlineStr">
        <is>
          <t>163140</t>
        </is>
      </c>
      <c r="E1143" t="inlineStr">
        <is>
          <t>HALFSIM TIGO PORTABILIDAD</t>
        </is>
      </c>
      <c r="F1143" t="n">
        <v>200</v>
      </c>
      <c r="G1143" t="n">
        <v>138</v>
      </c>
      <c r="H1143" t="inlineStr">
        <is>
          <t>0.69</t>
        </is>
      </c>
      <c r="J1143" t="inlineStr">
        <is>
          <t>KIOSKO SMARTPHONELANDIA PASEO SHOPPING MANTA_ROMERO RODRIGUEZ CESAR BERNABE</t>
        </is>
      </c>
      <c r="K1143" t="inlineStr">
        <is>
          <t>0918930660</t>
        </is>
      </c>
      <c r="M1143" t="inlineStr">
        <is>
          <t>INDIRECTO</t>
        </is>
      </c>
      <c r="N1143" t="inlineStr">
        <is>
          <t>CANAL INDIRECTO</t>
        </is>
      </c>
    </row>
    <row r="1144">
      <c r="A1144" t="inlineStr">
        <is>
          <t>20/10/2026</t>
        </is>
      </c>
      <c r="B1144" t="inlineStr">
        <is>
          <t>2026-08522</t>
        </is>
      </c>
      <c r="C1144" t="inlineStr">
        <is>
          <t>163140_02</t>
        </is>
      </c>
      <c r="D1144" t="inlineStr">
        <is>
          <t>163140</t>
        </is>
      </c>
      <c r="E1144" t="inlineStr">
        <is>
          <t>HALFSIM TIGO CHIP PREPAGO $3 WP NUMERADO</t>
        </is>
      </c>
      <c r="F1144" t="n">
        <v>1000</v>
      </c>
      <c r="G1144" t="n">
        <v>690</v>
      </c>
      <c r="H1144" t="inlineStr">
        <is>
          <t>0.69</t>
        </is>
      </c>
      <c r="J1144" t="inlineStr">
        <is>
          <t>TARSISINVEST TUENTI KENNEDY_MARCO BASTIDAS TOALA</t>
        </is>
      </c>
      <c r="K1144" t="inlineStr">
        <is>
          <t>0992862459001</t>
        </is>
      </c>
      <c r="M1144" t="inlineStr">
        <is>
          <t>INDIRECTO</t>
        </is>
      </c>
      <c r="N1144" t="inlineStr">
        <is>
          <t>CANAL INDIRECTO</t>
        </is>
      </c>
    </row>
    <row r="1145">
      <c r="A1145" t="inlineStr">
        <is>
          <t>20/10/2026</t>
        </is>
      </c>
      <c r="B1145" t="inlineStr">
        <is>
          <t>2026-08524</t>
        </is>
      </c>
      <c r="C1145" t="inlineStr">
        <is>
          <t>163140_02</t>
        </is>
      </c>
      <c r="D1145" t="inlineStr">
        <is>
          <t>163140</t>
        </is>
      </c>
      <c r="E1145" t="inlineStr">
        <is>
          <t>HALFSIM TIGO CHIP PREPAGO $3 WP NUMERADO</t>
        </is>
      </c>
      <c r="F1145" t="n">
        <v>1000</v>
      </c>
      <c r="G1145" t="n">
        <v>690</v>
      </c>
      <c r="H1145" t="inlineStr">
        <is>
          <t>0.69</t>
        </is>
      </c>
      <c r="J1145" t="inlineStr">
        <is>
          <t>JORGE ISAAC CENTENO M&amp;M_JORGE ISAAC CENTENO URETA</t>
        </is>
      </c>
      <c r="K1145" t="inlineStr">
        <is>
          <t>1307869394001</t>
        </is>
      </c>
      <c r="M1145" t="inlineStr">
        <is>
          <t>INDIRECTO</t>
        </is>
      </c>
      <c r="N1145" t="inlineStr">
        <is>
          <t>CANAL INDIRECTO</t>
        </is>
      </c>
    </row>
    <row r="1146">
      <c r="A1146" t="inlineStr">
        <is>
          <t>20/10/2026</t>
        </is>
      </c>
      <c r="B1146" t="inlineStr">
        <is>
          <t>2026-08525</t>
        </is>
      </c>
      <c r="C1146" t="inlineStr">
        <is>
          <t>163140_02</t>
        </is>
      </c>
      <c r="D1146" t="inlineStr">
        <is>
          <t>163140</t>
        </is>
      </c>
      <c r="E1146" t="inlineStr">
        <is>
          <t>HALFSIM TIGO CHIP PREPAGO $3 WP NUMERADO</t>
        </is>
      </c>
      <c r="F1146" t="n">
        <v>1000</v>
      </c>
      <c r="G1146" t="n">
        <v>690</v>
      </c>
      <c r="H1146" t="inlineStr">
        <is>
          <t>0.69</t>
        </is>
      </c>
      <c r="J1146" t="inlineStr">
        <is>
          <t>JORGE ISAAC CENTENO URETA _JORGE ISAAC CENTENO URETA</t>
        </is>
      </c>
      <c r="K1146" t="inlineStr">
        <is>
          <t>1307869394001</t>
        </is>
      </c>
      <c r="M1146" t="inlineStr">
        <is>
          <t>INDIRECTO</t>
        </is>
      </c>
      <c r="N1146" t="inlineStr">
        <is>
          <t>CANAL INDIRECTO</t>
        </is>
      </c>
    </row>
    <row r="1147">
      <c r="A1147" t="inlineStr">
        <is>
          <t>20/10/2026</t>
        </is>
      </c>
      <c r="B1147" t="inlineStr">
        <is>
          <t>16506175</t>
        </is>
      </c>
      <c r="C1147" t="inlineStr">
        <is>
          <t>162141</t>
        </is>
      </c>
      <c r="D1147" t="inlineStr">
        <is>
          <t>162141</t>
        </is>
      </c>
      <c r="E1147" t="inlineStr">
        <is>
          <t>HALFSIM MOVISTAR</t>
        </is>
      </c>
      <c r="F1147" t="n">
        <v>0</v>
      </c>
      <c r="G1147" t="n">
        <v>0</v>
      </c>
      <c r="H1147" t="inlineStr">
        <is>
          <t>0.69</t>
        </is>
      </c>
      <c r="J1147" t="inlineStr">
        <is>
          <t>STALIN CAIZAPANTA_LANSEY S A</t>
        </is>
      </c>
      <c r="K1147" t="inlineStr">
        <is>
          <t>0991248021001</t>
        </is>
      </c>
      <c r="M1147" t="inlineStr">
        <is>
          <t>BTB</t>
        </is>
      </c>
      <c r="N1147" t="inlineStr">
        <is>
          <t>CANAL DIRECTO</t>
        </is>
      </c>
    </row>
    <row r="1148">
      <c r="A1148" t="inlineStr">
        <is>
          <t>20/10/2026</t>
        </is>
      </c>
      <c r="B1148" t="inlineStr">
        <is>
          <t>16506175</t>
        </is>
      </c>
      <c r="C1148" t="inlineStr">
        <is>
          <t>163140</t>
        </is>
      </c>
      <c r="D1148" t="inlineStr">
        <is>
          <t>163140</t>
        </is>
      </c>
      <c r="E1148" t="inlineStr">
        <is>
          <t>HALFSIM TIGO</t>
        </is>
      </c>
      <c r="F1148" t="n">
        <v>2</v>
      </c>
      <c r="G1148" t="n">
        <v>1.38</v>
      </c>
      <c r="H1148" t="inlineStr">
        <is>
          <t>0.69</t>
        </is>
      </c>
      <c r="J1148" t="inlineStr">
        <is>
          <t>STALIN CAIZAPANTA_LANSEY S A</t>
        </is>
      </c>
      <c r="K1148" t="inlineStr">
        <is>
          <t>0991248021001</t>
        </is>
      </c>
      <c r="M1148" t="inlineStr">
        <is>
          <t>BTB</t>
        </is>
      </c>
      <c r="N1148" t="inlineStr">
        <is>
          <t>CANAL DIRECTO</t>
        </is>
      </c>
    </row>
    <row r="1149">
      <c r="A1149" t="inlineStr">
        <is>
          <t>20/10/2026</t>
        </is>
      </c>
      <c r="B1149" t="inlineStr">
        <is>
          <t>16506189</t>
        </is>
      </c>
      <c r="C1149" t="inlineStr">
        <is>
          <t>163140</t>
        </is>
      </c>
      <c r="D1149" t="inlineStr">
        <is>
          <t>163140</t>
        </is>
      </c>
      <c r="E1149" t="inlineStr">
        <is>
          <t>HALFSIM TIGO</t>
        </is>
      </c>
      <c r="F1149" t="n">
        <v>15</v>
      </c>
      <c r="G1149" t="n">
        <v>10.35</v>
      </c>
      <c r="H1149" t="inlineStr">
        <is>
          <t>0.69</t>
        </is>
      </c>
      <c r="J1149" t="inlineStr">
        <is>
          <t>SONIA FIGUEROA_AGRICOLA ARVECOR S A</t>
        </is>
      </c>
      <c r="K1149" t="inlineStr">
        <is>
          <t>0991344128001</t>
        </is>
      </c>
      <c r="M1149" t="inlineStr">
        <is>
          <t>BTB</t>
        </is>
      </c>
      <c r="N1149" t="inlineStr">
        <is>
          <t>CANAL DIRECTO</t>
        </is>
      </c>
    </row>
    <row r="1150">
      <c r="A1150" t="inlineStr">
        <is>
          <t>20/10/2026</t>
        </is>
      </c>
      <c r="B1150" t="inlineStr">
        <is>
          <t>16506204</t>
        </is>
      </c>
      <c r="C1150" t="inlineStr">
        <is>
          <t>163140</t>
        </is>
      </c>
      <c r="D1150" t="inlineStr">
        <is>
          <t>163140</t>
        </is>
      </c>
      <c r="E1150" t="inlineStr">
        <is>
          <t>HALFSIM TIGO</t>
        </is>
      </c>
      <c r="F1150" t="n">
        <v>1</v>
      </c>
      <c r="G1150" t="n">
        <v>0.69</v>
      </c>
      <c r="H1150" t="inlineStr">
        <is>
          <t>0.69</t>
        </is>
      </c>
      <c r="J1150" t="inlineStr">
        <is>
          <t>MANOTOA TOAQUIZA MILTON JHONNY_CHIGUANO PALLO SARA LUCIA</t>
        </is>
      </c>
      <c r="K1150" t="inlineStr">
        <is>
          <t>0504088790001</t>
        </is>
      </c>
      <c r="M1150" t="inlineStr">
        <is>
          <t>BTB</t>
        </is>
      </c>
      <c r="N1150" t="inlineStr">
        <is>
          <t>CANAL DIRECTO</t>
        </is>
      </c>
    </row>
    <row r="1151">
      <c r="A1151" t="inlineStr">
        <is>
          <t>20/10/2026</t>
        </is>
      </c>
      <c r="B1151" t="inlineStr">
        <is>
          <t>16506207</t>
        </is>
      </c>
      <c r="C1151" t="inlineStr">
        <is>
          <t>163140</t>
        </is>
      </c>
      <c r="D1151" t="inlineStr">
        <is>
          <t>163140</t>
        </is>
      </c>
      <c r="E1151" t="inlineStr">
        <is>
          <t>HALFSIM TIGO</t>
        </is>
      </c>
      <c r="F1151" t="n">
        <v>2</v>
      </c>
      <c r="G1151" t="n">
        <v>1.38</v>
      </c>
      <c r="H1151" t="inlineStr">
        <is>
          <t>0.69</t>
        </is>
      </c>
      <c r="J1151" t="inlineStr">
        <is>
          <t>SILVANA VENEGAS_ACCIONA AGUA S A</t>
        </is>
      </c>
      <c r="K1151" t="inlineStr">
        <is>
          <t>1792511526001</t>
        </is>
      </c>
      <c r="M1151" t="inlineStr">
        <is>
          <t>BTB</t>
        </is>
      </c>
      <c r="N1151" t="inlineStr">
        <is>
          <t>CANAL DIRECTO</t>
        </is>
      </c>
    </row>
    <row r="1152">
      <c r="A1152" t="inlineStr">
        <is>
          <t>20/10/2026</t>
        </is>
      </c>
      <c r="B1152" t="inlineStr">
        <is>
          <t>16506209</t>
        </is>
      </c>
      <c r="C1152" t="inlineStr">
        <is>
          <t>163140</t>
        </is>
      </c>
      <c r="D1152" t="inlineStr">
        <is>
          <t>163140</t>
        </is>
      </c>
      <c r="E1152" t="inlineStr">
        <is>
          <t>HALFSIM TIGO</t>
        </is>
      </c>
      <c r="F1152" t="n">
        <v>1</v>
      </c>
      <c r="G1152" t="n">
        <v>0.69</v>
      </c>
      <c r="H1152" t="inlineStr">
        <is>
          <t>0.69</t>
        </is>
      </c>
      <c r="J1152" t="inlineStr">
        <is>
          <t>STALIN CAIZAPANTA_LANSEY S A</t>
        </is>
      </c>
      <c r="K1152" t="inlineStr">
        <is>
          <t>0991248021001</t>
        </is>
      </c>
      <c r="M1152" t="inlineStr">
        <is>
          <t>BTB</t>
        </is>
      </c>
      <c r="N1152" t="inlineStr">
        <is>
          <t>CANAL DIRECTO</t>
        </is>
      </c>
    </row>
    <row r="1153">
      <c r="A1153" t="inlineStr">
        <is>
          <t>20/10/2026</t>
        </is>
      </c>
      <c r="B1153" t="inlineStr">
        <is>
          <t>16506211</t>
        </is>
      </c>
      <c r="C1153" t="inlineStr">
        <is>
          <t>163140</t>
        </is>
      </c>
      <c r="D1153" t="inlineStr">
        <is>
          <t>163140</t>
        </is>
      </c>
      <c r="E1153" t="inlineStr">
        <is>
          <t>HALFSIM TIGO</t>
        </is>
      </c>
      <c r="F1153" t="n">
        <v>1</v>
      </c>
      <c r="G1153" t="n">
        <v>0.69</v>
      </c>
      <c r="H1153" t="inlineStr">
        <is>
          <t>0.69</t>
        </is>
      </c>
      <c r="J1153" t="inlineStr">
        <is>
          <t>MENDOZA ZAMBRANO HENRY RAMON_MENDOZA ZAMBRANO HENRY RAMON</t>
        </is>
      </c>
      <c r="K1153" t="inlineStr">
        <is>
          <t>1305760413001</t>
        </is>
      </c>
      <c r="M1153" t="inlineStr">
        <is>
          <t>BTB</t>
        </is>
      </c>
      <c r="N1153" t="inlineStr">
        <is>
          <t>CANAL DIRECTO</t>
        </is>
      </c>
    </row>
    <row r="1154">
      <c r="A1154" t="inlineStr">
        <is>
          <t>20/10/2026</t>
        </is>
      </c>
      <c r="B1154" t="inlineStr">
        <is>
          <t>16506212</t>
        </is>
      </c>
      <c r="C1154" t="inlineStr">
        <is>
          <t>163140</t>
        </is>
      </c>
      <c r="D1154" t="inlineStr">
        <is>
          <t>163140</t>
        </is>
      </c>
      <c r="E1154" t="inlineStr">
        <is>
          <t>HALFSIM TIGO</t>
        </is>
      </c>
      <c r="F1154" t="n">
        <v>1</v>
      </c>
      <c r="G1154" t="n">
        <v>0.69</v>
      </c>
      <c r="H1154" t="inlineStr">
        <is>
          <t>0.69</t>
        </is>
      </c>
      <c r="J1154" t="inlineStr">
        <is>
          <t>JARA LEON JULIO ENRIQUE PATRICIO_JUAN FRANCISCO JARA GARZON</t>
        </is>
      </c>
      <c r="K1154" t="inlineStr">
        <is>
          <t>0502055338001</t>
        </is>
      </c>
      <c r="M1154" t="inlineStr">
        <is>
          <t>BTB</t>
        </is>
      </c>
      <c r="N1154" t="inlineStr">
        <is>
          <t>CANAL DIRECTO</t>
        </is>
      </c>
    </row>
    <row r="1155">
      <c r="A1155" t="inlineStr">
        <is>
          <t>20/10/2026</t>
        </is>
      </c>
      <c r="B1155" t="inlineStr">
        <is>
          <t>16506213</t>
        </is>
      </c>
      <c r="C1155" t="inlineStr">
        <is>
          <t>163140</t>
        </is>
      </c>
      <c r="D1155" t="inlineStr">
        <is>
          <t>163140</t>
        </is>
      </c>
      <c r="E1155" t="inlineStr">
        <is>
          <t>HALFSIM TIGO</t>
        </is>
      </c>
      <c r="F1155" t="n">
        <v>6</v>
      </c>
      <c r="G1155" t="n">
        <v>4.1399999999999997</v>
      </c>
      <c r="H1155" t="inlineStr">
        <is>
          <t>0.69</t>
        </is>
      </c>
      <c r="J1155" t="inlineStr">
        <is>
          <t>SINMALEZA SANCHEZ LUIS MESIAS_SINMALEZA SANCHEZ LUIS MESIAS</t>
        </is>
      </c>
      <c r="K1155" t="inlineStr">
        <is>
          <t>0200891224001</t>
        </is>
      </c>
      <c r="M1155" t="inlineStr">
        <is>
          <t>BTB</t>
        </is>
      </c>
      <c r="N1155" t="inlineStr">
        <is>
          <t>CANAL DIRECTO</t>
        </is>
      </c>
    </row>
    <row r="1156">
      <c r="A1156" t="inlineStr">
        <is>
          <t>20/10/2026</t>
        </is>
      </c>
      <c r="B1156" t="inlineStr">
        <is>
          <t>16506219</t>
        </is>
      </c>
      <c r="C1156" t="inlineStr">
        <is>
          <t>163140</t>
        </is>
      </c>
      <c r="D1156" t="inlineStr">
        <is>
          <t>163140</t>
        </is>
      </c>
      <c r="E1156" t="inlineStr">
        <is>
          <t>HALFSIM TIGO</t>
        </is>
      </c>
      <c r="F1156" t="n">
        <v>1</v>
      </c>
      <c r="G1156" t="n">
        <v>0.69</v>
      </c>
      <c r="H1156" t="inlineStr">
        <is>
          <t>0.69</t>
        </is>
      </c>
      <c r="J1156" t="inlineStr">
        <is>
          <t>SOTOMAYOR VEGA RAUL ENRIQUE_SOTOMAYOR VEGA RAUL ENRIQUE</t>
        </is>
      </c>
      <c r="K1156" t="inlineStr">
        <is>
          <t>1715621296001</t>
        </is>
      </c>
      <c r="M1156" t="inlineStr">
        <is>
          <t>BTB</t>
        </is>
      </c>
      <c r="N1156" t="inlineStr">
        <is>
          <t>CANAL DIRECTO</t>
        </is>
      </c>
    </row>
    <row r="1157">
      <c r="A1157" t="inlineStr">
        <is>
          <t>20/10/2026</t>
        </is>
      </c>
      <c r="B1157" t="inlineStr">
        <is>
          <t>16506220</t>
        </is>
      </c>
      <c r="C1157" t="inlineStr">
        <is>
          <t>163140</t>
        </is>
      </c>
      <c r="D1157" t="inlineStr">
        <is>
          <t>163140</t>
        </is>
      </c>
      <c r="E1157" t="inlineStr">
        <is>
          <t>HALFSIM TIGO</t>
        </is>
      </c>
      <c r="F1157" t="n">
        <v>2</v>
      </c>
      <c r="G1157" t="n">
        <v>1.38</v>
      </c>
      <c r="H1157" t="inlineStr">
        <is>
          <t>0.69</t>
        </is>
      </c>
      <c r="J1157" t="inlineStr">
        <is>
          <t>GOMEZ MOLINA KEVIN ANDRES_GOMEZ MOLINA KEVIN ANDRES</t>
        </is>
      </c>
      <c r="K1157" t="inlineStr">
        <is>
          <t>0803339977001</t>
        </is>
      </c>
      <c r="M1157" t="inlineStr">
        <is>
          <t>BTB</t>
        </is>
      </c>
      <c r="N1157" t="inlineStr">
        <is>
          <t>CANAL DIRECTO</t>
        </is>
      </c>
    </row>
    <row r="1158">
      <c r="A1158" t="inlineStr">
        <is>
          <t>20/10/2026</t>
        </is>
      </c>
      <c r="B1158" t="inlineStr">
        <is>
          <t>16506222</t>
        </is>
      </c>
      <c r="C1158" t="inlineStr">
        <is>
          <t>163140</t>
        </is>
      </c>
      <c r="D1158" t="inlineStr">
        <is>
          <t>163140</t>
        </is>
      </c>
      <c r="E1158" t="inlineStr">
        <is>
          <t>HALFSIM TIGO</t>
        </is>
      </c>
      <c r="F1158" t="n">
        <v>1</v>
      </c>
      <c r="G1158" t="n">
        <v>0.69</v>
      </c>
      <c r="H1158" t="inlineStr">
        <is>
          <t>0.69</t>
        </is>
      </c>
      <c r="J1158" t="inlineStr">
        <is>
          <t>JEFF MUNOZ ELSA CAIZA_GLESIA BIBLICA EVANGELICA FAMILIAR</t>
        </is>
      </c>
      <c r="K1158" t="inlineStr">
        <is>
          <t>1792207010001</t>
        </is>
      </c>
      <c r="M1158" t="inlineStr">
        <is>
          <t>BTB</t>
        </is>
      </c>
      <c r="N1158" t="inlineStr">
        <is>
          <t>CANAL DIRECTO</t>
        </is>
      </c>
    </row>
    <row r="1159">
      <c r="A1159" t="inlineStr">
        <is>
          <t>20/10/2026</t>
        </is>
      </c>
      <c r="B1159" t="inlineStr">
        <is>
          <t>16506225</t>
        </is>
      </c>
      <c r="C1159" t="inlineStr">
        <is>
          <t>163140</t>
        </is>
      </c>
      <c r="D1159" t="inlineStr">
        <is>
          <t>163140</t>
        </is>
      </c>
      <c r="E1159" t="inlineStr">
        <is>
          <t>HALFSIM TIGO</t>
        </is>
      </c>
      <c r="F1159" t="n">
        <v>1</v>
      </c>
      <c r="G1159" t="n">
        <v>0.69</v>
      </c>
      <c r="H1159" t="inlineStr">
        <is>
          <t>0.69</t>
        </is>
      </c>
      <c r="J1159" t="inlineStr">
        <is>
          <t>CRISTOBAL SANTANA_PESPESCA S A</t>
        </is>
      </c>
      <c r="K1159" t="inlineStr">
        <is>
          <t>1391744064001</t>
        </is>
      </c>
      <c r="M1159" t="inlineStr">
        <is>
          <t>BTB</t>
        </is>
      </c>
      <c r="N1159" t="inlineStr">
        <is>
          <t>CANAL DIRECTO</t>
        </is>
      </c>
    </row>
    <row r="1160">
      <c r="A1160" t="inlineStr">
        <is>
          <t>20/10/2026</t>
        </is>
      </c>
      <c r="B1160" t="inlineStr">
        <is>
          <t>97781006</t>
        </is>
      </c>
      <c r="C1160" t="inlineStr">
        <is>
          <t>163140</t>
        </is>
      </c>
      <c r="D1160" t="inlineStr">
        <is>
          <t>163140</t>
        </is>
      </c>
      <c r="E1160" t="inlineStr">
        <is>
          <t>HALFSIM TIGO</t>
        </is>
      </c>
      <c r="F1160" t="n">
        <v>1</v>
      </c>
      <c r="G1160" t="n">
        <v>0.69</v>
      </c>
      <c r="H1160" t="inlineStr">
        <is>
          <t>0.69</t>
        </is>
      </c>
      <c r="J1160" t="inlineStr">
        <is>
          <t>Jostin Alexander Esmeralda Alay</t>
        </is>
      </c>
      <c r="K1160" t="inlineStr">
        <is>
          <t>1317014304</t>
        </is>
      </c>
      <c r="L1160" t="inlineStr">
        <is>
          <t>-0.9476717,-80.7264656</t>
        </is>
      </c>
      <c r="M1160" t="inlineStr">
        <is>
          <t>Cliente Final</t>
        </is>
      </c>
      <c r="N1160" t="inlineStr">
        <is>
          <t>CANAL INDIRECTO</t>
        </is>
      </c>
    </row>
    <row r="1161">
      <c r="A1161" t="inlineStr">
        <is>
          <t>20/10/2026</t>
        </is>
      </c>
      <c r="B1161" t="inlineStr">
        <is>
          <t>97781006</t>
        </is>
      </c>
      <c r="C1161" t="inlineStr">
        <is>
          <t>163140</t>
        </is>
      </c>
      <c r="D1161" t="inlineStr">
        <is>
          <t>163140</t>
        </is>
      </c>
      <c r="E1161" t="inlineStr">
        <is>
          <t>HALFSIM TIGO</t>
        </is>
      </c>
      <c r="F1161" t="n">
        <v>1</v>
      </c>
      <c r="G1161" t="n">
        <v>0.69</v>
      </c>
      <c r="H1161" t="inlineStr">
        <is>
          <t>0.69</t>
        </is>
      </c>
      <c r="J1161" t="inlineStr">
        <is>
          <t>Jostin Alexander Esmeralda Alay</t>
        </is>
      </c>
      <c r="K1161" t="inlineStr">
        <is>
          <t>1317014304</t>
        </is>
      </c>
      <c r="L1161" t="inlineStr">
        <is>
          <t>-0.9476717,-80.7264656</t>
        </is>
      </c>
      <c r="M1161" t="inlineStr">
        <is>
          <t>Cliente Final</t>
        </is>
      </c>
      <c r="N1161" t="inlineStr">
        <is>
          <t>CANAL INDIRECTO</t>
        </is>
      </c>
    </row>
    <row r="1162">
      <c r="A1162" t="inlineStr">
        <is>
          <t>20/10/2026</t>
        </is>
      </c>
      <c r="B1162" t="inlineStr">
        <is>
          <t>97786069</t>
        </is>
      </c>
      <c r="C1162" t="inlineStr">
        <is>
          <t>163140</t>
        </is>
      </c>
      <c r="D1162" t="inlineStr">
        <is>
          <t>163140</t>
        </is>
      </c>
      <c r="E1162" t="inlineStr">
        <is>
          <t>HALFSIM TIGO</t>
        </is>
      </c>
      <c r="F1162" t="n">
        <v>1</v>
      </c>
      <c r="G1162" t="n">
        <v>0.69</v>
      </c>
      <c r="H1162" t="inlineStr">
        <is>
          <t>0.69</t>
        </is>
      </c>
      <c r="J1162" t="inlineStr">
        <is>
          <t>Josselyn Molina</t>
        </is>
      </c>
      <c r="K1162" t="inlineStr">
        <is>
          <t>1721305215</t>
        </is>
      </c>
      <c r="L1162" t="inlineStr">
        <is>
          <t>-0.1232,-78.470686</t>
        </is>
      </c>
      <c r="M1162" t="inlineStr">
        <is>
          <t>Cliente Final</t>
        </is>
      </c>
      <c r="N1162" t="inlineStr">
        <is>
          <t>CANAL INDIRECTO</t>
        </is>
      </c>
    </row>
    <row r="1163">
      <c r="A1163" t="inlineStr">
        <is>
          <t>20/10/2026</t>
        </is>
      </c>
      <c r="B1163" t="inlineStr">
        <is>
          <t>2026-08529</t>
        </is>
      </c>
      <c r="C1163" t="inlineStr">
        <is>
          <t>163140</t>
        </is>
      </c>
      <c r="D1163" t="inlineStr">
        <is>
          <t>163140</t>
        </is>
      </c>
      <c r="E1163" t="inlineStr">
        <is>
          <t>HALFSIM TIGO</t>
        </is>
      </c>
      <c r="F1163" t="n">
        <v>100</v>
      </c>
      <c r="G1163" t="n">
        <v>69</v>
      </c>
      <c r="H1163" t="inlineStr">
        <is>
          <t>0.69</t>
        </is>
      </c>
      <c r="J1163" t="inlineStr">
        <is>
          <t>CELISTICS CAVS DAS AMBATO CENTRO_WALTER TAMAYO</t>
        </is>
      </c>
      <c r="K1163" t="inlineStr">
        <is>
          <t>1792161037001</t>
        </is>
      </c>
      <c r="M1163" t="inlineStr">
        <is>
          <t>INDIRECTO</t>
        </is>
      </c>
      <c r="N1163" t="inlineStr">
        <is>
          <t>CANAL INDIRECTO</t>
        </is>
      </c>
    </row>
    <row r="1164">
      <c r="A1164" t="inlineStr">
        <is>
          <t>20/10/2026</t>
        </is>
      </c>
      <c r="B1164" t="inlineStr">
        <is>
          <t>2026-08529</t>
        </is>
      </c>
      <c r="C1164" t="inlineStr">
        <is>
          <t>163141</t>
        </is>
      </c>
      <c r="D1164" t="inlineStr">
        <is>
          <t>163141</t>
        </is>
      </c>
      <c r="E1164" t="inlineStr">
        <is>
          <t>ESIM TIGO DIGITAL</t>
        </is>
      </c>
      <c r="F1164" t="n">
        <v>40</v>
      </c>
      <c r="G1164" t="n">
        <v>8.4</v>
      </c>
      <c r="H1164" t="inlineStr">
        <is>
          <t>0.21</t>
        </is>
      </c>
      <c r="J1164" t="inlineStr">
        <is>
          <t>CELISTICS CAVS DAS AMBATO CENTRO_WALTER TAMAYO</t>
        </is>
      </c>
      <c r="K1164" t="inlineStr">
        <is>
          <t>1792161037001</t>
        </is>
      </c>
      <c r="M1164" t="inlineStr">
        <is>
          <t>INDIRECTO</t>
        </is>
      </c>
      <c r="N1164" t="inlineStr">
        <is>
          <t>CANAL INDIRECTO</t>
        </is>
      </c>
    </row>
    <row r="1165">
      <c r="A1165" t="inlineStr">
        <is>
          <t>20/10/2026</t>
        </is>
      </c>
      <c r="B1165" t="inlineStr">
        <is>
          <t>2026-08530</t>
        </is>
      </c>
      <c r="C1165" t="inlineStr">
        <is>
          <t>163140</t>
        </is>
      </c>
      <c r="D1165" t="inlineStr">
        <is>
          <t>163140</t>
        </is>
      </c>
      <c r="E1165" t="inlineStr">
        <is>
          <t>HALFSIM TIGO</t>
        </is>
      </c>
      <c r="F1165" t="n">
        <v>200</v>
      </c>
      <c r="G1165" t="n">
        <v>138</v>
      </c>
      <c r="H1165" t="inlineStr">
        <is>
          <t>0.69</t>
        </is>
      </c>
      <c r="J1165" t="inlineStr">
        <is>
          <t>AE SALESLAND MALL DEL NORTE_JULY FREIRE</t>
        </is>
      </c>
      <c r="K1165" t="inlineStr">
        <is>
          <t>1713085593</t>
        </is>
      </c>
      <c r="M1165" t="inlineStr">
        <is>
          <t>INDIRECTO</t>
        </is>
      </c>
      <c r="N1165" t="inlineStr">
        <is>
          <t>CANAL INDIRECTO</t>
        </is>
      </c>
    </row>
    <row r="1166">
      <c r="A1166" t="inlineStr">
        <is>
          <t>20/10/2026</t>
        </is>
      </c>
      <c r="B1166" t="inlineStr">
        <is>
          <t>2026-08530</t>
        </is>
      </c>
      <c r="C1166" t="inlineStr">
        <is>
          <t>163141</t>
        </is>
      </c>
      <c r="D1166" t="inlineStr">
        <is>
          <t>163141</t>
        </is>
      </c>
      <c r="E1166" t="inlineStr">
        <is>
          <t>ESIM TIGO DIGITAL</t>
        </is>
      </c>
      <c r="F1166" t="n">
        <v>100</v>
      </c>
      <c r="G1166" t="n">
        <v>21</v>
      </c>
      <c r="H1166" t="inlineStr">
        <is>
          <t>0.21</t>
        </is>
      </c>
      <c r="J1166" t="inlineStr">
        <is>
          <t>AE SALESLAND MALL DEL NORTE_JULY FREIRE</t>
        </is>
      </c>
      <c r="K1166" t="inlineStr">
        <is>
          <t>1713085593</t>
        </is>
      </c>
      <c r="M1166" t="inlineStr">
        <is>
          <t>INDIRECTO</t>
        </is>
      </c>
      <c r="N1166" t="inlineStr">
        <is>
          <t>CANAL INDIRECTO</t>
        </is>
      </c>
    </row>
    <row r="1167">
      <c r="A1167" t="inlineStr">
        <is>
          <t>20/10/2026</t>
        </is>
      </c>
      <c r="B1167" t="inlineStr">
        <is>
          <t>2026-08531</t>
        </is>
      </c>
      <c r="C1167" t="inlineStr">
        <is>
          <t>163140_02</t>
        </is>
      </c>
      <c r="D1167" t="inlineStr">
        <is>
          <t>163140</t>
        </is>
      </c>
      <c r="E1167" t="inlineStr">
        <is>
          <t>HALFSIM TIGO CHIP PREPAGO $3 WP NUMERADO</t>
        </is>
      </c>
      <c r="F1167" t="n">
        <v>1500</v>
      </c>
      <c r="G1167" t="n">
        <v>1035</v>
      </c>
      <c r="H1167" t="inlineStr">
        <is>
          <t>0.69</t>
        </is>
      </c>
      <c r="J1167" t="inlineStr">
        <is>
          <t>TECECAB ZONIFICACION ORIENTE_PAOLA MORETA</t>
        </is>
      </c>
      <c r="K1167" t="inlineStr">
        <is>
          <t>1716278575</t>
        </is>
      </c>
      <c r="M1167" t="inlineStr">
        <is>
          <t>INDIRECTO</t>
        </is>
      </c>
      <c r="N1167" t="inlineStr">
        <is>
          <t>CANAL INDIRECTO</t>
        </is>
      </c>
    </row>
    <row r="1168">
      <c r="A1168" t="inlineStr">
        <is>
          <t>20/10/2026</t>
        </is>
      </c>
      <c r="B1168" t="inlineStr">
        <is>
          <t>2026-08533</t>
        </is>
      </c>
      <c r="C1168" t="inlineStr">
        <is>
          <t>163140</t>
        </is>
      </c>
      <c r="D1168" t="inlineStr">
        <is>
          <t>163140</t>
        </is>
      </c>
      <c r="E1168" t="inlineStr">
        <is>
          <t>HALFSIM TIGO</t>
        </is>
      </c>
      <c r="F1168" t="n">
        <v>100</v>
      </c>
      <c r="G1168" t="n">
        <v>69</v>
      </c>
      <c r="H1168" t="inlineStr">
        <is>
          <t>0.69</t>
        </is>
      </c>
      <c r="J1168" t="inlineStr">
        <is>
          <t>AE NORPHONE SANTO DOMINGO_PAOLA MORAN</t>
        </is>
      </c>
      <c r="K1168" t="inlineStr">
        <is>
          <t>1091717898001</t>
        </is>
      </c>
      <c r="M1168" t="inlineStr">
        <is>
          <t>INDIRECTO</t>
        </is>
      </c>
      <c r="N1168" t="inlineStr">
        <is>
          <t>CANAL INDIRECTO</t>
        </is>
      </c>
    </row>
    <row r="1169">
      <c r="A1169" t="inlineStr">
        <is>
          <t>20/10/2026</t>
        </is>
      </c>
      <c r="B1169" t="inlineStr">
        <is>
          <t>2026-08533</t>
        </is>
      </c>
      <c r="C1169" t="inlineStr">
        <is>
          <t>163141</t>
        </is>
      </c>
      <c r="D1169" t="inlineStr">
        <is>
          <t>163141</t>
        </is>
      </c>
      <c r="E1169" t="inlineStr">
        <is>
          <t>ESIM TIGO DIGITAL</t>
        </is>
      </c>
      <c r="F1169" t="n">
        <v>50</v>
      </c>
      <c r="G1169" t="n">
        <v>10.5</v>
      </c>
      <c r="H1169" t="inlineStr">
        <is>
          <t>0.21</t>
        </is>
      </c>
      <c r="J1169" t="inlineStr">
        <is>
          <t>AE NORPHONE SANTO DOMINGO_PAOLA MORAN</t>
        </is>
      </c>
      <c r="K1169" t="inlineStr">
        <is>
          <t>1091717898001</t>
        </is>
      </c>
      <c r="M1169" t="inlineStr">
        <is>
          <t>INDIRECTO</t>
        </is>
      </c>
      <c r="N1169" t="inlineStr">
        <is>
          <t>CANAL INDIRECTO</t>
        </is>
      </c>
    </row>
    <row r="1170">
      <c r="A1170" t="inlineStr">
        <is>
          <t>20/10/2026</t>
        </is>
      </c>
      <c r="B1170" t="inlineStr">
        <is>
          <t>2026-08535</t>
        </is>
      </c>
      <c r="C1170" t="inlineStr">
        <is>
          <t>163140_02</t>
        </is>
      </c>
      <c r="D1170" t="inlineStr">
        <is>
          <t>163140</t>
        </is>
      </c>
      <c r="E1170" t="inlineStr">
        <is>
          <t>HALFSIM TIGO CHIP PREPAGO $3 WP NUMERADO</t>
        </is>
      </c>
      <c r="F1170" t="n">
        <v>2000</v>
      </c>
      <c r="G1170" t="n">
        <v>1380</v>
      </c>
      <c r="H1170" t="inlineStr">
        <is>
          <t>0.69</t>
        </is>
      </c>
      <c r="J1170" t="inlineStr">
        <is>
          <t>TECECAB CALLE PICHINCHA_ZAIDA MOREIRA</t>
        </is>
      </c>
      <c r="K1170" t="inlineStr">
        <is>
          <t>1792306043001</t>
        </is>
      </c>
      <c r="M1170" t="inlineStr">
        <is>
          <t>INDIRECTO</t>
        </is>
      </c>
      <c r="N1170" t="inlineStr">
        <is>
          <t>CANAL INDIRECTO</t>
        </is>
      </c>
    </row>
    <row r="1171">
      <c r="A1171" t="inlineStr">
        <is>
          <t>20/10/2026</t>
        </is>
      </c>
      <c r="B1171" t="inlineStr">
        <is>
          <t>2026-08536</t>
        </is>
      </c>
      <c r="C1171" t="inlineStr">
        <is>
          <t>163140_02</t>
        </is>
      </c>
      <c r="D1171" t="inlineStr">
        <is>
          <t>163140</t>
        </is>
      </c>
      <c r="E1171" t="inlineStr">
        <is>
          <t>HALFSIM TIGO CHIP PREPAGO $3 WP NUMERADO</t>
        </is>
      </c>
      <c r="F1171" t="n">
        <v>1000</v>
      </c>
      <c r="G1171" t="n">
        <v>690</v>
      </c>
      <c r="H1171" t="inlineStr">
        <is>
          <t>0.69</t>
        </is>
      </c>
      <c r="J1171" t="inlineStr">
        <is>
          <t>MOVIPHONE ZONIFICADO LOJA_DIEGO ARMANDO VASQUEZ SALDAÑA</t>
        </is>
      </c>
      <c r="K1171" t="inlineStr">
        <is>
          <t>0391007160001</t>
        </is>
      </c>
      <c r="M1171" t="inlineStr">
        <is>
          <t>INDIRECTO</t>
        </is>
      </c>
      <c r="N1171" t="inlineStr">
        <is>
          <t>CANAL INDIRECTO</t>
        </is>
      </c>
    </row>
    <row r="1172">
      <c r="A1172" t="inlineStr">
        <is>
          <t>20/10/2026</t>
        </is>
      </c>
      <c r="B1172" t="inlineStr">
        <is>
          <t>2026-08537</t>
        </is>
      </c>
      <c r="C1172" t="inlineStr">
        <is>
          <t>163140</t>
        </is>
      </c>
      <c r="D1172" t="inlineStr">
        <is>
          <t>163140</t>
        </is>
      </c>
      <c r="E1172" t="inlineStr">
        <is>
          <t>HALFSIM TIGO</t>
        </is>
      </c>
      <c r="F1172" t="n">
        <v>200</v>
      </c>
      <c r="G1172" t="n">
        <v>138</v>
      </c>
      <c r="H1172" t="inlineStr">
        <is>
          <t>0.69</t>
        </is>
      </c>
      <c r="J1172" t="inlineStr">
        <is>
          <t>AE CELISTICS CCI_WALTER TAMAYO</t>
        </is>
      </c>
      <c r="K1172" t="inlineStr">
        <is>
          <t>1792161037001</t>
        </is>
      </c>
      <c r="M1172" t="inlineStr">
        <is>
          <t>INDIRECTO</t>
        </is>
      </c>
      <c r="N1172" t="inlineStr">
        <is>
          <t>CANAL INDIRECTO</t>
        </is>
      </c>
    </row>
    <row r="1173">
      <c r="A1173" t="inlineStr">
        <is>
          <t>20/10/2026</t>
        </is>
      </c>
      <c r="B1173" t="inlineStr">
        <is>
          <t>2026-08537</t>
        </is>
      </c>
      <c r="C1173" t="inlineStr">
        <is>
          <t>163141</t>
        </is>
      </c>
      <c r="D1173" t="inlineStr">
        <is>
          <t>163141</t>
        </is>
      </c>
      <c r="E1173" t="inlineStr">
        <is>
          <t>ESIM TIGO DIGITAL</t>
        </is>
      </c>
      <c r="F1173" t="n">
        <v>90</v>
      </c>
      <c r="G1173" t="n">
        <v>18.899999999999999</v>
      </c>
      <c r="H1173" t="inlineStr">
        <is>
          <t>0.21</t>
        </is>
      </c>
      <c r="J1173" t="inlineStr">
        <is>
          <t>AE CELISTICS CCI_WALTER TAMAYO</t>
        </is>
      </c>
      <c r="K1173" t="inlineStr">
        <is>
          <t>1792161037001</t>
        </is>
      </c>
      <c r="M1173" t="inlineStr">
        <is>
          <t>INDIRECTO</t>
        </is>
      </c>
      <c r="N1173" t="inlineStr">
        <is>
          <t>CANAL INDIRECTO</t>
        </is>
      </c>
    </row>
    <row r="1174">
      <c r="A1174" t="inlineStr">
        <is>
          <t>20/10/2026</t>
        </is>
      </c>
      <c r="B1174" t="inlineStr">
        <is>
          <t>2026-08540</t>
        </is>
      </c>
      <c r="C1174" t="inlineStr">
        <is>
          <t>163140</t>
        </is>
      </c>
      <c r="D1174" t="inlineStr">
        <is>
          <t>163140</t>
        </is>
      </c>
      <c r="E1174" t="inlineStr">
        <is>
          <t>HALFSIM TIGO</t>
        </is>
      </c>
      <c r="F1174" t="n">
        <v>300</v>
      </c>
      <c r="G1174" t="n">
        <v>206.99999999999997</v>
      </c>
      <c r="H1174" t="inlineStr">
        <is>
          <t>0.69</t>
        </is>
      </c>
      <c r="J1174" t="inlineStr">
        <is>
          <t>AGENTE AE CELISTICS EL RECREO QUITO_WALTER TAMAYO</t>
        </is>
      </c>
      <c r="K1174" t="inlineStr">
        <is>
          <t>1792161037001</t>
        </is>
      </c>
      <c r="M1174" t="inlineStr">
        <is>
          <t>INDIRECTO</t>
        </is>
      </c>
      <c r="N1174" t="inlineStr">
        <is>
          <t>CANAL INDIRECTO</t>
        </is>
      </c>
    </row>
    <row r="1175">
      <c r="A1175" t="inlineStr">
        <is>
          <t>20/10/2026</t>
        </is>
      </c>
      <c r="B1175" t="inlineStr">
        <is>
          <t>2026-08540</t>
        </is>
      </c>
      <c r="C1175" t="inlineStr">
        <is>
          <t>163141</t>
        </is>
      </c>
      <c r="D1175" t="inlineStr">
        <is>
          <t>163141</t>
        </is>
      </c>
      <c r="E1175" t="inlineStr">
        <is>
          <t>ESIM TIGO DIGITAL</t>
        </is>
      </c>
      <c r="F1175" t="n">
        <v>70</v>
      </c>
      <c r="G1175" t="n">
        <v>14.7</v>
      </c>
      <c r="H1175" t="inlineStr">
        <is>
          <t>0.21</t>
        </is>
      </c>
      <c r="J1175" t="inlineStr">
        <is>
          <t>AGENTE AE CELISTICS EL RECREO QUITO_WALTER TAMAYO</t>
        </is>
      </c>
      <c r="K1175" t="inlineStr">
        <is>
          <t>1792161037001</t>
        </is>
      </c>
      <c r="M1175" t="inlineStr">
        <is>
          <t>INDIRECTO</t>
        </is>
      </c>
      <c r="N1175" t="inlineStr">
        <is>
          <t>CANAL INDIRECTO</t>
        </is>
      </c>
    </row>
    <row r="1176">
      <c r="A1176" t="inlineStr">
        <is>
          <t>20/10/2026</t>
        </is>
      </c>
      <c r="B1176" t="inlineStr">
        <is>
          <t>2026-08541</t>
        </is>
      </c>
      <c r="C1176" t="inlineStr">
        <is>
          <t>163140_06</t>
        </is>
      </c>
      <c r="D1176" t="inlineStr">
        <is>
          <t>163140</t>
        </is>
      </c>
      <c r="E1176" t="inlineStr">
        <is>
          <t>HALFSIM TIGO PORTABILIDAD</t>
        </is>
      </c>
      <c r="F1176" t="n">
        <v>200</v>
      </c>
      <c r="G1176" t="n">
        <v>138</v>
      </c>
      <c r="H1176" t="inlineStr">
        <is>
          <t>0.69</t>
        </is>
      </c>
      <c r="J1176" t="inlineStr">
        <is>
          <t>KIOSKO CELISTICS PORTAL SHOPPING_TOBAR ZAMBRANO MARIA JOSE</t>
        </is>
      </c>
      <c r="K1176" t="inlineStr">
        <is>
          <t>1306571512</t>
        </is>
      </c>
      <c r="M1176" t="inlineStr">
        <is>
          <t>INDIRECTO</t>
        </is>
      </c>
      <c r="N1176" t="inlineStr">
        <is>
          <t>CANAL INDIRECTO</t>
        </is>
      </c>
    </row>
    <row r="1177">
      <c r="A1177" t="inlineStr">
        <is>
          <t>20/10/2026</t>
        </is>
      </c>
      <c r="B1177" t="inlineStr">
        <is>
          <t>2026-08542</t>
        </is>
      </c>
      <c r="C1177" t="inlineStr">
        <is>
          <t>163140_02</t>
        </is>
      </c>
      <c r="D1177" t="inlineStr">
        <is>
          <t>163140</t>
        </is>
      </c>
      <c r="E1177" t="inlineStr">
        <is>
          <t>HALFSIM TIGO CHIP PREPAGO $3 WP NUMERADO</t>
        </is>
      </c>
      <c r="F1177" t="n">
        <v>500</v>
      </c>
      <c r="G1177" t="n">
        <v>345</v>
      </c>
      <c r="H1177" t="inlineStr">
        <is>
          <t>0.69</t>
        </is>
      </c>
      <c r="J1177" t="inlineStr">
        <is>
          <t>SEPMGROUPSEPM S.A.S. AZUAY_JARA PESANTEZ JOSE DAVID</t>
        </is>
      </c>
      <c r="K1177" t="inlineStr">
        <is>
          <t>0105108419</t>
        </is>
      </c>
      <c r="M1177" t="inlineStr">
        <is>
          <t>INDIRECTO</t>
        </is>
      </c>
      <c r="N1177" t="inlineStr">
        <is>
          <t>CANAL INDIRECTO</t>
        </is>
      </c>
    </row>
    <row r="1178">
      <c r="A1178" t="inlineStr">
        <is>
          <t>20/10/2026</t>
        </is>
      </c>
      <c r="B1178" t="inlineStr">
        <is>
          <t>2026-08544</t>
        </is>
      </c>
      <c r="C1178" t="inlineStr">
        <is>
          <t>163140</t>
        </is>
      </c>
      <c r="D1178" t="inlineStr">
        <is>
          <t>163140</t>
        </is>
      </c>
      <c r="E1178" t="inlineStr">
        <is>
          <t>HALFSIM TIGO</t>
        </is>
      </c>
      <c r="F1178" t="n">
        <v>200</v>
      </c>
      <c r="G1178" t="n">
        <v>138</v>
      </c>
      <c r="H1178" t="inlineStr">
        <is>
          <t>0.69</t>
        </is>
      </c>
      <c r="J1178" t="inlineStr">
        <is>
          <t>AE CELISTICS MALTERIA LATACUNGA_WALTER TAMAYO</t>
        </is>
      </c>
      <c r="K1178" t="inlineStr">
        <is>
          <t>1306571512</t>
        </is>
      </c>
      <c r="M1178" t="inlineStr">
        <is>
          <t>INDIRECTO</t>
        </is>
      </c>
      <c r="N1178" t="inlineStr">
        <is>
          <t>CANAL INDIRECTO</t>
        </is>
      </c>
    </row>
    <row r="1179">
      <c r="A1179" t="inlineStr">
        <is>
          <t>20/10/2026</t>
        </is>
      </c>
      <c r="B1179" t="inlineStr">
        <is>
          <t>2026-08544</t>
        </is>
      </c>
      <c r="C1179" t="inlineStr">
        <is>
          <t>163141</t>
        </is>
      </c>
      <c r="D1179" t="inlineStr">
        <is>
          <t>163141</t>
        </is>
      </c>
      <c r="E1179" t="inlineStr">
        <is>
          <t>ESIM TIGO DIGITAL</t>
        </is>
      </c>
      <c r="F1179" t="n">
        <v>30</v>
      </c>
      <c r="G1179" t="n">
        <v>6.3</v>
      </c>
      <c r="H1179" t="inlineStr">
        <is>
          <t>0.21</t>
        </is>
      </c>
      <c r="J1179" t="inlineStr">
        <is>
          <t>AE CELISTICS MALTERIA LATACUNGA_WALTER TAMAYO</t>
        </is>
      </c>
      <c r="K1179" t="inlineStr">
        <is>
          <t>1306571512</t>
        </is>
      </c>
      <c r="M1179" t="inlineStr">
        <is>
          <t>INDIRECTO</t>
        </is>
      </c>
      <c r="N1179" t="inlineStr">
        <is>
          <t>CANAL INDIRECTO</t>
        </is>
      </c>
    </row>
    <row r="1180">
      <c r="A1180" t="inlineStr">
        <is>
          <t>20/10/2026</t>
        </is>
      </c>
      <c r="B1180" t="inlineStr">
        <is>
          <t>2026-08545</t>
        </is>
      </c>
      <c r="C1180" t="inlineStr">
        <is>
          <t>163140</t>
        </is>
      </c>
      <c r="D1180" t="inlineStr">
        <is>
          <t>163140</t>
        </is>
      </c>
      <c r="E1180" t="inlineStr">
        <is>
          <t>HALFSIM TIGO</t>
        </is>
      </c>
      <c r="F1180" t="n">
        <v>600</v>
      </c>
      <c r="G1180" t="n">
        <v>413.99999999999994</v>
      </c>
      <c r="H1180" t="inlineStr">
        <is>
          <t>0.69</t>
        </is>
      </c>
      <c r="J1180" t="inlineStr">
        <is>
          <t>AE CELISTICS QUICENTRO SUR_WALTER TAMAYO</t>
        </is>
      </c>
      <c r="K1180" t="inlineStr">
        <is>
          <t>1792161037001</t>
        </is>
      </c>
      <c r="M1180" t="inlineStr">
        <is>
          <t>INDIRECTO</t>
        </is>
      </c>
      <c r="N1180" t="inlineStr">
        <is>
          <t>CANAL INDIRECTO</t>
        </is>
      </c>
    </row>
    <row r="1181">
      <c r="A1181" t="inlineStr">
        <is>
          <t>20/10/2026</t>
        </is>
      </c>
      <c r="B1181" t="inlineStr">
        <is>
          <t>2026-08545</t>
        </is>
      </c>
      <c r="C1181" t="inlineStr">
        <is>
          <t>163141</t>
        </is>
      </c>
      <c r="D1181" t="inlineStr">
        <is>
          <t>163141</t>
        </is>
      </c>
      <c r="E1181" t="inlineStr">
        <is>
          <t>ESIM TIGO DIGITAL</t>
        </is>
      </c>
      <c r="F1181" t="n">
        <v>80</v>
      </c>
      <c r="G1181" t="n">
        <v>16.8</v>
      </c>
      <c r="H1181" t="inlineStr">
        <is>
          <t>0.21</t>
        </is>
      </c>
      <c r="J1181" t="inlineStr">
        <is>
          <t>AE CELISTICS QUICENTRO SUR_WALTER TAMAYO</t>
        </is>
      </c>
      <c r="K1181" t="inlineStr">
        <is>
          <t>1792161037001</t>
        </is>
      </c>
      <c r="M1181" t="inlineStr">
        <is>
          <t>INDIRECTO</t>
        </is>
      </c>
      <c r="N1181" t="inlineStr">
        <is>
          <t>CANAL INDIRECTO</t>
        </is>
      </c>
    </row>
    <row r="1182">
      <c r="A1182" t="inlineStr">
        <is>
          <t>20/10/2026</t>
        </is>
      </c>
      <c r="B1182" t="inlineStr">
        <is>
          <t>2026-08546</t>
        </is>
      </c>
      <c r="C1182" t="inlineStr">
        <is>
          <t>163140_02</t>
        </is>
      </c>
      <c r="D1182" t="inlineStr">
        <is>
          <t>163140</t>
        </is>
      </c>
      <c r="E1182" t="inlineStr">
        <is>
          <t>HALFSIM TIGO CHIP PREPAGO $3 WP NUMERADO</t>
        </is>
      </c>
      <c r="F1182" t="n">
        <v>8000</v>
      </c>
      <c r="G1182" t="n">
        <v>5520</v>
      </c>
      <c r="H1182" t="inlineStr">
        <is>
          <t>0.69</t>
        </is>
      </c>
      <c r="J1182" t="inlineStr">
        <is>
          <t>TECECAB PICHINCHA ZONIFICACION_BELEN JARAMILLO</t>
        </is>
      </c>
      <c r="K1182" t="inlineStr">
        <is>
          <t>1792306043001</t>
        </is>
      </c>
      <c r="M1182" t="inlineStr">
        <is>
          <t>INDIRECTO</t>
        </is>
      </c>
      <c r="N1182" t="inlineStr">
        <is>
          <t>CANAL INDIRECTO</t>
        </is>
      </c>
    </row>
    <row r="1183">
      <c r="A1183" t="inlineStr">
        <is>
          <t>20/10/2026</t>
        </is>
      </c>
      <c r="B1183" t="inlineStr">
        <is>
          <t>2026-08547</t>
        </is>
      </c>
      <c r="C1183" t="inlineStr">
        <is>
          <t>163140</t>
        </is>
      </c>
      <c r="D1183" t="inlineStr">
        <is>
          <t>163140</t>
        </is>
      </c>
      <c r="E1183" t="inlineStr">
        <is>
          <t>HALFSIM TIGO</t>
        </is>
      </c>
      <c r="F1183" t="n">
        <v>300</v>
      </c>
      <c r="G1183" t="n">
        <v>206.99999999999997</v>
      </c>
      <c r="H1183" t="inlineStr">
        <is>
          <t>0.69</t>
        </is>
      </c>
      <c r="J1183" t="inlineStr">
        <is>
          <t>PDV CELISTICS CC EL BOSQUE_MARIA JOSE TOBAR ZAMBRANO</t>
        </is>
      </c>
      <c r="K1183" t="inlineStr">
        <is>
          <t>1306571512</t>
        </is>
      </c>
      <c r="M1183" t="inlineStr">
        <is>
          <t>INDIRECTO</t>
        </is>
      </c>
      <c r="N1183" t="inlineStr">
        <is>
          <t>CANAL INDIRECTO</t>
        </is>
      </c>
    </row>
    <row r="1184">
      <c r="A1184" t="inlineStr">
        <is>
          <t>20/10/2026</t>
        </is>
      </c>
      <c r="B1184" t="inlineStr">
        <is>
          <t>2026-08547</t>
        </is>
      </c>
      <c r="C1184" t="inlineStr">
        <is>
          <t>163141</t>
        </is>
      </c>
      <c r="D1184" t="inlineStr">
        <is>
          <t>163141</t>
        </is>
      </c>
      <c r="E1184" t="inlineStr">
        <is>
          <t>ESIM TIGO DIGITAL</t>
        </is>
      </c>
      <c r="F1184" t="n">
        <v>20</v>
      </c>
      <c r="G1184" t="n">
        <v>4.2</v>
      </c>
      <c r="H1184" t="inlineStr">
        <is>
          <t>0.21</t>
        </is>
      </c>
      <c r="J1184" t="inlineStr">
        <is>
          <t>PDV CELISTICS CC EL BOSQUE_MARIA JOSE TOBAR ZAMBRANO</t>
        </is>
      </c>
      <c r="K1184" t="inlineStr">
        <is>
          <t>1306571512</t>
        </is>
      </c>
      <c r="M1184" t="inlineStr">
        <is>
          <t>INDIRECTO</t>
        </is>
      </c>
      <c r="N1184" t="inlineStr">
        <is>
          <t>CANAL INDIRECTO</t>
        </is>
      </c>
    </row>
    <row r="1185">
      <c r="A1185" t="inlineStr">
        <is>
          <t>20/10/2026</t>
        </is>
      </c>
      <c r="B1185" t="inlineStr">
        <is>
          <t>2026-08548</t>
        </is>
      </c>
      <c r="C1185" t="inlineStr">
        <is>
          <t>163140</t>
        </is>
      </c>
      <c r="D1185" t="inlineStr">
        <is>
          <t>163140</t>
        </is>
      </c>
      <c r="E1185" t="inlineStr">
        <is>
          <t>HALFSIM TIGO</t>
        </is>
      </c>
      <c r="F1185" t="n">
        <v>100</v>
      </c>
      <c r="G1185" t="n">
        <v>69</v>
      </c>
      <c r="H1185" t="inlineStr">
        <is>
          <t>0.69</t>
        </is>
      </c>
      <c r="J1185" t="inlineStr">
        <is>
          <t>AE NORPHONE SANTO DOMINGO BOMBOLI_PAOLA MORAN</t>
        </is>
      </c>
      <c r="K1185" t="inlineStr">
        <is>
          <t>1001472958</t>
        </is>
      </c>
      <c r="M1185" t="inlineStr">
        <is>
          <t>INDIRECTO</t>
        </is>
      </c>
      <c r="N1185" t="inlineStr">
        <is>
          <t>CANAL INDIRECTO</t>
        </is>
      </c>
    </row>
    <row r="1186">
      <c r="A1186" t="inlineStr">
        <is>
          <t>20/10/2026</t>
        </is>
      </c>
      <c r="B1186" t="inlineStr">
        <is>
          <t>2026-08548</t>
        </is>
      </c>
      <c r="C1186" t="inlineStr">
        <is>
          <t>163141</t>
        </is>
      </c>
      <c r="D1186" t="inlineStr">
        <is>
          <t>163141</t>
        </is>
      </c>
      <c r="E1186" t="inlineStr">
        <is>
          <t>ESIM TIGO DIGITAL</t>
        </is>
      </c>
      <c r="F1186" t="n">
        <v>50</v>
      </c>
      <c r="G1186" t="n">
        <v>10.5</v>
      </c>
      <c r="H1186" t="inlineStr">
        <is>
          <t>0.21</t>
        </is>
      </c>
      <c r="J1186" t="inlineStr">
        <is>
          <t>AE NORPHONE SANTO DOMINGO BOMBOLI_PAOLA MORAN</t>
        </is>
      </c>
      <c r="K1186" t="inlineStr">
        <is>
          <t>1001472958</t>
        </is>
      </c>
      <c r="M1186" t="inlineStr">
        <is>
          <t>INDIRECTO</t>
        </is>
      </c>
      <c r="N1186" t="inlineStr">
        <is>
          <t>CANAL INDIRECTO</t>
        </is>
      </c>
    </row>
    <row r="1187">
      <c r="A1187" t="inlineStr">
        <is>
          <t>20/10/2026</t>
        </is>
      </c>
      <c r="B1187" t="inlineStr">
        <is>
          <t>2026-08549</t>
        </is>
      </c>
      <c r="C1187" t="inlineStr">
        <is>
          <t>163140</t>
        </is>
      </c>
      <c r="D1187" t="inlineStr">
        <is>
          <t>163140</t>
        </is>
      </c>
      <c r="E1187" t="inlineStr">
        <is>
          <t>HALFSIM TIGO</t>
        </is>
      </c>
      <c r="F1187" t="n">
        <v>500</v>
      </c>
      <c r="G1187" t="n">
        <v>345</v>
      </c>
      <c r="H1187" t="inlineStr">
        <is>
          <t>0.69</t>
        </is>
      </c>
      <c r="J1187" t="inlineStr">
        <is>
          <t>AE CELISTIC PASEO SHOPPING RIOBAMBA_WALTER TAMAYO</t>
        </is>
      </c>
      <c r="K1187" t="inlineStr">
        <is>
          <t>1306571512</t>
        </is>
      </c>
      <c r="M1187" t="inlineStr">
        <is>
          <t>INDIRECTO</t>
        </is>
      </c>
      <c r="N1187" t="inlineStr">
        <is>
          <t>CANAL INDIRECTO</t>
        </is>
      </c>
    </row>
    <row r="1188">
      <c r="A1188" t="inlineStr">
        <is>
          <t>20/10/2026</t>
        </is>
      </c>
      <c r="B1188" t="inlineStr">
        <is>
          <t>2026-08549</t>
        </is>
      </c>
      <c r="C1188" t="inlineStr">
        <is>
          <t>163141</t>
        </is>
      </c>
      <c r="D1188" t="inlineStr">
        <is>
          <t>163141</t>
        </is>
      </c>
      <c r="E1188" t="inlineStr">
        <is>
          <t>ESIM TIGO DIGITAL</t>
        </is>
      </c>
      <c r="F1188" t="n">
        <v>50</v>
      </c>
      <c r="G1188" t="n">
        <v>10.5</v>
      </c>
      <c r="H1188" t="inlineStr">
        <is>
          <t>0.21</t>
        </is>
      </c>
      <c r="J1188" t="inlineStr">
        <is>
          <t>AE CELISTIC PASEO SHOPPING RIOBAMBA_WALTER TAMAYO</t>
        </is>
      </c>
      <c r="K1188" t="inlineStr">
        <is>
          <t>1306571512</t>
        </is>
      </c>
      <c r="M1188" t="inlineStr">
        <is>
          <t>INDIRECTO</t>
        </is>
      </c>
      <c r="N1188" t="inlineStr">
        <is>
          <t>CANAL INDIRECTO</t>
        </is>
      </c>
    </row>
    <row r="1189">
      <c r="A1189" t="inlineStr">
        <is>
          <t>20/10/2026</t>
        </is>
      </c>
      <c r="B1189" t="inlineStr">
        <is>
          <t>2026-08550</t>
        </is>
      </c>
      <c r="C1189" t="inlineStr">
        <is>
          <t>163140_02</t>
        </is>
      </c>
      <c r="D1189" t="inlineStr">
        <is>
          <t>163140</t>
        </is>
      </c>
      <c r="E1189" t="inlineStr">
        <is>
          <t>HALFSIM TIGO CHIP PREPAGO $3 WP NUMERADO</t>
        </is>
      </c>
      <c r="F1189" t="n">
        <v>500</v>
      </c>
      <c r="G1189" t="n">
        <v>345</v>
      </c>
      <c r="H1189" t="inlineStr">
        <is>
          <t>0.69</t>
        </is>
      </c>
      <c r="J1189" t="inlineStr">
        <is>
          <t>MOVIPHONE LOJA/ZAMORA PDA_LENIN CRESPO</t>
        </is>
      </c>
      <c r="K1189" t="inlineStr">
        <is>
          <t>0301197232</t>
        </is>
      </c>
      <c r="M1189" t="inlineStr">
        <is>
          <t>INDIRECTO</t>
        </is>
      </c>
      <c r="N1189" t="inlineStr">
        <is>
          <t>CANAL INDIRECTO</t>
        </is>
      </c>
    </row>
    <row r="1190">
      <c r="A1190" t="inlineStr">
        <is>
          <t>20/10/2026</t>
        </is>
      </c>
      <c r="B1190" t="inlineStr">
        <is>
          <t>2026-08552</t>
        </is>
      </c>
      <c r="C1190" t="inlineStr">
        <is>
          <t>163141</t>
        </is>
      </c>
      <c r="D1190" t="inlineStr">
        <is>
          <t>163141</t>
        </is>
      </c>
      <c r="E1190" t="inlineStr">
        <is>
          <t>ESIM TIGO DIGITAL</t>
        </is>
      </c>
      <c r="F1190" t="n">
        <v>90</v>
      </c>
      <c r="G1190" t="n">
        <v>18.899999999999999</v>
      </c>
      <c r="H1190" t="inlineStr">
        <is>
          <t>0.21</t>
        </is>
      </c>
      <c r="J1190" t="inlineStr">
        <is>
          <t>AGENTE AE CELISTICS SAN LUIS_WALTER TAMAYO</t>
        </is>
      </c>
      <c r="K1190" t="inlineStr">
        <is>
          <t>1792161037001</t>
        </is>
      </c>
      <c r="M1190" t="inlineStr">
        <is>
          <t>INDIRECTO</t>
        </is>
      </c>
      <c r="N1190" t="inlineStr">
        <is>
          <t>CANAL INDIRECTO</t>
        </is>
      </c>
    </row>
    <row r="1191">
      <c r="A1191" t="inlineStr">
        <is>
          <t>20/10/2026</t>
        </is>
      </c>
      <c r="B1191" t="inlineStr">
        <is>
          <t>2026-08553</t>
        </is>
      </c>
      <c r="C1191" t="inlineStr">
        <is>
          <t>163140_06</t>
        </is>
      </c>
      <c r="D1191" t="inlineStr">
        <is>
          <t>163140</t>
        </is>
      </c>
      <c r="E1191" t="inlineStr">
        <is>
          <t>HALFSIM TIGO PORTABILIDAD</t>
        </is>
      </c>
      <c r="F1191" t="n">
        <v>100</v>
      </c>
      <c r="G1191" t="n">
        <v>69</v>
      </c>
      <c r="H1191" t="inlineStr">
        <is>
          <t>0.69</t>
        </is>
      </c>
      <c r="J1191" t="inlineStr">
        <is>
          <t>KIOSKO SMARTPHONELANDIA CITY MALL_ROMERO RODRIGUEZ CESAR BERNABE</t>
        </is>
      </c>
      <c r="K1191" t="inlineStr">
        <is>
          <t>0918930660</t>
        </is>
      </c>
      <c r="M1191" t="inlineStr">
        <is>
          <t>INDIRECTO</t>
        </is>
      </c>
      <c r="N1191" t="inlineStr">
        <is>
          <t>CANAL INDIRECTO</t>
        </is>
      </c>
    </row>
    <row r="1192">
      <c r="A1192" t="inlineStr">
        <is>
          <t>20/10/2026</t>
        </is>
      </c>
      <c r="B1192" t="inlineStr">
        <is>
          <t>2026-08554</t>
        </is>
      </c>
      <c r="C1192" t="inlineStr">
        <is>
          <t>163140</t>
        </is>
      </c>
      <c r="D1192" t="inlineStr">
        <is>
          <t>163140</t>
        </is>
      </c>
      <c r="E1192" t="inlineStr">
        <is>
          <t>HALFSIM TIGO</t>
        </is>
      </c>
      <c r="F1192" t="n">
        <v>200</v>
      </c>
      <c r="G1192" t="n">
        <v>138</v>
      </c>
      <c r="H1192" t="inlineStr">
        <is>
          <t>0.69</t>
        </is>
      </c>
      <c r="J1192" t="inlineStr">
        <is>
          <t>CAVS AE SALESLAND MACHALA_JULY FREIRE</t>
        </is>
      </c>
      <c r="K1192" t="inlineStr">
        <is>
          <t>1793079628001</t>
        </is>
      </c>
      <c r="M1192" t="inlineStr">
        <is>
          <t>INDIRECTO</t>
        </is>
      </c>
      <c r="N1192" t="inlineStr">
        <is>
          <t>CANAL INDIRECTO</t>
        </is>
      </c>
    </row>
    <row r="1193">
      <c r="A1193" t="inlineStr">
        <is>
          <t>20/10/2026</t>
        </is>
      </c>
      <c r="B1193" t="inlineStr">
        <is>
          <t>2026-08555</t>
        </is>
      </c>
      <c r="C1193" t="inlineStr">
        <is>
          <t>163140_02</t>
        </is>
      </c>
      <c r="D1193" t="inlineStr">
        <is>
          <t>163140</t>
        </is>
      </c>
      <c r="E1193" t="inlineStr">
        <is>
          <t>HALFSIM TIGO CHIP PREPAGO $3 WP NUMERADO</t>
        </is>
      </c>
      <c r="F1193" t="n">
        <v>100</v>
      </c>
      <c r="G1193" t="n">
        <v>69</v>
      </c>
      <c r="H1193" t="inlineStr">
        <is>
          <t>0.69</t>
        </is>
      </c>
      <c r="J1193" t="inlineStr">
        <is>
          <t>KIOSKO RYRTECH SAN MARINO_ROMERO RODRIGUEZ MAURENY GEANELLA</t>
        </is>
      </c>
      <c r="K1193" t="inlineStr">
        <is>
          <t>0915962609</t>
        </is>
      </c>
      <c r="M1193" t="inlineStr">
        <is>
          <t>INDIRECTO</t>
        </is>
      </c>
      <c r="N1193" t="inlineStr">
        <is>
          <t>CANAL INDIRECTO</t>
        </is>
      </c>
    </row>
    <row r="1194">
      <c r="A1194" t="inlineStr">
        <is>
          <t>20/10/2026</t>
        </is>
      </c>
      <c r="B1194" t="inlineStr">
        <is>
          <t>2026-08556</t>
        </is>
      </c>
      <c r="C1194" t="inlineStr">
        <is>
          <t>163140_02</t>
        </is>
      </c>
      <c r="D1194" t="inlineStr">
        <is>
          <t>163140</t>
        </is>
      </c>
      <c r="E1194" t="inlineStr">
        <is>
          <t>HALFSIM TIGO CHIP PREPAGO $3 WP NUMERADO</t>
        </is>
      </c>
      <c r="F1194" t="n">
        <v>500</v>
      </c>
      <c r="G1194" t="n">
        <v>345</v>
      </c>
      <c r="H1194" t="inlineStr">
        <is>
          <t>0.69</t>
        </is>
      </c>
      <c r="J1194" t="inlineStr">
        <is>
          <t>SEPMGROUPSEPM S.A.S. - LOJA_JOSE DAVID JARA PESANTEZ</t>
        </is>
      </c>
      <c r="K1194" t="inlineStr">
        <is>
          <t>0105108419</t>
        </is>
      </c>
      <c r="M1194" t="inlineStr">
        <is>
          <t>INDIRECTO</t>
        </is>
      </c>
      <c r="N1194" t="inlineStr">
        <is>
          <t>CANAL INDIRECTO</t>
        </is>
      </c>
    </row>
    <row r="1195">
      <c r="A1195" t="inlineStr">
        <is>
          <t>20/10/2026</t>
        </is>
      </c>
      <c r="B1195" t="inlineStr">
        <is>
          <t>2026-08557</t>
        </is>
      </c>
      <c r="C1195" t="inlineStr">
        <is>
          <t>163140_02</t>
        </is>
      </c>
      <c r="D1195" t="inlineStr">
        <is>
          <t>163140</t>
        </is>
      </c>
      <c r="E1195" t="inlineStr">
        <is>
          <t>HALFSIM TIGO CHIP PREPAGO $3 WP NUMERADO</t>
        </is>
      </c>
      <c r="F1195" t="n">
        <v>500</v>
      </c>
      <c r="G1195" t="n">
        <v>345</v>
      </c>
      <c r="H1195" t="inlineStr">
        <is>
          <t>0.69</t>
        </is>
      </c>
      <c r="J1195" t="inlineStr">
        <is>
          <t>JORGE ISAAC CENTENO URETA _JORGE ISAAC CENTENO URETA</t>
        </is>
      </c>
      <c r="K1195" t="inlineStr">
        <is>
          <t>1307869394001</t>
        </is>
      </c>
      <c r="M1195" t="inlineStr">
        <is>
          <t>INDIRECTO</t>
        </is>
      </c>
      <c r="N1195" t="inlineStr">
        <is>
          <t>CANAL INDIRECTO</t>
        </is>
      </c>
    </row>
    <row r="1196">
      <c r="A1196" t="inlineStr">
        <is>
          <t>20/10/2026</t>
        </is>
      </c>
      <c r="B1196" t="inlineStr">
        <is>
          <t>16506230</t>
        </is>
      </c>
      <c r="C1196" t="inlineStr">
        <is>
          <t>163140</t>
        </is>
      </c>
      <c r="D1196" t="inlineStr">
        <is>
          <t>163140</t>
        </is>
      </c>
      <c r="E1196" t="inlineStr">
        <is>
          <t>HALFSIM TIGO</t>
        </is>
      </c>
      <c r="F1196" t="n">
        <v>1</v>
      </c>
      <c r="G1196" t="n">
        <v>0.69</v>
      </c>
      <c r="H1196" t="inlineStr">
        <is>
          <t>0.69</t>
        </is>
      </c>
      <c r="J1196" t="inlineStr">
        <is>
          <t>SANTIAGO OLEAS_WOA ECUADOR AGENCIA ASESORA PRODUCTORA DE SEGUROS</t>
        </is>
      </c>
      <c r="K1196" t="inlineStr">
        <is>
          <t>1792488486001</t>
        </is>
      </c>
      <c r="M1196" t="inlineStr">
        <is>
          <t>BTB</t>
        </is>
      </c>
      <c r="N1196" t="inlineStr">
        <is>
          <t>CANAL DIRECTO</t>
        </is>
      </c>
    </row>
    <row r="1197">
      <c r="A1197" t="inlineStr">
        <is>
          <t>20/10/2026</t>
        </is>
      </c>
      <c r="B1197" t="inlineStr">
        <is>
          <t>16506235</t>
        </is>
      </c>
      <c r="C1197" t="inlineStr">
        <is>
          <t>163140</t>
        </is>
      </c>
      <c r="D1197" t="inlineStr">
        <is>
          <t>163140</t>
        </is>
      </c>
      <c r="E1197" t="inlineStr">
        <is>
          <t>HALFSIM TIGO</t>
        </is>
      </c>
      <c r="F1197" t="n">
        <v>5</v>
      </c>
      <c r="G1197" t="n">
        <v>3.4499999999999997</v>
      </c>
      <c r="H1197" t="inlineStr">
        <is>
          <t>0.69</t>
        </is>
      </c>
      <c r="J1197" t="inlineStr">
        <is>
          <t>MARIA GABRIELA QUISHPE LOPEZ_PRODUCTORA Y COMERCIALIZADORA GUADAPRODUCTS CIA LT</t>
        </is>
      </c>
      <c r="K1197" t="inlineStr">
        <is>
          <t>1792734797001</t>
        </is>
      </c>
      <c r="M1197" t="inlineStr">
        <is>
          <t>BTB</t>
        </is>
      </c>
      <c r="N1197" t="inlineStr">
        <is>
          <t>CANAL DIRECTO</t>
        </is>
      </c>
    </row>
    <row r="1198">
      <c r="A1198" t="inlineStr">
        <is>
          <t>20/10/2026</t>
        </is>
      </c>
      <c r="B1198" t="inlineStr">
        <is>
          <t>16506291</t>
        </is>
      </c>
      <c r="C1198" t="inlineStr">
        <is>
          <t>163140</t>
        </is>
      </c>
      <c r="D1198" t="inlineStr">
        <is>
          <t>163140</t>
        </is>
      </c>
      <c r="E1198" t="inlineStr">
        <is>
          <t>HALFSIM TIGO</t>
        </is>
      </c>
      <c r="F1198" t="n">
        <v>2</v>
      </c>
      <c r="G1198" t="n">
        <v>1.38</v>
      </c>
      <c r="H1198" t="inlineStr">
        <is>
          <t>0.69</t>
        </is>
      </c>
      <c r="J1198" t="inlineStr">
        <is>
          <t>DANILO BRITO_INSPECTORA DE RIESGOS SAFERISK CIA LTDA</t>
        </is>
      </c>
      <c r="K1198" t="inlineStr">
        <is>
          <t>1792797403001</t>
        </is>
      </c>
      <c r="M1198" t="inlineStr">
        <is>
          <t>BTB</t>
        </is>
      </c>
      <c r="N1198" t="inlineStr">
        <is>
          <t>CANAL DIRECTO</t>
        </is>
      </c>
    </row>
    <row r="1199">
      <c r="A1199" t="inlineStr">
        <is>
          <t>20/10/2026</t>
        </is>
      </c>
      <c r="B1199" t="inlineStr">
        <is>
          <t>16506329</t>
        </is>
      </c>
      <c r="C1199" t="inlineStr">
        <is>
          <t>163140</t>
        </is>
      </c>
      <c r="D1199" t="inlineStr">
        <is>
          <t>163140</t>
        </is>
      </c>
      <c r="E1199" t="inlineStr">
        <is>
          <t>HALFSIM TIGO</t>
        </is>
      </c>
      <c r="F1199" t="n">
        <v>5</v>
      </c>
      <c r="G1199" t="n">
        <v>3.4499999999999997</v>
      </c>
      <c r="H1199" t="inlineStr">
        <is>
          <t>0.69</t>
        </is>
      </c>
      <c r="J1199" t="inlineStr">
        <is>
          <t>JOSELYN RODRIGUEZ_PUBLIMARKCACORPORACION EMPRESARIAL S A S</t>
        </is>
      </c>
      <c r="K1199" t="inlineStr">
        <is>
          <t>1793186084001</t>
        </is>
      </c>
      <c r="M1199" t="inlineStr">
        <is>
          <t>BTB</t>
        </is>
      </c>
      <c r="N1199" t="inlineStr">
        <is>
          <t>CANAL DIRECTO</t>
        </is>
      </c>
    </row>
    <row r="1200">
      <c r="A1200" t="inlineStr">
        <is>
          <t>20/10/2026</t>
        </is>
      </c>
      <c r="B1200" t="inlineStr">
        <is>
          <t>16506348</t>
        </is>
      </c>
      <c r="C1200" t="inlineStr">
        <is>
          <t>163140</t>
        </is>
      </c>
      <c r="D1200" t="inlineStr">
        <is>
          <t>163140</t>
        </is>
      </c>
      <c r="E1200" t="inlineStr">
        <is>
          <t>HALFSIM TIGO</t>
        </is>
      </c>
      <c r="F1200" t="n">
        <v>1</v>
      </c>
      <c r="G1200" t="n">
        <v>0.69</v>
      </c>
      <c r="H1200" t="inlineStr">
        <is>
          <t>0.69</t>
        </is>
      </c>
      <c r="J1200" t="inlineStr">
        <is>
          <t>OMAR PUMA_NTT DATA ECUADOR S A</t>
        </is>
      </c>
      <c r="K1200" t="inlineStr">
        <is>
          <t>1793207896001</t>
        </is>
      </c>
      <c r="M1200" t="inlineStr">
        <is>
          <t>BTB</t>
        </is>
      </c>
      <c r="N1200" t="inlineStr">
        <is>
          <t>CANAL DIRECTO</t>
        </is>
      </c>
    </row>
    <row r="1201">
      <c r="A1201" t="inlineStr">
        <is>
          <t>20/10/2026</t>
        </is>
      </c>
      <c r="B1201" t="inlineStr">
        <is>
          <t>16506380</t>
        </is>
      </c>
      <c r="C1201" t="inlineStr">
        <is>
          <t>163140</t>
        </is>
      </c>
      <c r="D1201" t="inlineStr">
        <is>
          <t>163140</t>
        </is>
      </c>
      <c r="E1201" t="inlineStr">
        <is>
          <t>HALFSIM TIGO</t>
        </is>
      </c>
      <c r="F1201" t="n">
        <v>2</v>
      </c>
      <c r="G1201" t="n">
        <v>1.38</v>
      </c>
      <c r="H1201" t="inlineStr">
        <is>
          <t>0.69</t>
        </is>
      </c>
      <c r="J1201" t="inlineStr">
        <is>
          <t>STALIN CAIZAPANTA_LANSEY S A</t>
        </is>
      </c>
      <c r="K1201" t="inlineStr">
        <is>
          <t>0991248021001</t>
        </is>
      </c>
      <c r="M1201" t="inlineStr">
        <is>
          <t>BTB</t>
        </is>
      </c>
      <c r="N1201" t="inlineStr">
        <is>
          <t>CANAL DIRECTO</t>
        </is>
      </c>
    </row>
    <row r="1202">
      <c r="A1202" t="inlineStr">
        <is>
          <t>20/10/2026</t>
        </is>
      </c>
      <c r="B1202" t="inlineStr">
        <is>
          <t>16506399</t>
        </is>
      </c>
      <c r="C1202" t="inlineStr">
        <is>
          <t>163140</t>
        </is>
      </c>
      <c r="D1202" t="inlineStr">
        <is>
          <t>163140</t>
        </is>
      </c>
      <c r="E1202" t="inlineStr">
        <is>
          <t>HALFSIM TIGO</t>
        </is>
      </c>
      <c r="F1202" t="n">
        <v>1</v>
      </c>
      <c r="G1202" t="n">
        <v>0.69</v>
      </c>
      <c r="H1202" t="inlineStr">
        <is>
          <t>0.69</t>
        </is>
      </c>
      <c r="J1202" t="inlineStr">
        <is>
          <t>JOSELYN RODRIGUEZ_LA BICOK S A S</t>
        </is>
      </c>
      <c r="K1202" t="inlineStr">
        <is>
          <t>1793233892001</t>
        </is>
      </c>
      <c r="M1202" t="inlineStr">
        <is>
          <t>BTB</t>
        </is>
      </c>
      <c r="N1202" t="inlineStr">
        <is>
          <t>CANAL DIRECTO</t>
        </is>
      </c>
    </row>
    <row r="1203">
      <c r="A1203" t="inlineStr">
        <is>
          <t>21/10/2026</t>
        </is>
      </c>
      <c r="B1203" t="inlineStr">
        <is>
          <t>16503720</t>
        </is>
      </c>
      <c r="C1203" t="inlineStr">
        <is>
          <t>163140</t>
        </is>
      </c>
      <c r="D1203" t="inlineStr">
        <is>
          <t>163140</t>
        </is>
      </c>
      <c r="E1203" t="inlineStr">
        <is>
          <t>HALFSIM TIGO</t>
        </is>
      </c>
      <c r="F1203" t="n">
        <v>1</v>
      </c>
      <c r="G1203" t="n">
        <v>0.69</v>
      </c>
      <c r="H1203" t="inlineStr">
        <is>
          <t>0.69</t>
        </is>
      </c>
      <c r="J1203" t="inlineStr">
        <is>
          <t>PIZARRO AYO GONZALO_PIZARRO AYO GONZALO</t>
        </is>
      </c>
      <c r="K1203" t="inlineStr">
        <is>
          <t>1704702313001</t>
        </is>
      </c>
      <c r="M1203" t="inlineStr">
        <is>
          <t>BTB</t>
        </is>
      </c>
      <c r="N1203" t="inlineStr">
        <is>
          <t>CANAL DIRECTO</t>
        </is>
      </c>
    </row>
    <row r="1204">
      <c r="A1204" t="inlineStr">
        <is>
          <t>21/10/2026</t>
        </is>
      </c>
      <c r="B1204" t="inlineStr">
        <is>
          <t>16504785</t>
        </is>
      </c>
      <c r="C1204" t="inlineStr">
        <is>
          <t>163140</t>
        </is>
      </c>
      <c r="D1204" t="inlineStr">
        <is>
          <t>163140</t>
        </is>
      </c>
      <c r="E1204" t="inlineStr">
        <is>
          <t>HALFSIM TIGO</t>
        </is>
      </c>
      <c r="F1204" t="n">
        <v>1</v>
      </c>
      <c r="G1204" t="n">
        <v>0.69</v>
      </c>
      <c r="H1204" t="inlineStr">
        <is>
          <t>0.69</t>
        </is>
      </c>
      <c r="J1204" t="inlineStr">
        <is>
          <t>BONE BONE ROVER JOEL_BONE BONE ROVER JOEL</t>
        </is>
      </c>
      <c r="K1204" t="inlineStr">
        <is>
          <t>0801049503001</t>
        </is>
      </c>
      <c r="M1204" t="inlineStr">
        <is>
          <t>BTB</t>
        </is>
      </c>
      <c r="N1204" t="inlineStr">
        <is>
          <t>CANAL DIRECTO</t>
        </is>
      </c>
    </row>
    <row r="1205">
      <c r="A1205" t="inlineStr">
        <is>
          <t>21/10/2026</t>
        </is>
      </c>
      <c r="B1205" t="inlineStr">
        <is>
          <t>16505337</t>
        </is>
      </c>
      <c r="C1205" t="inlineStr">
        <is>
          <t>163140</t>
        </is>
      </c>
      <c r="D1205" t="inlineStr">
        <is>
          <t>163140</t>
        </is>
      </c>
      <c r="E1205" t="inlineStr">
        <is>
          <t>HALFSIM TIGO</t>
        </is>
      </c>
      <c r="F1205" t="n">
        <v>1</v>
      </c>
      <c r="G1205" t="n">
        <v>0.69</v>
      </c>
      <c r="H1205" t="inlineStr">
        <is>
          <t>0.69</t>
        </is>
      </c>
      <c r="J1205" t="inlineStr">
        <is>
          <t>YANNUZZELLI RIVADENEIRA TONIO ANDRES_YANNUZZELLI RIVADENEIRA TONIO ANDRES</t>
        </is>
      </c>
      <c r="K1205" t="inlineStr">
        <is>
          <t>0950473504001</t>
        </is>
      </c>
      <c r="M1205" t="inlineStr">
        <is>
          <t>BTB</t>
        </is>
      </c>
      <c r="N1205" t="inlineStr">
        <is>
          <t>CANAL DIRECTO</t>
        </is>
      </c>
    </row>
    <row r="1206">
      <c r="A1206" t="inlineStr">
        <is>
          <t>21/10/2026</t>
        </is>
      </c>
      <c r="B1206" t="inlineStr">
        <is>
          <t>16505424</t>
        </is>
      </c>
      <c r="C1206" t="inlineStr">
        <is>
          <t>163140</t>
        </is>
      </c>
      <c r="D1206" t="inlineStr">
        <is>
          <t>163140</t>
        </is>
      </c>
      <c r="E1206" t="inlineStr">
        <is>
          <t>HALFSIM TIGO</t>
        </is>
      </c>
      <c r="F1206" t="n">
        <v>1</v>
      </c>
      <c r="G1206" t="n">
        <v>0.69</v>
      </c>
      <c r="H1206" t="inlineStr">
        <is>
          <t>0.69</t>
        </is>
      </c>
      <c r="J1206" t="inlineStr">
        <is>
          <t>PINARGOTE REAL VICENTE EDDY_PINARGOTE REAL VICENTE EDDY</t>
        </is>
      </c>
      <c r="K1206" t="inlineStr">
        <is>
          <t>0930512181001</t>
        </is>
      </c>
      <c r="M1206" t="inlineStr">
        <is>
          <t>BTB</t>
        </is>
      </c>
      <c r="N1206" t="inlineStr">
        <is>
          <t>CANAL DIRECTO</t>
        </is>
      </c>
    </row>
    <row r="1207">
      <c r="A1207" t="inlineStr">
        <is>
          <t>21/10/2026</t>
        </is>
      </c>
      <c r="B1207" t="inlineStr">
        <is>
          <t>16505460</t>
        </is>
      </c>
      <c r="C1207" t="inlineStr">
        <is>
          <t>163140</t>
        </is>
      </c>
      <c r="D1207" t="inlineStr">
        <is>
          <t>163140</t>
        </is>
      </c>
      <c r="E1207" t="inlineStr">
        <is>
          <t>HALFSIM TIGO</t>
        </is>
      </c>
      <c r="F1207" t="n">
        <v>1</v>
      </c>
      <c r="G1207" t="n">
        <v>0.69</v>
      </c>
      <c r="H1207" t="inlineStr">
        <is>
          <t>0.69</t>
        </is>
      </c>
      <c r="J1207" t="inlineStr">
        <is>
          <t>FEREIRA AQUILINO LEONARDO JOSE_FEREIRA AQUILINO LEONARDO JOSE</t>
        </is>
      </c>
      <c r="K1207" t="inlineStr">
        <is>
          <t>1759984311001</t>
        </is>
      </c>
      <c r="M1207" t="inlineStr">
        <is>
          <t>BTB</t>
        </is>
      </c>
      <c r="N1207" t="inlineStr">
        <is>
          <t>CANAL DIRECTO</t>
        </is>
      </c>
    </row>
    <row r="1208">
      <c r="A1208" t="inlineStr">
        <is>
          <t>21/10/2026</t>
        </is>
      </c>
      <c r="B1208" t="inlineStr">
        <is>
          <t>97778050</t>
        </is>
      </c>
      <c r="C1208" t="inlineStr">
        <is>
          <t>163140</t>
        </is>
      </c>
      <c r="D1208" t="inlineStr">
        <is>
          <t>163140</t>
        </is>
      </c>
      <c r="E1208" t="inlineStr">
        <is>
          <t>HALFSIM TIGO</t>
        </is>
      </c>
      <c r="F1208" t="n">
        <v>1</v>
      </c>
      <c r="G1208" t="n">
        <v>0.69</v>
      </c>
      <c r="H1208" t="inlineStr">
        <is>
          <t>0.69</t>
        </is>
      </c>
      <c r="J1208" t="inlineStr">
        <is>
          <t>Genesis Aracely Rivera Reisancho</t>
        </is>
      </c>
      <c r="K1208" t="inlineStr">
        <is>
          <t>1754502969</t>
        </is>
      </c>
      <c r="L1208" t="inlineStr">
        <is>
          <t>Quito</t>
        </is>
      </c>
      <c r="M1208" t="inlineStr">
        <is>
          <t>Cliente Final</t>
        </is>
      </c>
      <c r="N1208" t="inlineStr">
        <is>
          <t>CANAL INDIRECTO</t>
        </is>
      </c>
    </row>
    <row r="1209">
      <c r="A1209" t="inlineStr">
        <is>
          <t>21/10/2026</t>
        </is>
      </c>
      <c r="B1209" t="inlineStr">
        <is>
          <t>97774782</t>
        </is>
      </c>
      <c r="C1209" t="inlineStr">
        <is>
          <t>163140</t>
        </is>
      </c>
      <c r="D1209" t="inlineStr">
        <is>
          <t>163140</t>
        </is>
      </c>
      <c r="E1209" t="inlineStr">
        <is>
          <t>HALFSIM TIGO</t>
        </is>
      </c>
      <c r="F1209" t="n">
        <v>1</v>
      </c>
      <c r="G1209" t="n">
        <v>0.69</v>
      </c>
      <c r="H1209" t="inlineStr">
        <is>
          <t>0.69</t>
        </is>
      </c>
      <c r="J1209" t="inlineStr">
        <is>
          <t>MIGUEL ANGEL VALLADARES HELENO</t>
        </is>
      </c>
      <c r="K1209" t="inlineStr">
        <is>
          <t>1717875460</t>
        </is>
      </c>
      <c r="L1209" t="inlineStr">
        <is>
          <t>Quito</t>
        </is>
      </c>
      <c r="M1209" t="inlineStr">
        <is>
          <t>Cliente Final</t>
        </is>
      </c>
      <c r="N1209" t="inlineStr">
        <is>
          <t>CANAL INDIRECTO</t>
        </is>
      </c>
    </row>
    <row r="1210">
      <c r="A1210" t="inlineStr">
        <is>
          <t>21/10/2026</t>
        </is>
      </c>
      <c r="B1210" t="inlineStr">
        <is>
          <t>97780003</t>
        </is>
      </c>
      <c r="C1210" t="inlineStr">
        <is>
          <t>163140</t>
        </is>
      </c>
      <c r="D1210" t="inlineStr">
        <is>
          <t>163140</t>
        </is>
      </c>
      <c r="E1210" t="inlineStr">
        <is>
          <t>HALFSIM TIGO</t>
        </is>
      </c>
      <c r="F1210" t="n">
        <v>1</v>
      </c>
      <c r="G1210" t="n">
        <v>0.69</v>
      </c>
      <c r="H1210" t="inlineStr">
        <is>
          <t>0.69</t>
        </is>
      </c>
      <c r="J1210" t="inlineStr">
        <is>
          <t>Yessenia Alejandra Rea Salazar</t>
        </is>
      </c>
      <c r="K1210" t="inlineStr">
        <is>
          <t>1752822195</t>
        </is>
      </c>
      <c r="L1210" t="inlineStr">
        <is>
          <t>Quito</t>
        </is>
      </c>
      <c r="M1210" t="inlineStr">
        <is>
          <t>Cliente Final</t>
        </is>
      </c>
      <c r="N1210" t="inlineStr">
        <is>
          <t>CANAL INDIRECTO</t>
        </is>
      </c>
    </row>
    <row r="1211">
      <c r="A1211" t="inlineStr">
        <is>
          <t>21/10/2026</t>
        </is>
      </c>
      <c r="B1211" t="inlineStr">
        <is>
          <t>16505839</t>
        </is>
      </c>
      <c r="C1211" t="inlineStr">
        <is>
          <t>163140</t>
        </is>
      </c>
      <c r="D1211" t="inlineStr">
        <is>
          <t>163140</t>
        </is>
      </c>
      <c r="E1211" t="inlineStr">
        <is>
          <t>HALFSIM TIGO</t>
        </is>
      </c>
      <c r="F1211" t="n">
        <v>1</v>
      </c>
      <c r="G1211" t="n">
        <v>0.69</v>
      </c>
      <c r="H1211" t="inlineStr">
        <is>
          <t>0.69</t>
        </is>
      </c>
      <c r="J1211" t="inlineStr">
        <is>
          <t>HIDALGO GARCIA ORLY RONALD_HIDALGO GARCIA ORLY RONALD</t>
        </is>
      </c>
      <c r="K1211" t="inlineStr">
        <is>
          <t>0925101768001</t>
        </is>
      </c>
      <c r="M1211" t="inlineStr">
        <is>
          <t>BTB</t>
        </is>
      </c>
      <c r="N1211" t="inlineStr">
        <is>
          <t>CANAL DIRECTO</t>
        </is>
      </c>
    </row>
    <row r="1212">
      <c r="A1212" t="inlineStr">
        <is>
          <t>21/10/2026</t>
        </is>
      </c>
      <c r="B1212" t="inlineStr">
        <is>
          <t>16505908</t>
        </is>
      </c>
      <c r="C1212" t="inlineStr">
        <is>
          <t>163140</t>
        </is>
      </c>
      <c r="D1212" t="inlineStr">
        <is>
          <t>163140</t>
        </is>
      </c>
      <c r="E1212" t="inlineStr">
        <is>
          <t>HALFSIM TIGO</t>
        </is>
      </c>
      <c r="F1212" t="n">
        <v>1</v>
      </c>
      <c r="G1212" t="n">
        <v>0.69</v>
      </c>
      <c r="H1212" t="inlineStr">
        <is>
          <t>0.69</t>
        </is>
      </c>
      <c r="J1212" t="inlineStr">
        <is>
          <t>IPIALES TERAN FRANCISCO JAVIER_IPIALES TERAN FRANCISCO JAVIER</t>
        </is>
      </c>
      <c r="K1212" t="inlineStr">
        <is>
          <t>1002352597001</t>
        </is>
      </c>
      <c r="M1212" t="inlineStr">
        <is>
          <t>BTB</t>
        </is>
      </c>
      <c r="N1212" t="inlineStr">
        <is>
          <t>CANAL DIRECTO</t>
        </is>
      </c>
    </row>
    <row r="1213">
      <c r="A1213" t="inlineStr">
        <is>
          <t>21/10/2026</t>
        </is>
      </c>
      <c r="B1213" t="inlineStr">
        <is>
          <t>16506088</t>
        </is>
      </c>
      <c r="C1213" t="inlineStr">
        <is>
          <t>163140</t>
        </is>
      </c>
      <c r="D1213" t="inlineStr">
        <is>
          <t>163140</t>
        </is>
      </c>
      <c r="E1213" t="inlineStr">
        <is>
          <t>HALFSIM TIGO</t>
        </is>
      </c>
      <c r="F1213" t="n">
        <v>1</v>
      </c>
      <c r="G1213" t="n">
        <v>0.69</v>
      </c>
      <c r="H1213" t="inlineStr">
        <is>
          <t>0.69</t>
        </is>
      </c>
      <c r="J1213" t="inlineStr">
        <is>
          <t>TONATO QUISPE KLEVER JACINTO_TONATO QUISPE KLEVER JACINTO</t>
        </is>
      </c>
      <c r="K1213" t="inlineStr">
        <is>
          <t>0502299340001</t>
        </is>
      </c>
      <c r="M1213" t="inlineStr">
        <is>
          <t>BTB</t>
        </is>
      </c>
      <c r="N1213" t="inlineStr">
        <is>
          <t>CANAL DIRECTO</t>
        </is>
      </c>
    </row>
    <row r="1214">
      <c r="A1214" t="inlineStr">
        <is>
          <t>21/10/2026</t>
        </is>
      </c>
      <c r="B1214" t="inlineStr">
        <is>
          <t>16506090</t>
        </is>
      </c>
      <c r="C1214" t="inlineStr">
        <is>
          <t>163140</t>
        </is>
      </c>
      <c r="D1214" t="inlineStr">
        <is>
          <t>163140</t>
        </is>
      </c>
      <c r="E1214" t="inlineStr">
        <is>
          <t>HALFSIM TIGO</t>
        </is>
      </c>
      <c r="F1214" t="n">
        <v>1</v>
      </c>
      <c r="G1214" t="n">
        <v>0.69</v>
      </c>
      <c r="H1214" t="inlineStr">
        <is>
          <t>0.69</t>
        </is>
      </c>
      <c r="J1214" t="inlineStr">
        <is>
          <t>AGURTO MACAS ROCIO DEL CISNE_AGURTO MACAS ROCIO DEL CISNE</t>
        </is>
      </c>
      <c r="K1214" t="inlineStr">
        <is>
          <t>1103315410001</t>
        </is>
      </c>
      <c r="M1214" t="inlineStr">
        <is>
          <t>BTB</t>
        </is>
      </c>
      <c r="N1214" t="inlineStr">
        <is>
          <t>CANAL DIRECTO</t>
        </is>
      </c>
    </row>
    <row r="1215">
      <c r="A1215" t="inlineStr">
        <is>
          <t>21/10/2026</t>
        </is>
      </c>
      <c r="B1215" t="inlineStr">
        <is>
          <t>16506091</t>
        </is>
      </c>
      <c r="C1215" t="inlineStr">
        <is>
          <t>163140</t>
        </is>
      </c>
      <c r="D1215" t="inlineStr">
        <is>
          <t>163140</t>
        </is>
      </c>
      <c r="E1215" t="inlineStr">
        <is>
          <t>HALFSIM TIGO</t>
        </is>
      </c>
      <c r="F1215" t="n">
        <v>1</v>
      </c>
      <c r="G1215" t="n">
        <v>0.69</v>
      </c>
      <c r="H1215" t="inlineStr">
        <is>
          <t>0.69</t>
        </is>
      </c>
      <c r="J1215" t="inlineStr">
        <is>
          <t>PUETATE AYALA WILLAM OSWALDO_PUETATE AYALA WILLAM OSWALDO</t>
        </is>
      </c>
      <c r="K1215" t="inlineStr">
        <is>
          <t>0401659321001</t>
        </is>
      </c>
      <c r="M1215" t="inlineStr">
        <is>
          <t>BTB</t>
        </is>
      </c>
      <c r="N1215" t="inlineStr">
        <is>
          <t>CANAL DIRECTO</t>
        </is>
      </c>
    </row>
    <row r="1216">
      <c r="A1216" t="inlineStr">
        <is>
          <t>21/10/2026</t>
        </is>
      </c>
      <c r="B1216" t="inlineStr">
        <is>
          <t>97778298</t>
        </is>
      </c>
      <c r="C1216" t="inlineStr">
        <is>
          <t>163140</t>
        </is>
      </c>
      <c r="D1216" t="inlineStr">
        <is>
          <t>163140</t>
        </is>
      </c>
      <c r="E1216" t="inlineStr">
        <is>
          <t>HALFSIM TIGO</t>
        </is>
      </c>
      <c r="F1216" t="n">
        <v>1</v>
      </c>
      <c r="G1216" t="n">
        <v>0.69</v>
      </c>
      <c r="H1216" t="inlineStr">
        <is>
          <t>0.69</t>
        </is>
      </c>
      <c r="J1216" t="inlineStr">
        <is>
          <t>Danna Macias</t>
        </is>
      </c>
      <c r="K1216" t="inlineStr">
        <is>
          <t>0931034953</t>
        </is>
      </c>
      <c r="L1216" t="inlineStr">
        <is>
          <t>Bastion Popular</t>
        </is>
      </c>
      <c r="M1216" t="inlineStr">
        <is>
          <t>Cliente Final</t>
        </is>
      </c>
      <c r="N1216" t="inlineStr">
        <is>
          <t>CANAL INDIRECTO</t>
        </is>
      </c>
    </row>
    <row r="1217">
      <c r="A1217" t="inlineStr">
        <is>
          <t>21/10/2026</t>
        </is>
      </c>
      <c r="B1217" t="inlineStr">
        <is>
          <t>97781098</t>
        </is>
      </c>
      <c r="C1217" t="inlineStr">
        <is>
          <t>163140</t>
        </is>
      </c>
      <c r="D1217" t="inlineStr">
        <is>
          <t>163140</t>
        </is>
      </c>
      <c r="E1217" t="inlineStr">
        <is>
          <t>HALFSIM TIGO</t>
        </is>
      </c>
      <c r="F1217" t="n">
        <v>1</v>
      </c>
      <c r="G1217" t="n">
        <v>0.69</v>
      </c>
      <c r="H1217" t="inlineStr">
        <is>
          <t>0.69</t>
        </is>
      </c>
      <c r="J1217" t="inlineStr">
        <is>
          <t>Franchesca Cordero</t>
        </is>
      </c>
      <c r="K1217" t="inlineStr">
        <is>
          <t>0919450528</t>
        </is>
      </c>
      <c r="L1217" t="inlineStr">
        <is>
          <t>-2.1865923,-79.9831987</t>
        </is>
      </c>
      <c r="M1217" t="inlineStr">
        <is>
          <t>Cliente Final</t>
        </is>
      </c>
      <c r="N1217" t="inlineStr">
        <is>
          <t>CANAL INDIRECTO</t>
        </is>
      </c>
    </row>
    <row r="1218">
      <c r="A1218" t="inlineStr">
        <is>
          <t>21/10/2026</t>
        </is>
      </c>
      <c r="B1218" t="inlineStr">
        <is>
          <t>16506167</t>
        </is>
      </c>
      <c r="C1218" t="inlineStr">
        <is>
          <t>162141</t>
        </is>
      </c>
      <c r="D1218" t="inlineStr">
        <is>
          <t>162141</t>
        </is>
      </c>
      <c r="E1218" t="inlineStr">
        <is>
          <t>HALFSIM MOVISTAR</t>
        </is>
      </c>
      <c r="F1218" t="n">
        <v>0</v>
      </c>
      <c r="G1218" t="n">
        <v>0</v>
      </c>
      <c r="H1218" t="inlineStr">
        <is>
          <t>0.69</t>
        </is>
      </c>
      <c r="J1218" t="inlineStr">
        <is>
          <t>SAMUEL ZAMORTA DIAZ_BANCO GUAYAQUIL S A</t>
        </is>
      </c>
      <c r="K1218" t="inlineStr">
        <is>
          <t>0990049459001</t>
        </is>
      </c>
      <c r="M1218" t="inlineStr">
        <is>
          <t>BTB</t>
        </is>
      </c>
      <c r="N1218" t="inlineStr">
        <is>
          <t>CANAL DIRECTO</t>
        </is>
      </c>
    </row>
    <row r="1219">
      <c r="A1219" t="inlineStr">
        <is>
          <t>21/10/2026</t>
        </is>
      </c>
      <c r="B1219" t="inlineStr">
        <is>
          <t>16506207</t>
        </is>
      </c>
      <c r="C1219" t="inlineStr">
        <is>
          <t>163140</t>
        </is>
      </c>
      <c r="D1219" t="inlineStr">
        <is>
          <t>163140</t>
        </is>
      </c>
      <c r="E1219" t="inlineStr">
        <is>
          <t>HALFSIM TIGO</t>
        </is>
      </c>
      <c r="F1219" t="n">
        <v>2</v>
      </c>
      <c r="G1219" t="n">
        <v>1.38</v>
      </c>
      <c r="H1219" t="inlineStr">
        <is>
          <t>0.69</t>
        </is>
      </c>
      <c r="J1219" t="inlineStr">
        <is>
          <t>SILVANA VENEGAS_ACCIONA AGUA S A</t>
        </is>
      </c>
      <c r="K1219" t="inlineStr">
        <is>
          <t>1792511526001</t>
        </is>
      </c>
      <c r="M1219" t="inlineStr">
        <is>
          <t>BTB</t>
        </is>
      </c>
      <c r="N1219" t="inlineStr">
        <is>
          <t>CANAL DIRECTO</t>
        </is>
      </c>
    </row>
    <row r="1220">
      <c r="A1220" t="inlineStr">
        <is>
          <t>21/10/2026</t>
        </is>
      </c>
      <c r="B1220" t="inlineStr">
        <is>
          <t>16506211</t>
        </is>
      </c>
      <c r="C1220" t="inlineStr">
        <is>
          <t>163140</t>
        </is>
      </c>
      <c r="D1220" t="inlineStr">
        <is>
          <t>163140</t>
        </is>
      </c>
      <c r="E1220" t="inlineStr">
        <is>
          <t>HALFSIM TIGO</t>
        </is>
      </c>
      <c r="F1220" t="n">
        <v>1</v>
      </c>
      <c r="G1220" t="n">
        <v>0.69</v>
      </c>
      <c r="H1220" t="inlineStr">
        <is>
          <t>0.69</t>
        </is>
      </c>
      <c r="J1220" t="inlineStr">
        <is>
          <t>MENDOZA ZAMBRANO HENRY RAMON_MENDOZA ZAMBRANO HENRY RAMON</t>
        </is>
      </c>
      <c r="K1220" t="inlineStr">
        <is>
          <t>1305760413001</t>
        </is>
      </c>
      <c r="M1220" t="inlineStr">
        <is>
          <t>BTB</t>
        </is>
      </c>
      <c r="N1220" t="inlineStr">
        <is>
          <t>CANAL DIRECTO</t>
        </is>
      </c>
    </row>
    <row r="1221">
      <c r="A1221" t="inlineStr">
        <is>
          <t>21/10/2026</t>
        </is>
      </c>
      <c r="B1221" t="inlineStr">
        <is>
          <t>16506226</t>
        </is>
      </c>
      <c r="C1221" t="inlineStr">
        <is>
          <t>163140</t>
        </is>
      </c>
      <c r="D1221" t="inlineStr">
        <is>
          <t>163140</t>
        </is>
      </c>
      <c r="E1221" t="inlineStr">
        <is>
          <t>HALFSIM TIGO</t>
        </is>
      </c>
      <c r="F1221" t="n">
        <v>2</v>
      </c>
      <c r="G1221" t="n">
        <v>1.38</v>
      </c>
      <c r="H1221" t="inlineStr">
        <is>
          <t>0.69</t>
        </is>
      </c>
      <c r="J1221" t="inlineStr">
        <is>
          <t>MESIAS ANGULO CARLOS ERNESTO_MESIAS ANGULO CARLOS ERNESTO</t>
        </is>
      </c>
      <c r="K1221" t="inlineStr">
        <is>
          <t>0801557000001</t>
        </is>
      </c>
      <c r="M1221" t="inlineStr">
        <is>
          <t>BTB</t>
        </is>
      </c>
      <c r="N1221" t="inlineStr">
        <is>
          <t>CANAL DIRECTO</t>
        </is>
      </c>
    </row>
    <row r="1222">
      <c r="A1222" t="inlineStr">
        <is>
          <t>21/10/2026</t>
        </is>
      </c>
      <c r="B1222" t="inlineStr">
        <is>
          <t>16506306</t>
        </is>
      </c>
      <c r="C1222" t="inlineStr">
        <is>
          <t>163140</t>
        </is>
      </c>
      <c r="D1222" t="inlineStr">
        <is>
          <t>163140</t>
        </is>
      </c>
      <c r="E1222" t="inlineStr">
        <is>
          <t>HALFSIM TIGO</t>
        </is>
      </c>
      <c r="F1222" t="n">
        <v>1</v>
      </c>
      <c r="G1222" t="n">
        <v>0.69</v>
      </c>
      <c r="H1222" t="inlineStr">
        <is>
          <t>0.69</t>
        </is>
      </c>
      <c r="J1222" t="inlineStr">
        <is>
          <t>ZAMBRANO ZAMBRANO EDER OTTON_ZAMBRANO ZAMBRANO EDER OTTON</t>
        </is>
      </c>
      <c r="K1222" t="inlineStr">
        <is>
          <t>1307490969001</t>
        </is>
      </c>
      <c r="M1222" t="inlineStr">
        <is>
          <t>BTB</t>
        </is>
      </c>
      <c r="N1222" t="inlineStr">
        <is>
          <t>CANAL DIRECTO</t>
        </is>
      </c>
    </row>
    <row r="1223">
      <c r="A1223" t="inlineStr">
        <is>
          <t>21/10/2026</t>
        </is>
      </c>
      <c r="B1223" t="inlineStr">
        <is>
          <t>16506307</t>
        </is>
      </c>
      <c r="C1223" t="inlineStr">
        <is>
          <t>163140</t>
        </is>
      </c>
      <c r="D1223" t="inlineStr">
        <is>
          <t>163140</t>
        </is>
      </c>
      <c r="E1223" t="inlineStr">
        <is>
          <t>HALFSIM TIGO</t>
        </is>
      </c>
      <c r="F1223" t="n">
        <v>1</v>
      </c>
      <c r="G1223" t="n">
        <v>0.69</v>
      </c>
      <c r="H1223" t="inlineStr">
        <is>
          <t>0.69</t>
        </is>
      </c>
      <c r="J1223" t="inlineStr">
        <is>
          <t>PARRA CORONEL CARLOS BENJAMIN_PARRA CORONEL CARLOS BENJAMIN</t>
        </is>
      </c>
      <c r="K1223" t="inlineStr">
        <is>
          <t>0602767626001</t>
        </is>
      </c>
      <c r="M1223" t="inlineStr">
        <is>
          <t>BTB</t>
        </is>
      </c>
      <c r="N1223" t="inlineStr">
        <is>
          <t>CANAL DIRECTO</t>
        </is>
      </c>
    </row>
    <row r="1224">
      <c r="A1224" t="inlineStr">
        <is>
          <t>21/10/2026</t>
        </is>
      </c>
      <c r="B1224" t="inlineStr">
        <is>
          <t>16506322</t>
        </is>
      </c>
      <c r="C1224" t="inlineStr">
        <is>
          <t>163140</t>
        </is>
      </c>
      <c r="D1224" t="inlineStr">
        <is>
          <t>163140</t>
        </is>
      </c>
      <c r="E1224" t="inlineStr">
        <is>
          <t>HALFSIM TIGO</t>
        </is>
      </c>
      <c r="F1224" t="n">
        <v>2</v>
      </c>
      <c r="G1224" t="n">
        <v>1.38</v>
      </c>
      <c r="H1224" t="inlineStr">
        <is>
          <t>0.69</t>
        </is>
      </c>
      <c r="J1224" t="inlineStr">
        <is>
          <t>JORGE ANIBAL TACURI GUAMAN_TACURI GUAMAN JORGE ANIBAL</t>
        </is>
      </c>
      <c r="K1224" t="inlineStr">
        <is>
          <t>0602864977001</t>
        </is>
      </c>
      <c r="M1224" t="inlineStr">
        <is>
          <t>BTB</t>
        </is>
      </c>
      <c r="N1224" t="inlineStr">
        <is>
          <t>CANAL DIRECTO</t>
        </is>
      </c>
    </row>
    <row r="1225">
      <c r="A1225" t="inlineStr">
        <is>
          <t>21/10/2026</t>
        </is>
      </c>
      <c r="B1225" t="inlineStr">
        <is>
          <t>16506347</t>
        </is>
      </c>
      <c r="C1225" t="inlineStr">
        <is>
          <t>163140</t>
        </is>
      </c>
      <c r="D1225" t="inlineStr">
        <is>
          <t>163140</t>
        </is>
      </c>
      <c r="E1225" t="inlineStr">
        <is>
          <t>HALFSIM TIGO</t>
        </is>
      </c>
      <c r="F1225" t="n">
        <v>1</v>
      </c>
      <c r="G1225" t="n">
        <v>0.69</v>
      </c>
      <c r="H1225" t="inlineStr">
        <is>
          <t>0.69</t>
        </is>
      </c>
      <c r="J1225" t="inlineStr">
        <is>
          <t>MENDOZA SUCLA OSCAR EDUARDO_MENDOZA SUCLA OSCAR EDUARDO</t>
        </is>
      </c>
      <c r="K1225" t="inlineStr">
        <is>
          <t>0951617208001</t>
        </is>
      </c>
      <c r="M1225" t="inlineStr">
        <is>
          <t>BTB</t>
        </is>
      </c>
      <c r="N1225" t="inlineStr">
        <is>
          <t>CANAL DIRECTO</t>
        </is>
      </c>
    </row>
    <row r="1226">
      <c r="A1226" t="inlineStr">
        <is>
          <t>21/10/2026</t>
        </is>
      </c>
      <c r="B1226" t="inlineStr">
        <is>
          <t>16506365</t>
        </is>
      </c>
      <c r="C1226" t="inlineStr">
        <is>
          <t>163140</t>
        </is>
      </c>
      <c r="D1226" t="inlineStr">
        <is>
          <t>163140</t>
        </is>
      </c>
      <c r="E1226" t="inlineStr">
        <is>
          <t>HALFSIM TIGO</t>
        </is>
      </c>
      <c r="F1226" t="n">
        <v>1</v>
      </c>
      <c r="G1226" t="n">
        <v>0.69</v>
      </c>
      <c r="H1226" t="inlineStr">
        <is>
          <t>0.69</t>
        </is>
      </c>
      <c r="J1226" t="inlineStr">
        <is>
          <t>MELL ARIANNA PARRAGA MOLINA_MELL ARIANNA PARRAGA MOLINA</t>
        </is>
      </c>
      <c r="K1226" t="inlineStr">
        <is>
          <t>2350571432001</t>
        </is>
      </c>
      <c r="M1226" t="inlineStr">
        <is>
          <t>BTB</t>
        </is>
      </c>
      <c r="N1226" t="inlineStr">
        <is>
          <t>CANAL DIRECTO</t>
        </is>
      </c>
    </row>
    <row r="1227">
      <c r="A1227" t="inlineStr">
        <is>
          <t>21/10/2026</t>
        </is>
      </c>
      <c r="B1227" t="inlineStr">
        <is>
          <t>16506228</t>
        </is>
      </c>
      <c r="C1227" t="inlineStr">
        <is>
          <t>163140</t>
        </is>
      </c>
      <c r="D1227" t="inlineStr">
        <is>
          <t>163140</t>
        </is>
      </c>
      <c r="E1227" t="inlineStr">
        <is>
          <t>HALFSIM TIGO</t>
        </is>
      </c>
      <c r="F1227" t="n">
        <v>1</v>
      </c>
      <c r="G1227" t="n">
        <v>0.69</v>
      </c>
      <c r="H1227" t="inlineStr">
        <is>
          <t>0.69</t>
        </is>
      </c>
      <c r="J1227" t="inlineStr">
        <is>
          <t>LUIGI DENNIS BENAVIDES OBANDO_REFACTOR STUDIOS S A S</t>
        </is>
      </c>
      <c r="K1227" t="inlineStr">
        <is>
          <t>1793213411001</t>
        </is>
      </c>
      <c r="M1227" t="inlineStr">
        <is>
          <t>BTB</t>
        </is>
      </c>
      <c r="N1227" t="inlineStr">
        <is>
          <t>CANAL DIRECTO</t>
        </is>
      </c>
    </row>
    <row r="1228">
      <c r="A1228" t="inlineStr">
        <is>
          <t>21/10/2026</t>
        </is>
      </c>
      <c r="B1228" t="inlineStr">
        <is>
          <t>16506229</t>
        </is>
      </c>
      <c r="C1228" t="inlineStr">
        <is>
          <t>163140</t>
        </is>
      </c>
      <c r="D1228" t="inlineStr">
        <is>
          <t>163140</t>
        </is>
      </c>
      <c r="E1228" t="inlineStr">
        <is>
          <t>HALFSIM TIGO</t>
        </is>
      </c>
      <c r="F1228" t="n">
        <v>1</v>
      </c>
      <c r="G1228" t="n">
        <v>0.69</v>
      </c>
      <c r="H1228" t="inlineStr">
        <is>
          <t>0.69</t>
        </is>
      </c>
      <c r="J1228" t="inlineStr">
        <is>
          <t>OSCAR GABRIEL CHAMORRO CRUZ_SIKA ECUATORIANA S A</t>
        </is>
      </c>
      <c r="K1228" t="inlineStr">
        <is>
          <t>1790753573001</t>
        </is>
      </c>
      <c r="M1228" t="inlineStr">
        <is>
          <t>BTB</t>
        </is>
      </c>
      <c r="N1228" t="inlineStr">
        <is>
          <t>CANAL DIRECTO</t>
        </is>
      </c>
    </row>
    <row r="1229">
      <c r="A1229" t="inlineStr">
        <is>
          <t>21/10/2026</t>
        </is>
      </c>
      <c r="B1229" t="inlineStr">
        <is>
          <t>16506231</t>
        </is>
      </c>
      <c r="C1229" t="inlineStr">
        <is>
          <t>163140</t>
        </is>
      </c>
      <c r="D1229" t="inlineStr">
        <is>
          <t>163140</t>
        </is>
      </c>
      <c r="E1229" t="inlineStr">
        <is>
          <t>HALFSIM TIGO</t>
        </is>
      </c>
      <c r="F1229" t="n">
        <v>1</v>
      </c>
      <c r="G1229" t="n">
        <v>0.69</v>
      </c>
      <c r="H1229" t="inlineStr">
        <is>
          <t>0.69</t>
        </is>
      </c>
      <c r="J1229" t="inlineStr">
        <is>
          <t>DAVID LEON FRANKLIN ESPINOZA_GUAYAQUIL TENIS CLUB</t>
        </is>
      </c>
      <c r="K1229" t="inlineStr">
        <is>
          <t>0990678391001</t>
        </is>
      </c>
      <c r="M1229" t="inlineStr">
        <is>
          <t>BTB</t>
        </is>
      </c>
      <c r="N1229" t="inlineStr">
        <is>
          <t>CANAL DIRECTO</t>
        </is>
      </c>
    </row>
    <row r="1230">
      <c r="A1230" t="inlineStr">
        <is>
          <t>21/10/2026</t>
        </is>
      </c>
      <c r="B1230" t="inlineStr">
        <is>
          <t>16506232</t>
        </is>
      </c>
      <c r="C1230" t="inlineStr">
        <is>
          <t>163140</t>
        </is>
      </c>
      <c r="D1230" t="inlineStr">
        <is>
          <t>163140</t>
        </is>
      </c>
      <c r="E1230" t="inlineStr">
        <is>
          <t>HALFSIM TIGO</t>
        </is>
      </c>
      <c r="F1230" t="n">
        <v>2</v>
      </c>
      <c r="G1230" t="n">
        <v>1.38</v>
      </c>
      <c r="H1230" t="inlineStr">
        <is>
          <t>0.69</t>
        </is>
      </c>
      <c r="J1230" t="inlineStr">
        <is>
          <t>MELL NUNEZ_MATELECTRO S A</t>
        </is>
      </c>
      <c r="K1230" t="inlineStr">
        <is>
          <t>0993271446001</t>
        </is>
      </c>
      <c r="M1230" t="inlineStr">
        <is>
          <t>BTB</t>
        </is>
      </c>
      <c r="N1230" t="inlineStr">
        <is>
          <t>CANAL DIRECTO</t>
        </is>
      </c>
    </row>
    <row r="1231">
      <c r="A1231" t="inlineStr">
        <is>
          <t>21/10/2026</t>
        </is>
      </c>
      <c r="B1231" t="inlineStr">
        <is>
          <t>16506234</t>
        </is>
      </c>
      <c r="C1231" t="inlineStr">
        <is>
          <t>163140</t>
        </is>
      </c>
      <c r="D1231" t="inlineStr">
        <is>
          <t>163140</t>
        </is>
      </c>
      <c r="E1231" t="inlineStr">
        <is>
          <t>HALFSIM TIGO</t>
        </is>
      </c>
      <c r="F1231" t="n">
        <v>1</v>
      </c>
      <c r="G1231" t="n">
        <v>0.69</v>
      </c>
      <c r="H1231" t="inlineStr">
        <is>
          <t>0.69</t>
        </is>
      </c>
      <c r="J1231" t="inlineStr">
        <is>
          <t>JAVIER GUZMAN_PROGRAMA DE LAS NACIONES UNIDAS PARA EL DESARROLLO PNUD</t>
        </is>
      </c>
      <c r="K1231" t="inlineStr">
        <is>
          <t>1791746791001</t>
        </is>
      </c>
      <c r="M1231" t="inlineStr">
        <is>
          <t>BTB</t>
        </is>
      </c>
      <c r="N1231" t="inlineStr">
        <is>
          <t>CANAL DIRECTO</t>
        </is>
      </c>
    </row>
    <row r="1232">
      <c r="A1232" t="inlineStr">
        <is>
          <t>21/10/2026</t>
        </is>
      </c>
      <c r="B1232" t="inlineStr">
        <is>
          <t>16506240</t>
        </is>
      </c>
      <c r="C1232" t="inlineStr">
        <is>
          <t>163140</t>
        </is>
      </c>
      <c r="D1232" t="inlineStr">
        <is>
          <t>163140</t>
        </is>
      </c>
      <c r="E1232" t="inlineStr">
        <is>
          <t>HALFSIM TIGO</t>
        </is>
      </c>
      <c r="F1232" t="n">
        <v>50</v>
      </c>
      <c r="G1232" t="n">
        <v>34.5</v>
      </c>
      <c r="H1232" t="inlineStr">
        <is>
          <t>0.69</t>
        </is>
      </c>
      <c r="J1232" t="inlineStr">
        <is>
          <t>CYNTHIA COBO_BANCO PICHINCHA CA</t>
        </is>
      </c>
      <c r="K1232" t="inlineStr">
        <is>
          <t>1790010937001</t>
        </is>
      </c>
      <c r="M1232" t="inlineStr">
        <is>
          <t>BTB</t>
        </is>
      </c>
      <c r="N1232" t="inlineStr">
        <is>
          <t>CANAL DIRECTO</t>
        </is>
      </c>
    </row>
    <row r="1233">
      <c r="A1233" t="inlineStr">
        <is>
          <t>21/10/2026</t>
        </is>
      </c>
      <c r="B1233" t="inlineStr">
        <is>
          <t>16506290</t>
        </is>
      </c>
      <c r="C1233" t="inlineStr">
        <is>
          <t>163140</t>
        </is>
      </c>
      <c r="D1233" t="inlineStr">
        <is>
          <t>163140</t>
        </is>
      </c>
      <c r="E1233" t="inlineStr">
        <is>
          <t>HALFSIM TIGO</t>
        </is>
      </c>
      <c r="F1233" t="n">
        <v>1</v>
      </c>
      <c r="G1233" t="n">
        <v>0.69</v>
      </c>
      <c r="H1233" t="inlineStr">
        <is>
          <t>0.69</t>
        </is>
      </c>
      <c r="J1233" t="inlineStr">
        <is>
          <t>CESAR SORIANO_SINDICATO PROVINCIALDE TRABAJADORES DE LA EMPRESA</t>
        </is>
      </c>
      <c r="K1233" t="inlineStr">
        <is>
          <t>0992633999001</t>
        </is>
      </c>
      <c r="M1233" t="inlineStr">
        <is>
          <t>BTB</t>
        </is>
      </c>
      <c r="N1233" t="inlineStr">
        <is>
          <t>CANAL DIRECTO</t>
        </is>
      </c>
    </row>
    <row r="1234">
      <c r="A1234" t="inlineStr">
        <is>
          <t>21/10/2026</t>
        </is>
      </c>
      <c r="B1234" t="inlineStr">
        <is>
          <t>16506293</t>
        </is>
      </c>
      <c r="C1234" t="inlineStr">
        <is>
          <t>163140</t>
        </is>
      </c>
      <c r="D1234" t="inlineStr">
        <is>
          <t>163140</t>
        </is>
      </c>
      <c r="E1234" t="inlineStr">
        <is>
          <t>HALFSIM TIGO</t>
        </is>
      </c>
      <c r="F1234" t="n">
        <v>1</v>
      </c>
      <c r="G1234" t="n">
        <v>0.69</v>
      </c>
      <c r="H1234" t="inlineStr">
        <is>
          <t>0.69</t>
        </is>
      </c>
      <c r="J1234" t="inlineStr">
        <is>
          <t>THALIA VELEZ_PYCCA S A</t>
        </is>
      </c>
      <c r="K1234" t="inlineStr">
        <is>
          <t>0990000530001</t>
        </is>
      </c>
      <c r="M1234" t="inlineStr">
        <is>
          <t>BTB</t>
        </is>
      </c>
      <c r="N1234" t="inlineStr">
        <is>
          <t>CANAL DIRECTO</t>
        </is>
      </c>
    </row>
    <row r="1235">
      <c r="A1235" t="inlineStr">
        <is>
          <t>21/10/2026</t>
        </is>
      </c>
      <c r="B1235" t="inlineStr">
        <is>
          <t>16506295</t>
        </is>
      </c>
      <c r="C1235" t="inlineStr">
        <is>
          <t>162141</t>
        </is>
      </c>
      <c r="D1235" t="inlineStr">
        <is>
          <t>162141</t>
        </is>
      </c>
      <c r="E1235" t="inlineStr">
        <is>
          <t>HALFSIM MOVISTAR</t>
        </is>
      </c>
      <c r="F1235" t="n">
        <v>0</v>
      </c>
      <c r="G1235" t="n">
        <v>0</v>
      </c>
      <c r="H1235" t="inlineStr">
        <is>
          <t>0.69</t>
        </is>
      </c>
      <c r="J1235" t="inlineStr">
        <is>
          <t>ALEJANDRO CEVALLOS_ALEJANDRO CEVALLOS</t>
        </is>
      </c>
      <c r="K1235" t="inlineStr">
        <is>
          <t>1791044959001</t>
        </is>
      </c>
      <c r="M1235" t="inlineStr">
        <is>
          <t>BTB</t>
        </is>
      </c>
      <c r="N1235" t="inlineStr">
        <is>
          <t>CANAL DIRECTO</t>
        </is>
      </c>
    </row>
    <row r="1236">
      <c r="A1236" t="inlineStr">
        <is>
          <t>21/10/2026</t>
        </is>
      </c>
      <c r="B1236" t="inlineStr">
        <is>
          <t>16506295</t>
        </is>
      </c>
      <c r="C1236" t="inlineStr">
        <is>
          <t>163140</t>
        </is>
      </c>
      <c r="D1236" t="inlineStr">
        <is>
          <t>163140</t>
        </is>
      </c>
      <c r="E1236" t="inlineStr">
        <is>
          <t>HALFSIM TIGO</t>
        </is>
      </c>
      <c r="F1236" t="n">
        <v>4</v>
      </c>
      <c r="G1236" t="n">
        <v>2.76</v>
      </c>
      <c r="H1236" t="inlineStr">
        <is>
          <t>0.69</t>
        </is>
      </c>
      <c r="J1236" t="inlineStr">
        <is>
          <t>ALEJANDRO CEVALLOS_ALEJANDRO CEVALLOS</t>
        </is>
      </c>
      <c r="K1236" t="inlineStr">
        <is>
          <t>1791044959001</t>
        </is>
      </c>
      <c r="M1236" t="inlineStr">
        <is>
          <t>BTB</t>
        </is>
      </c>
      <c r="N1236" t="inlineStr">
        <is>
          <t>CANAL DIRECTO</t>
        </is>
      </c>
    </row>
    <row r="1237">
      <c r="A1237" t="inlineStr">
        <is>
          <t>21/10/2026</t>
        </is>
      </c>
      <c r="B1237" t="inlineStr">
        <is>
          <t>16506310</t>
        </is>
      </c>
      <c r="C1237" t="inlineStr">
        <is>
          <t>163140</t>
        </is>
      </c>
      <c r="D1237" t="inlineStr">
        <is>
          <t>163140</t>
        </is>
      </c>
      <c r="E1237" t="inlineStr">
        <is>
          <t>HALFSIM TIGO</t>
        </is>
      </c>
      <c r="F1237" t="n">
        <v>1</v>
      </c>
      <c r="G1237" t="n">
        <v>0.69</v>
      </c>
      <c r="H1237" t="inlineStr">
        <is>
          <t>0.69</t>
        </is>
      </c>
      <c r="J1237" t="inlineStr">
        <is>
          <t>ADRINA PINOS_ASOCIACION DE TRABAJADORES DE ERCO</t>
        </is>
      </c>
      <c r="K1237" t="inlineStr">
        <is>
          <t>0991287469001</t>
        </is>
      </c>
      <c r="M1237" t="inlineStr">
        <is>
          <t>BTB</t>
        </is>
      </c>
      <c r="N1237" t="inlineStr">
        <is>
          <t>CANAL DIRECTO</t>
        </is>
      </c>
    </row>
    <row r="1238">
      <c r="A1238" t="inlineStr">
        <is>
          <t>21/10/2026</t>
        </is>
      </c>
      <c r="B1238" t="inlineStr">
        <is>
          <t>16506311</t>
        </is>
      </c>
      <c r="C1238" t="inlineStr">
        <is>
          <t>163140</t>
        </is>
      </c>
      <c r="D1238" t="inlineStr">
        <is>
          <t>163140</t>
        </is>
      </c>
      <c r="E1238" t="inlineStr">
        <is>
          <t>HALFSIM TIGO</t>
        </is>
      </c>
      <c r="F1238" t="n">
        <v>10</v>
      </c>
      <c r="G1238" t="n">
        <v>6.8999999999999995</v>
      </c>
      <c r="H1238" t="inlineStr">
        <is>
          <t>0.69</t>
        </is>
      </c>
      <c r="J1238" t="inlineStr">
        <is>
          <t>GUILLERMINA CAICEDO_FIDEVAL S A ADMINISTRADORA DE FONDOS Y FIDEICOMISOS</t>
        </is>
      </c>
      <c r="K1238" t="inlineStr">
        <is>
          <t>1791275101001</t>
        </is>
      </c>
      <c r="M1238" t="inlineStr">
        <is>
          <t>BTB</t>
        </is>
      </c>
      <c r="N1238" t="inlineStr">
        <is>
          <t>CANAL DIRECTO</t>
        </is>
      </c>
    </row>
    <row r="1239">
      <c r="A1239" t="inlineStr">
        <is>
          <t>21/10/2026</t>
        </is>
      </c>
      <c r="B1239" t="inlineStr">
        <is>
          <t>16506334</t>
        </is>
      </c>
      <c r="C1239" t="inlineStr">
        <is>
          <t>163140</t>
        </is>
      </c>
      <c r="D1239" t="inlineStr">
        <is>
          <t>163140</t>
        </is>
      </c>
      <c r="E1239" t="inlineStr">
        <is>
          <t>HALFSIM TIGO</t>
        </is>
      </c>
      <c r="F1239" t="n">
        <v>1</v>
      </c>
      <c r="G1239" t="n">
        <v>0.69</v>
      </c>
      <c r="H1239" t="inlineStr">
        <is>
          <t>0.69</t>
        </is>
      </c>
      <c r="J1239" t="inlineStr">
        <is>
          <t>CAMILA RIPALDA FERRETI_COLEGIO MENOR CMSFQ S A</t>
        </is>
      </c>
      <c r="K1239" t="inlineStr">
        <is>
          <t>1791754794001</t>
        </is>
      </c>
      <c r="M1239" t="inlineStr">
        <is>
          <t>BTB</t>
        </is>
      </c>
      <c r="N1239" t="inlineStr">
        <is>
          <t>CANAL DIRECTO</t>
        </is>
      </c>
    </row>
    <row r="1240">
      <c r="A1240" t="inlineStr">
        <is>
          <t>21/10/2026</t>
        </is>
      </c>
      <c r="B1240" t="inlineStr">
        <is>
          <t>16506336</t>
        </is>
      </c>
      <c r="C1240" t="inlineStr">
        <is>
          <t>163140</t>
        </is>
      </c>
      <c r="D1240" t="inlineStr">
        <is>
          <t>163140</t>
        </is>
      </c>
      <c r="E1240" t="inlineStr">
        <is>
          <t>HALFSIM TIGO</t>
        </is>
      </c>
      <c r="F1240" t="n">
        <v>1</v>
      </c>
      <c r="G1240" t="n">
        <v>0.69</v>
      </c>
      <c r="H1240" t="inlineStr">
        <is>
          <t>0.69</t>
        </is>
      </c>
      <c r="J1240" t="inlineStr">
        <is>
          <t>LINA DIAZ_TRECX S A</t>
        </is>
      </c>
      <c r="K1240" t="inlineStr">
        <is>
          <t>1791812484001</t>
        </is>
      </c>
      <c r="M1240" t="inlineStr">
        <is>
          <t>BTB</t>
        </is>
      </c>
      <c r="N1240" t="inlineStr">
        <is>
          <t>CANAL DIRECTO</t>
        </is>
      </c>
    </row>
    <row r="1241">
      <c r="A1241" t="inlineStr">
        <is>
          <t>21/10/2026</t>
        </is>
      </c>
      <c r="B1241" t="inlineStr">
        <is>
          <t>16506349</t>
        </is>
      </c>
      <c r="C1241" t="inlineStr">
        <is>
          <t>163140</t>
        </is>
      </c>
      <c r="D1241" t="inlineStr">
        <is>
          <t>163140</t>
        </is>
      </c>
      <c r="E1241" t="inlineStr">
        <is>
          <t>HALFSIM TIGO</t>
        </is>
      </c>
      <c r="F1241" t="n">
        <v>1</v>
      </c>
      <c r="G1241" t="n">
        <v>0.69</v>
      </c>
      <c r="H1241" t="inlineStr">
        <is>
          <t>0.69</t>
        </is>
      </c>
      <c r="J1241" t="inlineStr">
        <is>
          <t>SALVATIERRA ALOMIA BEBERLY DENISSE_AQUAPRIME S A</t>
        </is>
      </c>
      <c r="K1241" t="inlineStr">
        <is>
          <t>0992996293001</t>
        </is>
      </c>
      <c r="M1241" t="inlineStr">
        <is>
          <t>BTB</t>
        </is>
      </c>
      <c r="N1241" t="inlineStr">
        <is>
          <t>CANAL DIRECTO</t>
        </is>
      </c>
    </row>
    <row r="1242">
      <c r="A1242" t="inlineStr">
        <is>
          <t>21/10/2026</t>
        </is>
      </c>
      <c r="B1242" t="inlineStr">
        <is>
          <t>16506350</t>
        </is>
      </c>
      <c r="C1242" t="inlineStr">
        <is>
          <t>163140</t>
        </is>
      </c>
      <c r="D1242" t="inlineStr">
        <is>
          <t>163140</t>
        </is>
      </c>
      <c r="E1242" t="inlineStr">
        <is>
          <t>HALFSIM TIGO</t>
        </is>
      </c>
      <c r="F1242" t="n">
        <v>13</v>
      </c>
      <c r="G1242" t="n">
        <v>8.9699999999999989</v>
      </c>
      <c r="H1242" t="inlineStr">
        <is>
          <t>0.69</t>
        </is>
      </c>
      <c r="J1242" t="inlineStr">
        <is>
          <t>CYNTIA COBO_BANCO PICHINCHA</t>
        </is>
      </c>
      <c r="K1242" t="inlineStr">
        <is>
          <t>1790010937001</t>
        </is>
      </c>
      <c r="M1242" t="inlineStr">
        <is>
          <t>BTB</t>
        </is>
      </c>
      <c r="N1242" t="inlineStr">
        <is>
          <t>CANAL DIRECTO</t>
        </is>
      </c>
    </row>
    <row r="1243">
      <c r="A1243" t="inlineStr">
        <is>
          <t>21/10/2026</t>
        </is>
      </c>
      <c r="B1243" t="inlineStr">
        <is>
          <t>16506366</t>
        </is>
      </c>
      <c r="C1243" t="inlineStr">
        <is>
          <t>163140</t>
        </is>
      </c>
      <c r="D1243" t="inlineStr">
        <is>
          <t>163140</t>
        </is>
      </c>
      <c r="E1243" t="inlineStr">
        <is>
          <t>HALFSIM TIGO</t>
        </is>
      </c>
      <c r="F1243" t="n">
        <v>5</v>
      </c>
      <c r="G1243" t="n">
        <v>3.4499999999999997</v>
      </c>
      <c r="H1243" t="inlineStr">
        <is>
          <t>0.69</t>
        </is>
      </c>
      <c r="J1243" t="inlineStr">
        <is>
          <t>GIANCARLO QUINDE_MAFRICO S A</t>
        </is>
      </c>
      <c r="K1243" t="inlineStr">
        <is>
          <t>0990481490001</t>
        </is>
      </c>
      <c r="M1243" t="inlineStr">
        <is>
          <t>BTB</t>
        </is>
      </c>
      <c r="N1243" t="inlineStr">
        <is>
          <t>CANAL DIRECTO</t>
        </is>
      </c>
    </row>
    <row r="1244">
      <c r="A1244" t="inlineStr">
        <is>
          <t>21/10/2026</t>
        </is>
      </c>
      <c r="B1244" t="inlineStr">
        <is>
          <t>16506371</t>
        </is>
      </c>
      <c r="C1244" t="inlineStr">
        <is>
          <t>163140</t>
        </is>
      </c>
      <c r="D1244" t="inlineStr">
        <is>
          <t>163140</t>
        </is>
      </c>
      <c r="E1244" t="inlineStr">
        <is>
          <t>HALFSIM TIGO</t>
        </is>
      </c>
      <c r="F1244" t="n">
        <v>1</v>
      </c>
      <c r="G1244" t="n">
        <v>0.69</v>
      </c>
      <c r="H1244" t="inlineStr">
        <is>
          <t>0.69</t>
        </is>
      </c>
      <c r="J1244" t="inlineStr">
        <is>
          <t>GABRIELA VALLEJO JARRIN_TALAHASY SEGURIDAD CIA LTDA</t>
        </is>
      </c>
      <c r="K1244" t="inlineStr">
        <is>
          <t>1792003121001</t>
        </is>
      </c>
      <c r="M1244" t="inlineStr">
        <is>
          <t>BTB</t>
        </is>
      </c>
      <c r="N1244" t="inlineStr">
        <is>
          <t>CANAL DIRECTO</t>
        </is>
      </c>
    </row>
    <row r="1245">
      <c r="A1245" t="inlineStr">
        <is>
          <t>21/10/2026</t>
        </is>
      </c>
      <c r="B1245" t="inlineStr">
        <is>
          <t>16506374</t>
        </is>
      </c>
      <c r="C1245" t="inlineStr">
        <is>
          <t>162141</t>
        </is>
      </c>
      <c r="D1245" t="inlineStr">
        <is>
          <t>162141</t>
        </is>
      </c>
      <c r="E1245" t="inlineStr">
        <is>
          <t>HALFSIM MOVISTAR</t>
        </is>
      </c>
      <c r="F1245" t="n">
        <v>0</v>
      </c>
      <c r="G1245" t="n">
        <v>0</v>
      </c>
      <c r="H1245" t="inlineStr">
        <is>
          <t>0.69</t>
        </is>
      </c>
      <c r="J1245" t="inlineStr">
        <is>
          <t>ADRIANA GUTIERREZ MEJILLONES_UNIVERSIDAD CASA GRANDE</t>
        </is>
      </c>
      <c r="K1245" t="inlineStr">
        <is>
          <t>0992541539001</t>
        </is>
      </c>
      <c r="M1245" t="inlineStr">
        <is>
          <t>BTB</t>
        </is>
      </c>
      <c r="N1245" t="inlineStr">
        <is>
          <t>CANAL DIRECTO</t>
        </is>
      </c>
    </row>
    <row r="1246">
      <c r="A1246" t="inlineStr">
        <is>
          <t>21/10/2026</t>
        </is>
      </c>
      <c r="B1246" t="inlineStr">
        <is>
          <t>16506374</t>
        </is>
      </c>
      <c r="C1246" t="inlineStr">
        <is>
          <t>163140</t>
        </is>
      </c>
      <c r="D1246" t="inlineStr">
        <is>
          <t>163140</t>
        </is>
      </c>
      <c r="E1246" t="inlineStr">
        <is>
          <t>HALFSIM TIGO</t>
        </is>
      </c>
      <c r="F1246" t="n">
        <v>1</v>
      </c>
      <c r="G1246" t="n">
        <v>0.69</v>
      </c>
      <c r="H1246" t="inlineStr">
        <is>
          <t>0.69</t>
        </is>
      </c>
      <c r="J1246" t="inlineStr">
        <is>
          <t>ADRIANA GUTIERREZ MEJILLONES_UNIVERSIDAD CASA GRANDE</t>
        </is>
      </c>
      <c r="K1246" t="inlineStr">
        <is>
          <t>0992541539001</t>
        </is>
      </c>
      <c r="M1246" t="inlineStr">
        <is>
          <t>BTB</t>
        </is>
      </c>
      <c r="N1246" t="inlineStr">
        <is>
          <t>CANAL DIRECTO</t>
        </is>
      </c>
    </row>
    <row r="1247">
      <c r="A1247" t="inlineStr">
        <is>
          <t>21/10/2026</t>
        </is>
      </c>
      <c r="B1247" t="inlineStr">
        <is>
          <t>16506376</t>
        </is>
      </c>
      <c r="C1247" t="inlineStr">
        <is>
          <t>163140</t>
        </is>
      </c>
      <c r="D1247" t="inlineStr">
        <is>
          <t>163140</t>
        </is>
      </c>
      <c r="E1247" t="inlineStr">
        <is>
          <t>HALFSIM TIGO</t>
        </is>
      </c>
      <c r="F1247" t="n">
        <v>1</v>
      </c>
      <c r="G1247" t="n">
        <v>0.69</v>
      </c>
      <c r="H1247" t="inlineStr">
        <is>
          <t>0.69</t>
        </is>
      </c>
      <c r="J1247" t="inlineStr">
        <is>
          <t>NATHALIA COBA PROANO_TRAUMA ORTOPEDICS S C C</t>
        </is>
      </c>
      <c r="K1247" t="inlineStr">
        <is>
          <t>1791241061001</t>
        </is>
      </c>
      <c r="M1247" t="inlineStr">
        <is>
          <t>BTB</t>
        </is>
      </c>
      <c r="N1247" t="inlineStr">
        <is>
          <t>CANAL DIRECTO</t>
        </is>
      </c>
    </row>
    <row r="1248">
      <c r="A1248" t="inlineStr">
        <is>
          <t>21/10/2026</t>
        </is>
      </c>
      <c r="B1248" t="inlineStr">
        <is>
          <t>16506377</t>
        </is>
      </c>
      <c r="C1248" t="inlineStr">
        <is>
          <t>163140</t>
        </is>
      </c>
      <c r="D1248" t="inlineStr">
        <is>
          <t>163140</t>
        </is>
      </c>
      <c r="E1248" t="inlineStr">
        <is>
          <t>HALFSIM TIGO</t>
        </is>
      </c>
      <c r="F1248" t="n">
        <v>1</v>
      </c>
      <c r="G1248" t="n">
        <v>0.69</v>
      </c>
      <c r="H1248" t="inlineStr">
        <is>
          <t>0.69</t>
        </is>
      </c>
      <c r="J1248" t="inlineStr">
        <is>
          <t>JUAN ZAMBRANO VERA PAMELA VELASCO_EMBARKO LOGISTIC SERVICES S A</t>
        </is>
      </c>
      <c r="K1248" t="inlineStr">
        <is>
          <t>1391931821001</t>
        </is>
      </c>
      <c r="M1248" t="inlineStr">
        <is>
          <t>BTB</t>
        </is>
      </c>
      <c r="N1248" t="inlineStr">
        <is>
          <t>CANAL DIRECTO</t>
        </is>
      </c>
    </row>
    <row r="1249">
      <c r="A1249" t="inlineStr">
        <is>
          <t>21/10/2026</t>
        </is>
      </c>
      <c r="B1249" t="inlineStr">
        <is>
          <t>97787406</t>
        </is>
      </c>
      <c r="C1249" t="inlineStr">
        <is>
          <t>163140</t>
        </is>
      </c>
      <c r="D1249" t="inlineStr">
        <is>
          <t>163140</t>
        </is>
      </c>
      <c r="E1249" t="inlineStr">
        <is>
          <t>HALFSIM TIGO</t>
        </is>
      </c>
      <c r="F1249" t="n">
        <v>1</v>
      </c>
      <c r="G1249" t="n">
        <v>0.69</v>
      </c>
      <c r="H1249" t="inlineStr">
        <is>
          <t>0.69</t>
        </is>
      </c>
      <c r="J1249" t="inlineStr">
        <is>
          <t>Javier Holguin</t>
        </is>
      </c>
      <c r="K1249" t="inlineStr">
        <is>
          <t>0941811226</t>
        </is>
      </c>
      <c r="L1249" t="inlineStr">
        <is>
          <t>-2.6284682999999998,-80.3895886</t>
        </is>
      </c>
      <c r="M1249" t="inlineStr">
        <is>
          <t>Cliente Final</t>
        </is>
      </c>
      <c r="N1249" t="inlineStr">
        <is>
          <t>CANAL INDIRECTO</t>
        </is>
      </c>
    </row>
    <row r="1250">
      <c r="A1250" t="inlineStr">
        <is>
          <t>21/10/2026</t>
        </is>
      </c>
      <c r="B1250" t="inlineStr">
        <is>
          <t>97787475</t>
        </is>
      </c>
      <c r="C1250" t="inlineStr">
        <is>
          <t>163140</t>
        </is>
      </c>
      <c r="D1250" t="inlineStr">
        <is>
          <t>163140</t>
        </is>
      </c>
      <c r="E1250" t="inlineStr">
        <is>
          <t>HALFSIM TIGO</t>
        </is>
      </c>
      <c r="F1250" t="n">
        <v>1</v>
      </c>
      <c r="G1250" t="n">
        <v>0.69</v>
      </c>
      <c r="H1250" t="inlineStr">
        <is>
          <t>0.69</t>
        </is>
      </c>
      <c r="J1250" t="inlineStr">
        <is>
          <t>Caroline Amaya Andrade Solórzano</t>
        </is>
      </c>
      <c r="K1250" t="inlineStr">
        <is>
          <t>1753563038</t>
        </is>
      </c>
      <c r="L1250" t="inlineStr">
        <is>
          <t>-0.2796302,-79.4604717</t>
        </is>
      </c>
      <c r="M1250" t="inlineStr">
        <is>
          <t>Cliente Final</t>
        </is>
      </c>
      <c r="N1250" t="inlineStr">
        <is>
          <t>CANAL INDIRECTO</t>
        </is>
      </c>
    </row>
    <row r="1251">
      <c r="A1251" t="inlineStr">
        <is>
          <t>21/10/2026</t>
        </is>
      </c>
      <c r="B1251" t="inlineStr">
        <is>
          <t>97787768</t>
        </is>
      </c>
      <c r="C1251" t="inlineStr">
        <is>
          <t>163140</t>
        </is>
      </c>
      <c r="D1251" t="inlineStr">
        <is>
          <t>163140</t>
        </is>
      </c>
      <c r="E1251" t="inlineStr">
        <is>
          <t>HALFSIM TIGO</t>
        </is>
      </c>
      <c r="F1251" t="n">
        <v>1</v>
      </c>
      <c r="G1251" t="n">
        <v>0.69</v>
      </c>
      <c r="H1251" t="inlineStr">
        <is>
          <t>0.69</t>
        </is>
      </c>
      <c r="J1251" t="inlineStr">
        <is>
          <t>ELIZABETH MENDOZA</t>
        </is>
      </c>
      <c r="K1251" t="inlineStr">
        <is>
          <t>1309938759</t>
        </is>
      </c>
      <c r="L1251" t="inlineStr">
        <is>
          <t>-2.8898017,-79.01679</t>
        </is>
      </c>
      <c r="M1251" t="inlineStr">
        <is>
          <t>Cliente Final</t>
        </is>
      </c>
      <c r="N1251" t="inlineStr">
        <is>
          <t>CANAL INDIRECTO</t>
        </is>
      </c>
    </row>
    <row r="1252">
      <c r="A1252" t="inlineStr">
        <is>
          <t>21/10/2026</t>
        </is>
      </c>
      <c r="B1252" t="inlineStr">
        <is>
          <t>97788085</t>
        </is>
      </c>
      <c r="C1252" t="inlineStr">
        <is>
          <t>163140</t>
        </is>
      </c>
      <c r="D1252" t="inlineStr">
        <is>
          <t>163140</t>
        </is>
      </c>
      <c r="E1252" t="inlineStr">
        <is>
          <t>HALFSIM TIGO</t>
        </is>
      </c>
      <c r="F1252" t="n">
        <v>1</v>
      </c>
      <c r="G1252" t="n">
        <v>0.69</v>
      </c>
      <c r="H1252" t="inlineStr">
        <is>
          <t>0.69</t>
        </is>
      </c>
      <c r="J1252" t="inlineStr">
        <is>
          <t>Julio Barreto</t>
        </is>
      </c>
      <c r="K1252" t="inlineStr">
        <is>
          <t>0150014702</t>
        </is>
      </c>
      <c r="L1252" t="inlineStr">
        <is>
          <t>-2.94198987591866,-78.96527265996231</t>
        </is>
      </c>
      <c r="M1252" t="inlineStr">
        <is>
          <t>Cliente Final</t>
        </is>
      </c>
      <c r="N1252" t="inlineStr">
        <is>
          <t>CANAL INDIRECTO</t>
        </is>
      </c>
    </row>
    <row r="1253">
      <c r="A1253" t="inlineStr">
        <is>
          <t>21/10/2026</t>
        </is>
      </c>
      <c r="B1253" t="inlineStr">
        <is>
          <t>97788863</t>
        </is>
      </c>
      <c r="C1253" t="inlineStr">
        <is>
          <t>163140</t>
        </is>
      </c>
      <c r="D1253" t="inlineStr">
        <is>
          <t>163140</t>
        </is>
      </c>
      <c r="E1253" t="inlineStr">
        <is>
          <t>HALFSIM TIGO</t>
        </is>
      </c>
      <c r="F1253" t="n">
        <v>1</v>
      </c>
      <c r="G1253" t="n">
        <v>0.69</v>
      </c>
      <c r="H1253" t="inlineStr">
        <is>
          <t>0.69</t>
        </is>
      </c>
      <c r="J1253" t="inlineStr">
        <is>
          <t>Karen Orrala</t>
        </is>
      </c>
      <c r="K1253" t="inlineStr">
        <is>
          <t>0929693034</t>
        </is>
      </c>
      <c r="L1253" t="inlineStr">
        <is>
          <t>-2.0982344,-79.93450729999999</t>
        </is>
      </c>
      <c r="M1253" t="inlineStr">
        <is>
          <t>Cliente Final</t>
        </is>
      </c>
      <c r="N1253" t="inlineStr">
        <is>
          <t>CANAL INDIRECTO</t>
        </is>
      </c>
    </row>
    <row r="1254">
      <c r="A1254" t="inlineStr">
        <is>
          <t>21/10/2026</t>
        </is>
      </c>
      <c r="B1254" t="inlineStr">
        <is>
          <t>16506385</t>
        </is>
      </c>
      <c r="C1254" t="inlineStr">
        <is>
          <t>163140</t>
        </is>
      </c>
      <c r="D1254" t="inlineStr">
        <is>
          <t>163140</t>
        </is>
      </c>
      <c r="E1254" t="inlineStr">
        <is>
          <t>HALFSIM TIGO</t>
        </is>
      </c>
      <c r="F1254" t="n">
        <v>1</v>
      </c>
      <c r="G1254" t="n">
        <v>0.69</v>
      </c>
      <c r="H1254" t="inlineStr">
        <is>
          <t>0.69</t>
        </is>
      </c>
      <c r="J1254" t="inlineStr">
        <is>
          <t>YUCTA GUAMAN LUIS KLEVER_YUCTA GUAMAN LUIS KLEVER</t>
        </is>
      </c>
      <c r="K1254" t="inlineStr">
        <is>
          <t>0604149807001</t>
        </is>
      </c>
      <c r="M1254" t="inlineStr">
        <is>
          <t>BTB</t>
        </is>
      </c>
      <c r="N1254" t="inlineStr">
        <is>
          <t>CANAL DIRECTO</t>
        </is>
      </c>
    </row>
    <row r="1255">
      <c r="A1255" t="inlineStr">
        <is>
          <t>21/10/2026</t>
        </is>
      </c>
      <c r="B1255" t="inlineStr">
        <is>
          <t>16506389</t>
        </is>
      </c>
      <c r="C1255" t="inlineStr">
        <is>
          <t>163140</t>
        </is>
      </c>
      <c r="D1255" t="inlineStr">
        <is>
          <t>163140</t>
        </is>
      </c>
      <c r="E1255" t="inlineStr">
        <is>
          <t>HALFSIM TIGO</t>
        </is>
      </c>
      <c r="F1255" t="n">
        <v>1</v>
      </c>
      <c r="G1255" t="n">
        <v>0.69</v>
      </c>
      <c r="H1255" t="inlineStr">
        <is>
          <t>0.69</t>
        </is>
      </c>
      <c r="J1255" t="inlineStr">
        <is>
          <t>MORENO RECALDE HOLGER XAVIER_MORENO RECALDE HOLGER XAVIER</t>
        </is>
      </c>
      <c r="K1255" t="inlineStr">
        <is>
          <t>0915592240001</t>
        </is>
      </c>
      <c r="M1255" t="inlineStr">
        <is>
          <t>BTB</t>
        </is>
      </c>
      <c r="N1255" t="inlineStr">
        <is>
          <t>CANAL DIRECTO</t>
        </is>
      </c>
    </row>
    <row r="1256">
      <c r="A1256" t="inlineStr">
        <is>
          <t>21/10/2026</t>
        </is>
      </c>
      <c r="B1256" t="inlineStr">
        <is>
          <t>16506391</t>
        </is>
      </c>
      <c r="C1256" t="inlineStr">
        <is>
          <t>163140</t>
        </is>
      </c>
      <c r="D1256" t="inlineStr">
        <is>
          <t>163140</t>
        </is>
      </c>
      <c r="E1256" t="inlineStr">
        <is>
          <t>HALFSIM TIGO</t>
        </is>
      </c>
      <c r="F1256" t="n">
        <v>1</v>
      </c>
      <c r="G1256" t="n">
        <v>0.69</v>
      </c>
      <c r="H1256" t="inlineStr">
        <is>
          <t>0.69</t>
        </is>
      </c>
      <c r="J1256" t="inlineStr">
        <is>
          <t>YESICA VENAVIDES_TIMCO S A</t>
        </is>
      </c>
      <c r="K1256" t="inlineStr">
        <is>
          <t>1793058434001</t>
        </is>
      </c>
      <c r="M1256" t="inlineStr">
        <is>
          <t>BTB</t>
        </is>
      </c>
      <c r="N1256" t="inlineStr">
        <is>
          <t>CANAL DIRECTO</t>
        </is>
      </c>
    </row>
    <row r="1257">
      <c r="A1257" t="inlineStr">
        <is>
          <t>21/10/2026</t>
        </is>
      </c>
      <c r="B1257" t="inlineStr">
        <is>
          <t>16506394</t>
        </is>
      </c>
      <c r="C1257" t="inlineStr">
        <is>
          <t>163140</t>
        </is>
      </c>
      <c r="D1257" t="inlineStr">
        <is>
          <t>163140</t>
        </is>
      </c>
      <c r="E1257" t="inlineStr">
        <is>
          <t>HALFSIM TIGO</t>
        </is>
      </c>
      <c r="F1257" t="n">
        <v>1</v>
      </c>
      <c r="G1257" t="n">
        <v>0.69</v>
      </c>
      <c r="H1257" t="inlineStr">
        <is>
          <t>0.69</t>
        </is>
      </c>
      <c r="J1257" t="inlineStr">
        <is>
          <t>CARLOS APONTE_ASESORES E IMPORTADORES DE MATERIALES INDUSTRIALES INDUSDEAL S A</t>
        </is>
      </c>
      <c r="K1257" t="inlineStr">
        <is>
          <t>0992914602001</t>
        </is>
      </c>
      <c r="M1257" t="inlineStr">
        <is>
          <t>BTB</t>
        </is>
      </c>
      <c r="N1257" t="inlineStr">
        <is>
          <t>CANAL DIRECTO</t>
        </is>
      </c>
    </row>
    <row r="1258">
      <c r="A1258" t="inlineStr">
        <is>
          <t>21/10/2026</t>
        </is>
      </c>
      <c r="B1258" t="inlineStr">
        <is>
          <t>16506395</t>
        </is>
      </c>
      <c r="C1258" t="inlineStr">
        <is>
          <t>163140</t>
        </is>
      </c>
      <c r="D1258" t="inlineStr">
        <is>
          <t>163140</t>
        </is>
      </c>
      <c r="E1258" t="inlineStr">
        <is>
          <t>HALFSIM TIGO</t>
        </is>
      </c>
      <c r="F1258" t="n">
        <v>1</v>
      </c>
      <c r="G1258" t="n">
        <v>0.69</v>
      </c>
      <c r="H1258" t="inlineStr">
        <is>
          <t>0.69</t>
        </is>
      </c>
      <c r="J1258" t="inlineStr">
        <is>
          <t>JENNIFFER VILLACIS_ASOCIACION SOLIDARISTA PROFUTURO</t>
        </is>
      </c>
      <c r="K1258" t="inlineStr">
        <is>
          <t>0992424222001</t>
        </is>
      </c>
      <c r="M1258" t="inlineStr">
        <is>
          <t>BTB</t>
        </is>
      </c>
      <c r="N1258" t="inlineStr">
        <is>
          <t>CANAL DIRECTO</t>
        </is>
      </c>
    </row>
    <row r="1259">
      <c r="A1259" t="inlineStr">
        <is>
          <t>21/10/2026</t>
        </is>
      </c>
      <c r="B1259" t="inlineStr">
        <is>
          <t>16506398</t>
        </is>
      </c>
      <c r="C1259" t="inlineStr">
        <is>
          <t>163140</t>
        </is>
      </c>
      <c r="D1259" t="inlineStr">
        <is>
          <t>163140</t>
        </is>
      </c>
      <c r="E1259" t="inlineStr">
        <is>
          <t>HALFSIM TIGO</t>
        </is>
      </c>
      <c r="F1259" t="n">
        <v>1</v>
      </c>
      <c r="G1259" t="n">
        <v>0.69</v>
      </c>
      <c r="H1259" t="inlineStr">
        <is>
          <t>0.69</t>
        </is>
      </c>
      <c r="J1259" t="inlineStr">
        <is>
          <t>DIANA NATHALY PRIETO BRICENO_EL AUTOMOVIL JAPONES AUTOJAPONES CIA</t>
        </is>
      </c>
      <c r="K1259" t="inlineStr">
        <is>
          <t>1792993334001</t>
        </is>
      </c>
      <c r="M1259" t="inlineStr">
        <is>
          <t>BTB</t>
        </is>
      </c>
      <c r="N1259" t="inlineStr">
        <is>
          <t>CANAL DIRECTO</t>
        </is>
      </c>
    </row>
    <row r="1260">
      <c r="A1260" t="inlineStr">
        <is>
          <t>21/10/2026</t>
        </is>
      </c>
      <c r="B1260" t="inlineStr">
        <is>
          <t>16506403</t>
        </is>
      </c>
      <c r="C1260" t="inlineStr">
        <is>
          <t>163140</t>
        </is>
      </c>
      <c r="D1260" t="inlineStr">
        <is>
          <t>163140</t>
        </is>
      </c>
      <c r="E1260" t="inlineStr">
        <is>
          <t>HALFSIM TIGO</t>
        </is>
      </c>
      <c r="F1260" t="n">
        <v>1</v>
      </c>
      <c r="G1260" t="n">
        <v>0.69</v>
      </c>
      <c r="H1260" t="inlineStr">
        <is>
          <t>0.69</t>
        </is>
      </c>
      <c r="J1260" t="inlineStr">
        <is>
          <t>NICOLE CASTILLO_NICOLE CASTILLO</t>
        </is>
      </c>
      <c r="K1260" t="inlineStr">
        <is>
          <t>1791243560001</t>
        </is>
      </c>
      <c r="M1260" t="inlineStr">
        <is>
          <t>BTB</t>
        </is>
      </c>
      <c r="N1260" t="inlineStr">
        <is>
          <t>CANAL DIRECTO</t>
        </is>
      </c>
    </row>
    <row r="1261">
      <c r="A1261" t="inlineStr">
        <is>
          <t>21/10/2026</t>
        </is>
      </c>
      <c r="B1261" t="inlineStr">
        <is>
          <t>16506404</t>
        </is>
      </c>
      <c r="C1261" t="inlineStr">
        <is>
          <t>163140</t>
        </is>
      </c>
      <c r="D1261" t="inlineStr">
        <is>
          <t>163140</t>
        </is>
      </c>
      <c r="E1261" t="inlineStr">
        <is>
          <t>HALFSIM TIGO</t>
        </is>
      </c>
      <c r="F1261" t="n">
        <v>1</v>
      </c>
      <c r="G1261" t="n">
        <v>0.69</v>
      </c>
      <c r="H1261" t="inlineStr">
        <is>
          <t>0.69</t>
        </is>
      </c>
      <c r="J1261" t="inlineStr">
        <is>
          <t>SOFIA GARCIA ACOSTA_REPRESENTACIONES LEANDRO GARCIA LEGAR RLGL S A S</t>
        </is>
      </c>
      <c r="K1261" t="inlineStr">
        <is>
          <t>1391935885001</t>
        </is>
      </c>
      <c r="M1261" t="inlineStr">
        <is>
          <t>BTB</t>
        </is>
      </c>
      <c r="N1261" t="inlineStr">
        <is>
          <t>CANAL DIRECTO</t>
        </is>
      </c>
    </row>
    <row r="1262">
      <c r="A1262" t="inlineStr">
        <is>
          <t>21/10/2026</t>
        </is>
      </c>
      <c r="B1262" t="inlineStr">
        <is>
          <t>16506405</t>
        </is>
      </c>
      <c r="C1262" t="inlineStr">
        <is>
          <t>163140</t>
        </is>
      </c>
      <c r="D1262" t="inlineStr">
        <is>
          <t>163140</t>
        </is>
      </c>
      <c r="E1262" t="inlineStr">
        <is>
          <t>HALFSIM TIGO</t>
        </is>
      </c>
      <c r="F1262" t="n">
        <v>1</v>
      </c>
      <c r="G1262" t="n">
        <v>0.69</v>
      </c>
      <c r="H1262" t="inlineStr">
        <is>
          <t>0.69</t>
        </is>
      </c>
      <c r="J1262" t="inlineStr">
        <is>
          <t>LUIGI DENNIS BENAVIDES OBANDO_UPHONE S C C</t>
        </is>
      </c>
      <c r="K1262" t="inlineStr">
        <is>
          <t>1793192537001</t>
        </is>
      </c>
      <c r="M1262" t="inlineStr">
        <is>
          <t>BTB</t>
        </is>
      </c>
      <c r="N1262" t="inlineStr">
        <is>
          <t>CANAL DIRECTO</t>
        </is>
      </c>
    </row>
    <row r="1263">
      <c r="A1263" t="inlineStr">
        <is>
          <t>21/10/2026</t>
        </is>
      </c>
      <c r="B1263" t="inlineStr">
        <is>
          <t>16506406</t>
        </is>
      </c>
      <c r="C1263" t="inlineStr">
        <is>
          <t>163140</t>
        </is>
      </c>
      <c r="D1263" t="inlineStr">
        <is>
          <t>163140</t>
        </is>
      </c>
      <c r="E1263" t="inlineStr">
        <is>
          <t>HALFSIM TIGO</t>
        </is>
      </c>
      <c r="F1263" t="n">
        <v>1</v>
      </c>
      <c r="G1263" t="n">
        <v>0.69</v>
      </c>
      <c r="H1263" t="inlineStr">
        <is>
          <t>0.69</t>
        </is>
      </c>
      <c r="J1263" t="inlineStr">
        <is>
          <t>JENNIFFER RUIZ MIRANDA_ACEROS CATBOL S A</t>
        </is>
      </c>
      <c r="K1263" t="inlineStr">
        <is>
          <t>0992113022001</t>
        </is>
      </c>
      <c r="M1263" t="inlineStr">
        <is>
          <t>BTB</t>
        </is>
      </c>
      <c r="N1263" t="inlineStr">
        <is>
          <t>CANAL DIRECTO</t>
        </is>
      </c>
    </row>
    <row r="1264">
      <c r="A1264" t="inlineStr">
        <is>
          <t>21/10/2026</t>
        </is>
      </c>
      <c r="B1264" t="inlineStr">
        <is>
          <t>16506408</t>
        </is>
      </c>
      <c r="C1264" t="inlineStr">
        <is>
          <t>163140</t>
        </is>
      </c>
      <c r="D1264" t="inlineStr">
        <is>
          <t>163140</t>
        </is>
      </c>
      <c r="E1264" t="inlineStr">
        <is>
          <t>HALFSIM TIGO</t>
        </is>
      </c>
      <c r="F1264" t="n">
        <v>1</v>
      </c>
      <c r="G1264" t="n">
        <v>0.69</v>
      </c>
      <c r="H1264" t="inlineStr">
        <is>
          <t>0.69</t>
        </is>
      </c>
      <c r="J1264" t="inlineStr">
        <is>
          <t>CYNTIA COBO_BANCO PICHINCHA</t>
        </is>
      </c>
      <c r="K1264" t="inlineStr">
        <is>
          <t>1790010937001</t>
        </is>
      </c>
      <c r="M1264" t="inlineStr">
        <is>
          <t>BTB</t>
        </is>
      </c>
      <c r="N1264" t="inlineStr">
        <is>
          <t>CANAL DIRECTO</t>
        </is>
      </c>
    </row>
    <row r="1265">
      <c r="A1265" t="inlineStr">
        <is>
          <t>21/10/2026</t>
        </is>
      </c>
      <c r="B1265" t="inlineStr">
        <is>
          <t>97788537</t>
        </is>
      </c>
      <c r="C1265" t="inlineStr">
        <is>
          <t>163140</t>
        </is>
      </c>
      <c r="D1265" t="inlineStr">
        <is>
          <t>163140</t>
        </is>
      </c>
      <c r="E1265" t="inlineStr">
        <is>
          <t>HALFSIM TIGO</t>
        </is>
      </c>
      <c r="F1265" t="n">
        <v>1</v>
      </c>
      <c r="G1265" t="n">
        <v>0.69</v>
      </c>
      <c r="H1265" t="inlineStr">
        <is>
          <t>0.69</t>
        </is>
      </c>
      <c r="J1265" t="inlineStr">
        <is>
          <t>Viviana Parra</t>
        </is>
      </c>
      <c r="K1265" t="inlineStr">
        <is>
          <t>0924005358</t>
        </is>
      </c>
      <c r="L1265" t="inlineStr">
        <is>
          <t>-2.0947732,-79.9199298</t>
        </is>
      </c>
      <c r="M1265" t="inlineStr">
        <is>
          <t>Cliente Final</t>
        </is>
      </c>
      <c r="N1265" t="inlineStr">
        <is>
          <t>CANAL INDIRECTO</t>
        </is>
      </c>
    </row>
    <row r="1266">
      <c r="A1266" t="inlineStr">
        <is>
          <t>21/10/2026</t>
        </is>
      </c>
      <c r="B1266" t="inlineStr">
        <is>
          <t>97789152</t>
        </is>
      </c>
      <c r="C1266" t="inlineStr">
        <is>
          <t>163140</t>
        </is>
      </c>
      <c r="D1266" t="inlineStr">
        <is>
          <t>163140</t>
        </is>
      </c>
      <c r="E1266" t="inlineStr">
        <is>
          <t>HALFSIM TIGO</t>
        </is>
      </c>
      <c r="F1266" t="n">
        <v>1</v>
      </c>
      <c r="G1266" t="n">
        <v>0.69</v>
      </c>
      <c r="H1266" t="inlineStr">
        <is>
          <t>0.69</t>
        </is>
      </c>
      <c r="J1266" t="inlineStr">
        <is>
          <t>Maria Barclay</t>
        </is>
      </c>
      <c r="K1266" t="inlineStr">
        <is>
          <t>0950469965</t>
        </is>
      </c>
      <c r="L1266" t="inlineStr">
        <is>
          <t>-2.1273778,-79.9142551</t>
        </is>
      </c>
      <c r="M1266" t="inlineStr">
        <is>
          <t>Cliente Final</t>
        </is>
      </c>
      <c r="N1266" t="inlineStr">
        <is>
          <t>CANAL INDIRECTO</t>
        </is>
      </c>
    </row>
    <row r="1267">
      <c r="A1267" t="inlineStr">
        <is>
          <t>21/10/2026</t>
        </is>
      </c>
      <c r="B1267" t="inlineStr">
        <is>
          <t>97789949</t>
        </is>
      </c>
      <c r="C1267" t="inlineStr">
        <is>
          <t>163140</t>
        </is>
      </c>
      <c r="D1267" t="inlineStr">
        <is>
          <t>163140</t>
        </is>
      </c>
      <c r="E1267" t="inlineStr">
        <is>
          <t>HALFSIM TIGO</t>
        </is>
      </c>
      <c r="F1267" t="n">
        <v>1</v>
      </c>
      <c r="G1267" t="n">
        <v>0.69</v>
      </c>
      <c r="H1267" t="inlineStr">
        <is>
          <t>0.69</t>
        </is>
      </c>
      <c r="J1267" t="inlineStr">
        <is>
          <t>Michelle Aray</t>
        </is>
      </c>
      <c r="K1267" t="inlineStr">
        <is>
          <t>0932112964</t>
        </is>
      </c>
      <c r="L1267" t="inlineStr">
        <is>
          <t>-2.077673,-79.9155972</t>
        </is>
      </c>
      <c r="M1267" t="inlineStr">
        <is>
          <t>Cliente Final</t>
        </is>
      </c>
      <c r="N1267" t="inlineStr">
        <is>
          <t>CANAL INDIRECTO</t>
        </is>
      </c>
    </row>
    <row r="1268">
      <c r="A1268" t="inlineStr">
        <is>
          <t>21/10/2026</t>
        </is>
      </c>
      <c r="B1268" t="inlineStr">
        <is>
          <t>16506436</t>
        </is>
      </c>
      <c r="C1268" t="inlineStr">
        <is>
          <t>163140</t>
        </is>
      </c>
      <c r="D1268" t="inlineStr">
        <is>
          <t>163140</t>
        </is>
      </c>
      <c r="E1268" t="inlineStr">
        <is>
          <t>HALFSIM TIGO</t>
        </is>
      </c>
      <c r="F1268" t="n">
        <v>2</v>
      </c>
      <c r="G1268" t="n">
        <v>1.38</v>
      </c>
      <c r="H1268" t="inlineStr">
        <is>
          <t>0.69</t>
        </is>
      </c>
      <c r="J1268" t="inlineStr">
        <is>
          <t>ALEJANDRA MUNOZ_CASA KOREA CIA LTDA</t>
        </is>
      </c>
      <c r="K1268" t="inlineStr">
        <is>
          <t>1790535126001</t>
        </is>
      </c>
      <c r="M1268" t="inlineStr">
        <is>
          <t>BTB</t>
        </is>
      </c>
      <c r="N1268" t="inlineStr">
        <is>
          <t>CANAL DIRECTO</t>
        </is>
      </c>
    </row>
    <row r="1269">
      <c r="A1269" t="inlineStr">
        <is>
          <t>21/10/2026</t>
        </is>
      </c>
      <c r="B1269" t="inlineStr">
        <is>
          <t>16506440</t>
        </is>
      </c>
      <c r="C1269" t="inlineStr">
        <is>
          <t>163140</t>
        </is>
      </c>
      <c r="D1269" t="inlineStr">
        <is>
          <t>163140</t>
        </is>
      </c>
      <c r="E1269" t="inlineStr">
        <is>
          <t>HALFSIM TIGO</t>
        </is>
      </c>
      <c r="F1269" t="n">
        <v>1</v>
      </c>
      <c r="G1269" t="n">
        <v>0.69</v>
      </c>
      <c r="H1269" t="inlineStr">
        <is>
          <t>0.69</t>
        </is>
      </c>
      <c r="J1269" t="inlineStr">
        <is>
          <t>ELISABETH PACHECO_ITSEGUINFO CIA</t>
        </is>
      </c>
      <c r="K1269" t="inlineStr">
        <is>
          <t>1792199387001</t>
        </is>
      </c>
      <c r="M1269" t="inlineStr">
        <is>
          <t>BTB</t>
        </is>
      </c>
      <c r="N1269" t="inlineStr">
        <is>
          <t>CANAL DIRECTO</t>
        </is>
      </c>
    </row>
    <row r="1270">
      <c r="A1270" t="inlineStr">
        <is>
          <t>21/10/2026</t>
        </is>
      </c>
      <c r="B1270" t="inlineStr">
        <is>
          <t>16506442</t>
        </is>
      </c>
      <c r="C1270" t="inlineStr">
        <is>
          <t>163140</t>
        </is>
      </c>
      <c r="D1270" t="inlineStr">
        <is>
          <t>163140</t>
        </is>
      </c>
      <c r="E1270" t="inlineStr">
        <is>
          <t>HALFSIM TIGO</t>
        </is>
      </c>
      <c r="F1270" t="n">
        <v>1</v>
      </c>
      <c r="G1270" t="n">
        <v>0.69</v>
      </c>
      <c r="H1270" t="inlineStr">
        <is>
          <t>0.69</t>
        </is>
      </c>
      <c r="J1270" t="inlineStr">
        <is>
          <t>IVONNE PAUCAR_BINARIA SISTEMAS S A</t>
        </is>
      </c>
      <c r="K1270" t="inlineStr">
        <is>
          <t>1790394182001</t>
        </is>
      </c>
      <c r="M1270" t="inlineStr">
        <is>
          <t>BTB</t>
        </is>
      </c>
      <c r="N1270" t="inlineStr">
        <is>
          <t>CANAL DIRECTO</t>
        </is>
      </c>
    </row>
    <row r="1271">
      <c r="A1271" t="inlineStr">
        <is>
          <t>21/10/2026</t>
        </is>
      </c>
      <c r="B1271" t="inlineStr">
        <is>
          <t>16506446</t>
        </is>
      </c>
      <c r="C1271" t="inlineStr">
        <is>
          <t>163140</t>
        </is>
      </c>
      <c r="D1271" t="inlineStr">
        <is>
          <t>163140</t>
        </is>
      </c>
      <c r="E1271" t="inlineStr">
        <is>
          <t>HALFSIM TIGO</t>
        </is>
      </c>
      <c r="F1271" t="n">
        <v>1</v>
      </c>
      <c r="G1271" t="n">
        <v>0.69</v>
      </c>
      <c r="H1271" t="inlineStr">
        <is>
          <t>0.69</t>
        </is>
      </c>
      <c r="J1271" t="inlineStr">
        <is>
          <t>CEDENO LEON ESTHER ELIZABETH_CEDENO LEON ESTHER ELIZABETH</t>
        </is>
      </c>
      <c r="K1271" t="inlineStr">
        <is>
          <t>1205117557001</t>
        </is>
      </c>
      <c r="M1271" t="inlineStr">
        <is>
          <t>BTB</t>
        </is>
      </c>
      <c r="N1271" t="inlineStr">
        <is>
          <t>CANAL DIRECTO</t>
        </is>
      </c>
    </row>
    <row r="1272">
      <c r="A1272" t="inlineStr">
        <is>
          <t>21/10/2026</t>
        </is>
      </c>
      <c r="B1272" t="inlineStr">
        <is>
          <t>16506447</t>
        </is>
      </c>
      <c r="C1272" t="inlineStr">
        <is>
          <t>163140</t>
        </is>
      </c>
      <c r="D1272" t="inlineStr">
        <is>
          <t>163140</t>
        </is>
      </c>
      <c r="E1272" t="inlineStr">
        <is>
          <t>HALFSIM TIGO</t>
        </is>
      </c>
      <c r="F1272" t="n">
        <v>1</v>
      </c>
      <c r="G1272" t="n">
        <v>0.69</v>
      </c>
      <c r="H1272" t="inlineStr">
        <is>
          <t>0.69</t>
        </is>
      </c>
      <c r="J1272" t="inlineStr">
        <is>
          <t>AUSAY SILVA ANA LIZETH_AUSAY SILVA ANA LIZETH</t>
        </is>
      </c>
      <c r="K1272" t="inlineStr">
        <is>
          <t>0604314385001</t>
        </is>
      </c>
      <c r="M1272" t="inlineStr">
        <is>
          <t>BTB</t>
        </is>
      </c>
      <c r="N1272" t="inlineStr">
        <is>
          <t>CANAL DIRECTO</t>
        </is>
      </c>
    </row>
    <row r="1273">
      <c r="A1273" t="inlineStr">
        <is>
          <t>21/10/2026</t>
        </is>
      </c>
      <c r="B1273" t="inlineStr">
        <is>
          <t>16506448</t>
        </is>
      </c>
      <c r="C1273" t="inlineStr">
        <is>
          <t>163140</t>
        </is>
      </c>
      <c r="D1273" t="inlineStr">
        <is>
          <t>163140</t>
        </is>
      </c>
      <c r="E1273" t="inlineStr">
        <is>
          <t>HALFSIM TIGO</t>
        </is>
      </c>
      <c r="F1273" t="n">
        <v>1</v>
      </c>
      <c r="G1273" t="n">
        <v>0.69</v>
      </c>
      <c r="H1273" t="inlineStr">
        <is>
          <t>0.69</t>
        </is>
      </c>
      <c r="J1273" t="inlineStr">
        <is>
          <t>VASCONEZ ECHEVERRIA LUIS ALBERTO_VASCONEZ ECHEVERRIA LUIS ALBERTO</t>
        </is>
      </c>
      <c r="K1273" t="inlineStr">
        <is>
          <t>0912122314001</t>
        </is>
      </c>
      <c r="M1273" t="inlineStr">
        <is>
          <t>BTB</t>
        </is>
      </c>
      <c r="N1273" t="inlineStr">
        <is>
          <t>CANAL DIRECTO</t>
        </is>
      </c>
    </row>
    <row r="1274">
      <c r="A1274" t="inlineStr">
        <is>
          <t>21/10/2026</t>
        </is>
      </c>
      <c r="B1274" t="inlineStr">
        <is>
          <t>16506449</t>
        </is>
      </c>
      <c r="C1274" t="inlineStr">
        <is>
          <t>163140</t>
        </is>
      </c>
      <c r="D1274" t="inlineStr">
        <is>
          <t>163140</t>
        </is>
      </c>
      <c r="E1274" t="inlineStr">
        <is>
          <t>HALFSIM TIGO</t>
        </is>
      </c>
      <c r="F1274" t="n">
        <v>1</v>
      </c>
      <c r="G1274" t="n">
        <v>0.69</v>
      </c>
      <c r="H1274" t="inlineStr">
        <is>
          <t>0.69</t>
        </is>
      </c>
      <c r="J1274" t="inlineStr">
        <is>
          <t>BURGOS MACIAS AGUSTIN ALEXIS_BURGOS MACIAS AGUSTIN ALEXIS</t>
        </is>
      </c>
      <c r="K1274" t="inlineStr">
        <is>
          <t>1205225657001</t>
        </is>
      </c>
      <c r="M1274" t="inlineStr">
        <is>
          <t>BTB</t>
        </is>
      </c>
      <c r="N1274" t="inlineStr">
        <is>
          <t>CANAL DIRECTO</t>
        </is>
      </c>
    </row>
    <row r="1275">
      <c r="A1275" t="inlineStr">
        <is>
          <t>21/10/2026</t>
        </is>
      </c>
      <c r="B1275" t="inlineStr">
        <is>
          <t>16506450</t>
        </is>
      </c>
      <c r="C1275" t="inlineStr">
        <is>
          <t>163140</t>
        </is>
      </c>
      <c r="D1275" t="inlineStr">
        <is>
          <t>163140</t>
        </is>
      </c>
      <c r="E1275" t="inlineStr">
        <is>
          <t>HALFSIM TIGO</t>
        </is>
      </c>
      <c r="F1275" t="n">
        <v>1</v>
      </c>
      <c r="G1275" t="n">
        <v>0.69</v>
      </c>
      <c r="H1275" t="inlineStr">
        <is>
          <t>0.69</t>
        </is>
      </c>
      <c r="J1275" t="inlineStr">
        <is>
          <t>IVONNE PAUCAR_BINARIA SISTEMAS S A</t>
        </is>
      </c>
      <c r="K1275" t="inlineStr">
        <is>
          <t>1790394182001</t>
        </is>
      </c>
      <c r="M1275" t="inlineStr">
        <is>
          <t>BTB</t>
        </is>
      </c>
      <c r="N1275" t="inlineStr">
        <is>
          <t>CANAL DIRECTO</t>
        </is>
      </c>
    </row>
    <row r="1276">
      <c r="A1276" t="inlineStr">
        <is>
          <t>21/10/2026</t>
        </is>
      </c>
      <c r="B1276" t="inlineStr">
        <is>
          <t>16506451</t>
        </is>
      </c>
      <c r="C1276" t="inlineStr">
        <is>
          <t>163140</t>
        </is>
      </c>
      <c r="D1276" t="inlineStr">
        <is>
          <t>163140</t>
        </is>
      </c>
      <c r="E1276" t="inlineStr">
        <is>
          <t>HALFSIM TIGO</t>
        </is>
      </c>
      <c r="F1276" t="n">
        <v>1</v>
      </c>
      <c r="G1276" t="n">
        <v>0.69</v>
      </c>
      <c r="H1276" t="inlineStr">
        <is>
          <t>0.69</t>
        </is>
      </c>
      <c r="J1276" t="inlineStr">
        <is>
          <t>ANDRES PALACIOS_IMPORTADORA CUMPLEANOS PALACIOS CORDERO CIA LTDA</t>
        </is>
      </c>
      <c r="K1276" t="inlineStr">
        <is>
          <t>0190368068001</t>
        </is>
      </c>
      <c r="M1276" t="inlineStr">
        <is>
          <t>BTB</t>
        </is>
      </c>
      <c r="N1276" t="inlineStr">
        <is>
          <t>CANAL DIRECTO</t>
        </is>
      </c>
    </row>
    <row r="1277">
      <c r="A1277" t="inlineStr">
        <is>
          <t>21/10/2026</t>
        </is>
      </c>
      <c r="B1277" t="inlineStr">
        <is>
          <t>16506452</t>
        </is>
      </c>
      <c r="C1277" t="inlineStr">
        <is>
          <t>163140</t>
        </is>
      </c>
      <c r="D1277" t="inlineStr">
        <is>
          <t>163140</t>
        </is>
      </c>
      <c r="E1277" t="inlineStr">
        <is>
          <t>HALFSIM TIGO</t>
        </is>
      </c>
      <c r="F1277" t="n">
        <v>15</v>
      </c>
      <c r="G1277" t="n">
        <v>10.35</v>
      </c>
      <c r="H1277" t="inlineStr">
        <is>
          <t>0.69</t>
        </is>
      </c>
      <c r="J1277" t="inlineStr">
        <is>
          <t>DIANA LARCO_DENTONS PAZ HOROWITZ S A</t>
        </is>
      </c>
      <c r="K1277" t="inlineStr">
        <is>
          <t>1792577373001</t>
        </is>
      </c>
      <c r="M1277" t="inlineStr">
        <is>
          <t>BTB</t>
        </is>
      </c>
      <c r="N1277" t="inlineStr">
        <is>
          <t>CANAL DIRECTO</t>
        </is>
      </c>
    </row>
    <row r="1278">
      <c r="A1278" t="inlineStr">
        <is>
          <t>21/10/2026</t>
        </is>
      </c>
      <c r="B1278" t="inlineStr">
        <is>
          <t>16506469</t>
        </is>
      </c>
      <c r="C1278" t="inlineStr">
        <is>
          <t>163140</t>
        </is>
      </c>
      <c r="D1278" t="inlineStr">
        <is>
          <t>163140</t>
        </is>
      </c>
      <c r="E1278" t="inlineStr">
        <is>
          <t>HALFSIM TIGO</t>
        </is>
      </c>
      <c r="F1278" t="n">
        <v>1</v>
      </c>
      <c r="G1278" t="n">
        <v>0.69</v>
      </c>
      <c r="H1278" t="inlineStr">
        <is>
          <t>0.69</t>
        </is>
      </c>
      <c r="J1278" t="inlineStr">
        <is>
          <t>KAREN SARZOSA_HISPAMODA S A</t>
        </is>
      </c>
      <c r="K1278" t="inlineStr">
        <is>
          <t>1792342805001</t>
        </is>
      </c>
      <c r="M1278" t="inlineStr">
        <is>
          <t>BTB</t>
        </is>
      </c>
      <c r="N1278" t="inlineStr">
        <is>
          <t>CANAL DIRECTO</t>
        </is>
      </c>
    </row>
    <row r="1279">
      <c r="A1279" t="inlineStr">
        <is>
          <t>21/10/2026</t>
        </is>
      </c>
      <c r="B1279" t="inlineStr">
        <is>
          <t>16506471</t>
        </is>
      </c>
      <c r="C1279" t="inlineStr">
        <is>
          <t>163140</t>
        </is>
      </c>
      <c r="D1279" t="inlineStr">
        <is>
          <t>163140</t>
        </is>
      </c>
      <c r="E1279" t="inlineStr">
        <is>
          <t>HALFSIM TIGO</t>
        </is>
      </c>
      <c r="F1279" t="n">
        <v>1</v>
      </c>
      <c r="G1279" t="n">
        <v>0.69</v>
      </c>
      <c r="H1279" t="inlineStr">
        <is>
          <t>0.69</t>
        </is>
      </c>
      <c r="J1279" t="inlineStr">
        <is>
          <t>MACIAS MACIAS JONATHAN MANUEL_MACIAS MACIAS JONATHAN MANUEL</t>
        </is>
      </c>
      <c r="K1279" t="inlineStr">
        <is>
          <t>0925324584001</t>
        </is>
      </c>
      <c r="M1279" t="inlineStr">
        <is>
          <t>BTB</t>
        </is>
      </c>
      <c r="N1279" t="inlineStr">
        <is>
          <t>CANAL DIRECTO</t>
        </is>
      </c>
    </row>
    <row r="1280">
      <c r="A1280" t="inlineStr">
        <is>
          <t>21/10/2026</t>
        </is>
      </c>
      <c r="B1280" t="inlineStr">
        <is>
          <t>2026-08558</t>
        </is>
      </c>
      <c r="C1280" t="inlineStr">
        <is>
          <t>163140_02</t>
        </is>
      </c>
      <c r="D1280" t="inlineStr">
        <is>
          <t>163140</t>
        </is>
      </c>
      <c r="E1280" t="inlineStr">
        <is>
          <t>HALFSIM TIGO CHIP PREPAGO $3 WP NUMERADO</t>
        </is>
      </c>
      <c r="F1280" t="n">
        <v>3000</v>
      </c>
      <c r="G1280" t="n">
        <v>2070</v>
      </c>
      <c r="H1280" t="inlineStr">
        <is>
          <t>0.69</t>
        </is>
      </c>
      <c r="J1280" t="inlineStr">
        <is>
          <t>KATYNA IVONNE VALLADARES SALAZAR_KATYNA VALLADARES</t>
        </is>
      </c>
      <c r="K1280" t="inlineStr">
        <is>
          <t>1707929228001</t>
        </is>
      </c>
      <c r="M1280" t="inlineStr">
        <is>
          <t>INDIRECTO</t>
        </is>
      </c>
      <c r="N1280" t="inlineStr">
        <is>
          <t>CANAL INDIRECTO</t>
        </is>
      </c>
    </row>
    <row r="1281">
      <c r="A1281" t="inlineStr">
        <is>
          <t>21/10/2026</t>
        </is>
      </c>
      <c r="B1281" t="inlineStr">
        <is>
          <t>2026-08559</t>
        </is>
      </c>
      <c r="C1281" t="inlineStr">
        <is>
          <t>163140_02</t>
        </is>
      </c>
      <c r="D1281" t="inlineStr">
        <is>
          <t>163140</t>
        </is>
      </c>
      <c r="E1281" t="inlineStr">
        <is>
          <t>HALFSIM TIGO CHIP PREPAGO $3 WP NUMERADO</t>
        </is>
      </c>
      <c r="F1281" t="n">
        <v>2250</v>
      </c>
      <c r="G1281" t="n">
        <v>1552.4999999999998</v>
      </c>
      <c r="H1281" t="inlineStr">
        <is>
          <t>0.69</t>
        </is>
      </c>
      <c r="J1281" t="inlineStr">
        <is>
          <t>TARSISINVEST TUENTI KENNEDY_MARCO BASTIDAS TOALA</t>
        </is>
      </c>
      <c r="K1281" t="inlineStr">
        <is>
          <t>0992862459001</t>
        </is>
      </c>
      <c r="M1281" t="inlineStr">
        <is>
          <t>INDIRECTO</t>
        </is>
      </c>
      <c r="N1281" t="inlineStr">
        <is>
          <t>CANAL INDIRECTO</t>
        </is>
      </c>
    </row>
    <row r="1282">
      <c r="A1282" t="inlineStr">
        <is>
          <t>21/10/2026</t>
        </is>
      </c>
      <c r="B1282" t="inlineStr">
        <is>
          <t>2026-08560</t>
        </is>
      </c>
      <c r="C1282" t="inlineStr">
        <is>
          <t>163140_06</t>
        </is>
      </c>
      <c r="D1282" t="inlineStr">
        <is>
          <t>163140</t>
        </is>
      </c>
      <c r="E1282" t="inlineStr">
        <is>
          <t>HALFSIM TIGO PORTABILIDAD</t>
        </is>
      </c>
      <c r="F1282" t="n">
        <v>100</v>
      </c>
      <c r="G1282" t="n">
        <v>69</v>
      </c>
      <c r="H1282" t="inlineStr">
        <is>
          <t>0.69</t>
        </is>
      </c>
      <c r="J1282" t="inlineStr">
        <is>
          <t>KIOSKO SMARTPHONELANDIA CITY MALL_ROMERO RODRIGUEZ CESAR BERNABE</t>
        </is>
      </c>
      <c r="K1282" t="inlineStr">
        <is>
          <t>0918930660</t>
        </is>
      </c>
      <c r="M1282" t="inlineStr">
        <is>
          <t>INDIRECTO</t>
        </is>
      </c>
      <c r="N1282" t="inlineStr">
        <is>
          <t>CANAL INDIRECTO</t>
        </is>
      </c>
    </row>
    <row r="1283">
      <c r="A1283" t="inlineStr">
        <is>
          <t>21/10/2026</t>
        </is>
      </c>
      <c r="B1283" t="inlineStr">
        <is>
          <t>2026-08560</t>
        </is>
      </c>
      <c r="C1283" t="inlineStr">
        <is>
          <t>163141</t>
        </is>
      </c>
      <c r="D1283" t="inlineStr">
        <is>
          <t>163141</t>
        </is>
      </c>
      <c r="E1283" t="inlineStr">
        <is>
          <t>ESIM TIGO DIGITAL</t>
        </is>
      </c>
      <c r="F1283" t="n">
        <v>100</v>
      </c>
      <c r="G1283" t="n">
        <v>21</v>
      </c>
      <c r="H1283" t="inlineStr">
        <is>
          <t>0.21</t>
        </is>
      </c>
      <c r="J1283" t="inlineStr">
        <is>
          <t>KIOSKO SMARTPHONELANDIA CITY MALL_ROMERO RODRIGUEZ CESAR BERNABE</t>
        </is>
      </c>
      <c r="K1283" t="inlineStr">
        <is>
          <t>0918930660</t>
        </is>
      </c>
      <c r="M1283" t="inlineStr">
        <is>
          <t>INDIRECTO</t>
        </is>
      </c>
      <c r="N1283" t="inlineStr">
        <is>
          <t>CANAL INDIRECTO</t>
        </is>
      </c>
    </row>
    <row r="1284">
      <c r="A1284" t="inlineStr">
        <is>
          <t>21/10/2026</t>
        </is>
      </c>
      <c r="B1284" t="inlineStr">
        <is>
          <t>2026-08562</t>
        </is>
      </c>
      <c r="C1284" t="inlineStr">
        <is>
          <t>163140_02</t>
        </is>
      </c>
      <c r="D1284" t="inlineStr">
        <is>
          <t>163140</t>
        </is>
      </c>
      <c r="E1284" t="inlineStr">
        <is>
          <t>HALFSIM TIGO CHIP PREPAGO $3 WP NUMERADO</t>
        </is>
      </c>
      <c r="F1284" t="n">
        <v>8000</v>
      </c>
      <c r="G1284" t="n">
        <v>5520</v>
      </c>
      <c r="H1284" t="inlineStr">
        <is>
          <t>0.69</t>
        </is>
      </c>
      <c r="J1284" t="inlineStr">
        <is>
          <t>TECECAB ZONIFICACION ORIENTE_PAOLA MORETA</t>
        </is>
      </c>
      <c r="K1284" t="inlineStr">
        <is>
          <t>1716278575</t>
        </is>
      </c>
      <c r="M1284" t="inlineStr">
        <is>
          <t>INDIRECTO</t>
        </is>
      </c>
      <c r="N1284" t="inlineStr">
        <is>
          <t>CANAL INDIRECTO</t>
        </is>
      </c>
    </row>
    <row r="1285">
      <c r="A1285" t="inlineStr">
        <is>
          <t>21/10/2026</t>
        </is>
      </c>
      <c r="B1285" t="inlineStr">
        <is>
          <t>2026-08567</t>
        </is>
      </c>
      <c r="C1285" t="inlineStr">
        <is>
          <t>163140_02</t>
        </is>
      </c>
      <c r="D1285" t="inlineStr">
        <is>
          <t>163140</t>
        </is>
      </c>
      <c r="E1285" t="inlineStr">
        <is>
          <t>HALFSIM TIGO CHIP PREPAGO $3 WP NUMERADO</t>
        </is>
      </c>
      <c r="F1285" t="n">
        <v>1500</v>
      </c>
      <c r="G1285" t="n">
        <v>1035</v>
      </c>
      <c r="H1285" t="inlineStr">
        <is>
          <t>0.69</t>
        </is>
      </c>
      <c r="J1285" t="inlineStr">
        <is>
          <t>NORPHONE PICHINCHA ADMINISTRATIVO_MIGUEL MICHILENA</t>
        </is>
      </c>
      <c r="K1285" t="inlineStr">
        <is>
          <t>0916791601</t>
        </is>
      </c>
      <c r="M1285" t="inlineStr">
        <is>
          <t>INDIRECTO</t>
        </is>
      </c>
      <c r="N1285" t="inlineStr">
        <is>
          <t>CANAL INDIRECTO</t>
        </is>
      </c>
    </row>
    <row r="1286">
      <c r="A1286" t="inlineStr">
        <is>
          <t>21/10/2026</t>
        </is>
      </c>
      <c r="B1286" t="inlineStr">
        <is>
          <t>2026-08569</t>
        </is>
      </c>
      <c r="C1286" t="inlineStr">
        <is>
          <t>162699</t>
        </is>
      </c>
      <c r="D1286" t="inlineStr">
        <is>
          <t>162699</t>
        </is>
      </c>
      <c r="E1286" t="inlineStr">
        <is>
          <t>HALFSIM KITE M2M 4FF DEVICE CONTROL TELEFONICA</t>
        </is>
      </c>
      <c r="F1286" t="n">
        <v>300</v>
      </c>
      <c r="G1286" t="n">
        <v>206.99999999999997</v>
      </c>
      <c r="H1286" t="inlineStr">
        <is>
          <t>0.69</t>
        </is>
      </c>
      <c r="J1286" t="inlineStr">
        <is>
          <t>DATAFAST S.A._RONALD MORA</t>
        </is>
      </c>
      <c r="K1286" t="inlineStr">
        <is>
          <t>1791310063001</t>
        </is>
      </c>
      <c r="M1286" t="inlineStr">
        <is>
          <t>INDIRECTO</t>
        </is>
      </c>
      <c r="N1286" t="inlineStr">
        <is>
          <t>CANAL INDIRECTO</t>
        </is>
      </c>
    </row>
    <row r="1287">
      <c r="A1287" t="inlineStr">
        <is>
          <t>21/10/2026</t>
        </is>
      </c>
      <c r="B1287" t="inlineStr">
        <is>
          <t>16506506</t>
        </is>
      </c>
      <c r="C1287" t="inlineStr">
        <is>
          <t>163140</t>
        </is>
      </c>
      <c r="D1287" t="inlineStr">
        <is>
          <t>163140</t>
        </is>
      </c>
      <c r="E1287" t="inlineStr">
        <is>
          <t>HALFSIM TIGO</t>
        </is>
      </c>
      <c r="F1287" t="n">
        <v>59</v>
      </c>
      <c r="G1287" t="n">
        <v>40.709999999999994</v>
      </c>
      <c r="H1287" t="inlineStr">
        <is>
          <t>0.69</t>
        </is>
      </c>
      <c r="J1287" t="inlineStr">
        <is>
          <t>PAMELA GONZALEZ_MAGNETOCORP S A</t>
        </is>
      </c>
      <c r="K1287" t="inlineStr">
        <is>
          <t>0991306080001</t>
        </is>
      </c>
      <c r="M1287" t="inlineStr">
        <is>
          <t>BTB</t>
        </is>
      </c>
      <c r="N1287" t="inlineStr">
        <is>
          <t>CANAL DIRECTO</t>
        </is>
      </c>
    </row>
    <row r="1288">
      <c r="A1288" t="inlineStr">
        <is>
          <t>21/10/2026</t>
        </is>
      </c>
      <c r="B1288" t="inlineStr">
        <is>
          <t>16506576</t>
        </is>
      </c>
      <c r="C1288" t="inlineStr">
        <is>
          <t>163140</t>
        </is>
      </c>
      <c r="D1288" t="inlineStr">
        <is>
          <t>163140</t>
        </is>
      </c>
      <c r="E1288" t="inlineStr">
        <is>
          <t>HALFSIM TIGO</t>
        </is>
      </c>
      <c r="F1288" t="n">
        <v>1</v>
      </c>
      <c r="G1288" t="n">
        <v>0.69</v>
      </c>
      <c r="H1288" t="inlineStr">
        <is>
          <t>0.69</t>
        </is>
      </c>
      <c r="J1288" t="inlineStr">
        <is>
          <t>LILIAN VACA_OBSIDIAN CIA LTDA</t>
        </is>
      </c>
      <c r="K1288" t="inlineStr">
        <is>
          <t>1790697746001</t>
        </is>
      </c>
      <c r="M1288" t="inlineStr">
        <is>
          <t>BTB</t>
        </is>
      </c>
      <c r="N1288" t="inlineStr">
        <is>
          <t>CANAL DIRECTO</t>
        </is>
      </c>
    </row>
    <row r="1289">
      <c r="A1289" t="inlineStr">
        <is>
          <t>21/10/2026</t>
        </is>
      </c>
      <c r="B1289" t="inlineStr">
        <is>
          <t>16506596</t>
        </is>
      </c>
      <c r="C1289" t="inlineStr">
        <is>
          <t>163140</t>
        </is>
      </c>
      <c r="D1289" t="inlineStr">
        <is>
          <t>163140</t>
        </is>
      </c>
      <c r="E1289" t="inlineStr">
        <is>
          <t>HALFSIM TIGO</t>
        </is>
      </c>
      <c r="F1289" t="n">
        <v>1</v>
      </c>
      <c r="G1289" t="n">
        <v>0.69</v>
      </c>
      <c r="H1289" t="inlineStr">
        <is>
          <t>0.69</t>
        </is>
      </c>
      <c r="J1289" t="inlineStr">
        <is>
          <t>KEVIN ORTIZ_LEXTAX SERVICIOS TRIBUTARIOS INTEGRALES S A</t>
        </is>
      </c>
      <c r="K1289" t="inlineStr">
        <is>
          <t>1792259215001</t>
        </is>
      </c>
      <c r="M1289" t="inlineStr">
        <is>
          <t>BTB</t>
        </is>
      </c>
      <c r="N1289" t="inlineStr">
        <is>
          <t>CANAL DIRECTO</t>
        </is>
      </c>
    </row>
    <row r="1290">
      <c r="A1290" t="inlineStr">
        <is>
          <t>21/10/2026</t>
        </is>
      </c>
      <c r="B1290" t="inlineStr">
        <is>
          <t>16506610</t>
        </is>
      </c>
      <c r="C1290" t="inlineStr">
        <is>
          <t>163140</t>
        </is>
      </c>
      <c r="D1290" t="inlineStr">
        <is>
          <t>163140</t>
        </is>
      </c>
      <c r="E1290" t="inlineStr">
        <is>
          <t>HALFSIM TIGO</t>
        </is>
      </c>
      <c r="F1290" t="n">
        <v>6</v>
      </c>
      <c r="G1290" t="n">
        <v>4.1399999999999997</v>
      </c>
      <c r="H1290" t="inlineStr">
        <is>
          <t>0.69</t>
        </is>
      </c>
      <c r="J1290" t="inlineStr">
        <is>
          <t>NELLY VELASCO_OPTISPLICE DVB ASOCIADOS CIA LTDA</t>
        </is>
      </c>
      <c r="K1290" t="inlineStr">
        <is>
          <t>1792231345001</t>
        </is>
      </c>
      <c r="M1290" t="inlineStr">
        <is>
          <t>BTB</t>
        </is>
      </c>
      <c r="N1290" t="inlineStr">
        <is>
          <t>CANAL DIRECTO</t>
        </is>
      </c>
    </row>
    <row r="1291">
      <c r="A1291" t="inlineStr">
        <is>
          <t>21/10/2026</t>
        </is>
      </c>
      <c r="B1291" t="inlineStr">
        <is>
          <t>16506618</t>
        </is>
      </c>
      <c r="C1291" t="inlineStr">
        <is>
          <t>163140</t>
        </is>
      </c>
      <c r="D1291" t="inlineStr">
        <is>
          <t>163140</t>
        </is>
      </c>
      <c r="E1291" t="inlineStr">
        <is>
          <t>HALFSIM TIGO</t>
        </is>
      </c>
      <c r="F1291" t="n">
        <v>26</v>
      </c>
      <c r="G1291" t="n">
        <v>17.939999999999998</v>
      </c>
      <c r="H1291" t="inlineStr">
        <is>
          <t>0.69</t>
        </is>
      </c>
      <c r="J1291" t="inlineStr">
        <is>
          <t>NELLY VELASCO_OPTISPLICE DVB ASOCIADOS CIA LTDA</t>
        </is>
      </c>
      <c r="K1291" t="inlineStr">
        <is>
          <t>1792231345001</t>
        </is>
      </c>
      <c r="M1291" t="inlineStr">
        <is>
          <t>BTB</t>
        </is>
      </c>
      <c r="N1291" t="inlineStr">
        <is>
          <t>CANAL DIRECTO</t>
        </is>
      </c>
    </row>
    <row r="1292">
      <c r="A1292" t="inlineStr">
        <is>
          <t>21/10/2026</t>
        </is>
      </c>
      <c r="B1292" t="inlineStr">
        <is>
          <t>16506645</t>
        </is>
      </c>
      <c r="C1292" t="inlineStr">
        <is>
          <t>163140</t>
        </is>
      </c>
      <c r="D1292" t="inlineStr">
        <is>
          <t>163140</t>
        </is>
      </c>
      <c r="E1292" t="inlineStr">
        <is>
          <t>HALFSIM TIGO</t>
        </is>
      </c>
      <c r="F1292" t="n">
        <v>10</v>
      </c>
      <c r="G1292" t="n">
        <v>6.8999999999999995</v>
      </c>
      <c r="H1292" t="inlineStr">
        <is>
          <t>0.69</t>
        </is>
      </c>
      <c r="J1292" t="inlineStr">
        <is>
          <t>FRANCISCO CORAL_MULTICOMERCIO Y DISTRIBUIDORA MOLINA Y ORTEGA MMO CIA LTDA</t>
        </is>
      </c>
      <c r="K1292" t="inlineStr">
        <is>
          <t>1792858194001</t>
        </is>
      </c>
      <c r="M1292" t="inlineStr">
        <is>
          <t>BTB</t>
        </is>
      </c>
      <c r="N1292" t="inlineStr">
        <is>
          <t>CANAL DIRECTO</t>
        </is>
      </c>
    </row>
    <row r="1293">
      <c r="A1293" t="inlineStr">
        <is>
          <t>21/10/2026</t>
        </is>
      </c>
      <c r="B1293" t="inlineStr">
        <is>
          <t>16506497</t>
        </is>
      </c>
      <c r="C1293" t="inlineStr">
        <is>
          <t>163140</t>
        </is>
      </c>
      <c r="D1293" t="inlineStr">
        <is>
          <t>163140</t>
        </is>
      </c>
      <c r="E1293" t="inlineStr">
        <is>
          <t>HALFSIM TIGO</t>
        </is>
      </c>
      <c r="F1293" t="n">
        <v>8</v>
      </c>
      <c r="G1293" t="n">
        <v>5.52</v>
      </c>
      <c r="H1293" t="inlineStr">
        <is>
          <t>0.69</t>
        </is>
      </c>
      <c r="J1293" t="inlineStr">
        <is>
          <t>KATHERINE PEREZ_INSTITUTO ESPANA</t>
        </is>
      </c>
      <c r="K1293" t="inlineStr">
        <is>
          <t>1890127289001</t>
        </is>
      </c>
      <c r="M1293" t="inlineStr">
        <is>
          <t>BTB</t>
        </is>
      </c>
      <c r="N1293" t="inlineStr">
        <is>
          <t>CANAL DIRECTO</t>
        </is>
      </c>
    </row>
    <row r="1294">
      <c r="A1294" t="inlineStr">
        <is>
          <t>21/10/2026</t>
        </is>
      </c>
      <c r="B1294" t="inlineStr">
        <is>
          <t>16506590</t>
        </is>
      </c>
      <c r="C1294" t="inlineStr">
        <is>
          <t>163140</t>
        </is>
      </c>
      <c r="D1294" t="inlineStr">
        <is>
          <t>163140</t>
        </is>
      </c>
      <c r="E1294" t="inlineStr">
        <is>
          <t>HALFSIM TIGO</t>
        </is>
      </c>
      <c r="F1294" t="n">
        <v>2</v>
      </c>
      <c r="G1294" t="n">
        <v>1.38</v>
      </c>
      <c r="H1294" t="inlineStr">
        <is>
          <t>0.69</t>
        </is>
      </c>
      <c r="J1294" t="inlineStr">
        <is>
          <t>FERIGRA DE LA CRUZ MILTON ALONSO_FERIGRA DE LA CRUZ MILTON ALONSO</t>
        </is>
      </c>
      <c r="K1294" t="inlineStr">
        <is>
          <t>1002277893001</t>
        </is>
      </c>
      <c r="M1294" t="inlineStr">
        <is>
          <t>BTB</t>
        </is>
      </c>
      <c r="N1294" t="inlineStr">
        <is>
          <t>CANAL DIRECTO</t>
        </is>
      </c>
    </row>
    <row r="1295">
      <c r="A1295" t="inlineStr">
        <is>
          <t>21/10/2026</t>
        </is>
      </c>
      <c r="B1295" t="inlineStr">
        <is>
          <t>16506673</t>
        </is>
      </c>
      <c r="C1295" t="inlineStr">
        <is>
          <t>163140</t>
        </is>
      </c>
      <c r="D1295" t="inlineStr">
        <is>
          <t>163140</t>
        </is>
      </c>
      <c r="E1295" t="inlineStr">
        <is>
          <t>HALFSIM TIGO</t>
        </is>
      </c>
      <c r="F1295" t="n">
        <v>1</v>
      </c>
      <c r="G1295" t="n">
        <v>0.69</v>
      </c>
      <c r="H1295" t="inlineStr">
        <is>
          <t>0.69</t>
        </is>
      </c>
      <c r="J1295" t="inlineStr">
        <is>
          <t>ING JESSICA TERAN_COMITE DE EMPRESA DE TRABAJADORES DE LA EMPRESA ELECTRICA REGIONAL NORTE SA</t>
        </is>
      </c>
      <c r="K1295" t="inlineStr">
        <is>
          <t>1091721070001</t>
        </is>
      </c>
      <c r="M1295" t="inlineStr">
        <is>
          <t>BTB</t>
        </is>
      </c>
      <c r="N1295" t="inlineStr">
        <is>
          <t>CANAL DIRECTO</t>
        </is>
      </c>
    </row>
    <row r="1296">
      <c r="A1296" t="inlineStr">
        <is>
          <t>21/10/2026</t>
        </is>
      </c>
      <c r="B1296" t="inlineStr">
        <is>
          <t>16506676</t>
        </is>
      </c>
      <c r="C1296" t="inlineStr">
        <is>
          <t>163140</t>
        </is>
      </c>
      <c r="D1296" t="inlineStr">
        <is>
          <t>163140</t>
        </is>
      </c>
      <c r="E1296" t="inlineStr">
        <is>
          <t>HALFSIM TIGO</t>
        </is>
      </c>
      <c r="F1296" t="n">
        <v>2</v>
      </c>
      <c r="G1296" t="n">
        <v>1.38</v>
      </c>
      <c r="H1296" t="inlineStr">
        <is>
          <t>0.69</t>
        </is>
      </c>
      <c r="J1296" t="inlineStr">
        <is>
          <t>ING JESSICA TERAN_COMITE DE EMPRESA DE TRABAJADORES DE LA EMPRESA ELECTRICA REGIONAL NORTE SA</t>
        </is>
      </c>
      <c r="K1296" t="inlineStr">
        <is>
          <t>1091721070001</t>
        </is>
      </c>
      <c r="M1296" t="inlineStr">
        <is>
          <t>BTB</t>
        </is>
      </c>
      <c r="N1296" t="inlineStr">
        <is>
          <t>CANAL DIRECTO</t>
        </is>
      </c>
    </row>
    <row r="1297">
      <c r="A1297" t="inlineStr">
        <is>
          <t>21/10/2026</t>
        </is>
      </c>
      <c r="B1297" t="inlineStr">
        <is>
          <t>97781242</t>
        </is>
      </c>
      <c r="C1297" t="inlineStr">
        <is>
          <t>163140</t>
        </is>
      </c>
      <c r="D1297" t="inlineStr">
        <is>
          <t>163140</t>
        </is>
      </c>
      <c r="E1297" t="inlineStr">
        <is>
          <t>HALFSIM TIGO</t>
        </is>
      </c>
      <c r="F1297" t="n">
        <v>1</v>
      </c>
      <c r="G1297" t="n">
        <v>0.69</v>
      </c>
      <c r="H1297" t="inlineStr">
        <is>
          <t>0.69</t>
        </is>
      </c>
      <c r="J1297" t="inlineStr">
        <is>
          <t>Karen Muñoz</t>
        </is>
      </c>
      <c r="K1297" t="inlineStr">
        <is>
          <t>1309950192</t>
        </is>
      </c>
      <c r="L1297" t="inlineStr">
        <is>
          <t>-0.9553228,-80.7345285</t>
        </is>
      </c>
      <c r="M1297" t="inlineStr">
        <is>
          <t>Cliente Final</t>
        </is>
      </c>
      <c r="N1297" t="inlineStr">
        <is>
          <t>CANAL INDIRECTO</t>
        </is>
      </c>
    </row>
    <row r="1298">
      <c r="A1298" t="inlineStr">
        <is>
          <t>21/10/2026</t>
        </is>
      </c>
      <c r="B1298" t="inlineStr">
        <is>
          <t>97790125</t>
        </is>
      </c>
      <c r="C1298" t="inlineStr">
        <is>
          <t>163140</t>
        </is>
      </c>
      <c r="D1298" t="inlineStr">
        <is>
          <t>163140</t>
        </is>
      </c>
      <c r="E1298" t="inlineStr">
        <is>
          <t>HALFSIM TIGO</t>
        </is>
      </c>
      <c r="F1298" t="n">
        <v>1</v>
      </c>
      <c r="G1298" t="n">
        <v>0.69</v>
      </c>
      <c r="H1298" t="inlineStr">
        <is>
          <t>0.69</t>
        </is>
      </c>
      <c r="J1298" t="inlineStr">
        <is>
          <t>Domenica Encalada</t>
        </is>
      </c>
      <c r="K1298" t="inlineStr">
        <is>
          <t>0923729958</t>
        </is>
      </c>
      <c r="L1298" t="inlineStr">
        <is>
          <t>-2.1868497,-79.9940966</t>
        </is>
      </c>
      <c r="M1298" t="inlineStr">
        <is>
          <t>Cliente Final</t>
        </is>
      </c>
      <c r="N1298" t="inlineStr">
        <is>
          <t>CANAL INDIRECTO</t>
        </is>
      </c>
    </row>
    <row r="1299">
      <c r="A1299" t="inlineStr">
        <is>
          <t>21/10/2026</t>
        </is>
      </c>
      <c r="B1299" t="inlineStr">
        <is>
          <t>16506683</t>
        </is>
      </c>
      <c r="C1299" t="inlineStr">
        <is>
          <t>163140</t>
        </is>
      </c>
      <c r="D1299" t="inlineStr">
        <is>
          <t>163140</t>
        </is>
      </c>
      <c r="E1299" t="inlineStr">
        <is>
          <t>HALFSIM TIGO</t>
        </is>
      </c>
      <c r="F1299" t="n">
        <v>1</v>
      </c>
      <c r="G1299" t="n">
        <v>0.69</v>
      </c>
      <c r="H1299" t="inlineStr">
        <is>
          <t>0.69</t>
        </is>
      </c>
      <c r="J1299" t="inlineStr">
        <is>
          <t>DANILO BRITO_INSPECTORA DE RIESGOS SAFERISK CIA LTDA</t>
        </is>
      </c>
      <c r="K1299" t="inlineStr">
        <is>
          <t>1792797403001</t>
        </is>
      </c>
      <c r="M1299" t="inlineStr">
        <is>
          <t>BTB</t>
        </is>
      </c>
      <c r="N1299" t="inlineStr">
        <is>
          <t>CANAL DIRECTO</t>
        </is>
      </c>
    </row>
    <row r="1300">
      <c r="A1300" t="inlineStr">
        <is>
          <t>21/10/2026</t>
        </is>
      </c>
      <c r="B1300" t="inlineStr">
        <is>
          <t>16506685</t>
        </is>
      </c>
      <c r="C1300" t="inlineStr">
        <is>
          <t>163140</t>
        </is>
      </c>
      <c r="D1300" t="inlineStr">
        <is>
          <t>163140</t>
        </is>
      </c>
      <c r="E1300" t="inlineStr">
        <is>
          <t>HALFSIM TIGO</t>
        </is>
      </c>
      <c r="F1300" t="n">
        <v>1</v>
      </c>
      <c r="G1300" t="n">
        <v>0.69</v>
      </c>
      <c r="H1300" t="inlineStr">
        <is>
          <t>0.69</t>
        </is>
      </c>
      <c r="J1300" t="inlineStr">
        <is>
          <t>ERNESTO CISNEROS ROMERO_OLEODUCTO DE CRUDOS PESADOS OCP ECUADOR S A</t>
        </is>
      </c>
      <c r="K1300" t="inlineStr">
        <is>
          <t>1791765362001</t>
        </is>
      </c>
      <c r="M1300" t="inlineStr">
        <is>
          <t>BTB</t>
        </is>
      </c>
      <c r="N1300" t="inlineStr">
        <is>
          <t>CANAL DIRECTO</t>
        </is>
      </c>
    </row>
    <row r="1301">
      <c r="A1301" t="inlineStr">
        <is>
          <t>21/10/2026</t>
        </is>
      </c>
      <c r="B1301" t="inlineStr">
        <is>
          <t>16506686</t>
        </is>
      </c>
      <c r="C1301" t="inlineStr">
        <is>
          <t>163140</t>
        </is>
      </c>
      <c r="D1301" t="inlineStr">
        <is>
          <t>163140</t>
        </is>
      </c>
      <c r="E1301" t="inlineStr">
        <is>
          <t>HALFSIM TIGO</t>
        </is>
      </c>
      <c r="F1301" t="n">
        <v>1</v>
      </c>
      <c r="G1301" t="n">
        <v>0.69</v>
      </c>
      <c r="H1301" t="inlineStr">
        <is>
          <t>0.69</t>
        </is>
      </c>
      <c r="J1301" t="inlineStr">
        <is>
          <t>MAYRA CASTILLO_1001TALLERES S A</t>
        </is>
      </c>
      <c r="K1301" t="inlineStr">
        <is>
          <t>1792915031001</t>
        </is>
      </c>
      <c r="M1301" t="inlineStr">
        <is>
          <t>BTB</t>
        </is>
      </c>
      <c r="N1301" t="inlineStr">
        <is>
          <t>CANAL DIRECTO</t>
        </is>
      </c>
    </row>
    <row r="1302">
      <c r="A1302" t="inlineStr">
        <is>
          <t>21/10/2026</t>
        </is>
      </c>
      <c r="B1302" t="inlineStr">
        <is>
          <t>16506687</t>
        </is>
      </c>
      <c r="C1302" t="inlineStr">
        <is>
          <t>163140</t>
        </is>
      </c>
      <c r="D1302" t="inlineStr">
        <is>
          <t>163140</t>
        </is>
      </c>
      <c r="E1302" t="inlineStr">
        <is>
          <t>HALFSIM TIGO</t>
        </is>
      </c>
      <c r="F1302" t="n">
        <v>3</v>
      </c>
      <c r="G1302" t="n">
        <v>2.0699999999999998</v>
      </c>
      <c r="H1302" t="inlineStr">
        <is>
          <t>0.69</t>
        </is>
      </c>
      <c r="J1302" t="inlineStr">
        <is>
          <t>CABRERA PIEDRA ELVIZ ARTURO_CABRERA PIEDRA ELVIZ ARTURO</t>
        </is>
      </c>
      <c r="K1302" t="inlineStr">
        <is>
          <t>1711964633001</t>
        </is>
      </c>
      <c r="M1302" t="inlineStr">
        <is>
          <t>BTB</t>
        </is>
      </c>
      <c r="N1302" t="inlineStr">
        <is>
          <t>CANAL DIRECTO</t>
        </is>
      </c>
    </row>
    <row r="1303">
      <c r="A1303" t="inlineStr">
        <is>
          <t>21/10/2026</t>
        </is>
      </c>
      <c r="B1303" t="inlineStr">
        <is>
          <t>16506697</t>
        </is>
      </c>
      <c r="C1303" t="inlineStr">
        <is>
          <t>163140</t>
        </is>
      </c>
      <c r="D1303" t="inlineStr">
        <is>
          <t>163140</t>
        </is>
      </c>
      <c r="E1303" t="inlineStr">
        <is>
          <t>HALFSIM TIGO</t>
        </is>
      </c>
      <c r="F1303" t="n">
        <v>2</v>
      </c>
      <c r="G1303" t="n">
        <v>1.38</v>
      </c>
      <c r="H1303" t="inlineStr">
        <is>
          <t>0.69</t>
        </is>
      </c>
      <c r="J1303" t="inlineStr">
        <is>
          <t>BORJA VITERI LUIS ALBERTO_BORJA VITERI LUIS ALBERTO</t>
        </is>
      </c>
      <c r="K1303" t="inlineStr">
        <is>
          <t>1705935698001</t>
        </is>
      </c>
      <c r="M1303" t="inlineStr">
        <is>
          <t>BTB</t>
        </is>
      </c>
      <c r="N1303" t="inlineStr">
        <is>
          <t>CANAL DIRECTO</t>
        </is>
      </c>
    </row>
    <row r="1304">
      <c r="A1304" t="inlineStr">
        <is>
          <t>21/10/2026</t>
        </is>
      </c>
      <c r="B1304" t="inlineStr">
        <is>
          <t>16506702</t>
        </is>
      </c>
      <c r="C1304" t="inlineStr">
        <is>
          <t>163140</t>
        </is>
      </c>
      <c r="D1304" t="inlineStr">
        <is>
          <t>163140</t>
        </is>
      </c>
      <c r="E1304" t="inlineStr">
        <is>
          <t>HALFSIM TIGO</t>
        </is>
      </c>
      <c r="F1304" t="n">
        <v>1</v>
      </c>
      <c r="G1304" t="n">
        <v>0.69</v>
      </c>
      <c r="H1304" t="inlineStr">
        <is>
          <t>0.69</t>
        </is>
      </c>
      <c r="J1304" t="inlineStr">
        <is>
          <t>MARIA FERNANDA PADILLA YANEZ_CLUB DE LEONES QUITO CENTRAL</t>
        </is>
      </c>
      <c r="K1304" t="inlineStr">
        <is>
          <t>1791306473001</t>
        </is>
      </c>
      <c r="M1304" t="inlineStr">
        <is>
          <t>BTB</t>
        </is>
      </c>
      <c r="N1304" t="inlineStr">
        <is>
          <t>CANAL DIRECTO</t>
        </is>
      </c>
    </row>
    <row r="1305">
      <c r="A1305" t="inlineStr">
        <is>
          <t>21/10/2026</t>
        </is>
      </c>
      <c r="B1305" t="inlineStr">
        <is>
          <t>16506682</t>
        </is>
      </c>
      <c r="C1305" t="inlineStr">
        <is>
          <t>163140</t>
        </is>
      </c>
      <c r="D1305" t="inlineStr">
        <is>
          <t>163140</t>
        </is>
      </c>
      <c r="E1305" t="inlineStr">
        <is>
          <t>HALFSIM TIGO</t>
        </is>
      </c>
      <c r="F1305" t="n">
        <v>1</v>
      </c>
      <c r="G1305" t="n">
        <v>0.69</v>
      </c>
      <c r="H1305" t="inlineStr">
        <is>
          <t>0.69</t>
        </is>
      </c>
      <c r="J1305" t="inlineStr">
        <is>
          <t>GUERRERO MACIAS ALEX DANIEL_GUERRERO MACIAS ALEX DANIEL</t>
        </is>
      </c>
      <c r="K1305" t="inlineStr">
        <is>
          <t>1206769091001</t>
        </is>
      </c>
      <c r="M1305" t="inlineStr">
        <is>
          <t>BTB</t>
        </is>
      </c>
      <c r="N1305" t="inlineStr">
        <is>
          <t>CANAL DIRECTO</t>
        </is>
      </c>
    </row>
    <row r="1306">
      <c r="A1306" t="inlineStr">
        <is>
          <t>21/10/2026</t>
        </is>
      </c>
      <c r="B1306" t="inlineStr">
        <is>
          <t>16506681</t>
        </is>
      </c>
      <c r="C1306" t="inlineStr">
        <is>
          <t>163140</t>
        </is>
      </c>
      <c r="D1306" t="inlineStr">
        <is>
          <t>163140</t>
        </is>
      </c>
      <c r="E1306" t="inlineStr">
        <is>
          <t>HALFSIM TIGO</t>
        </is>
      </c>
      <c r="F1306" t="n">
        <v>1</v>
      </c>
      <c r="G1306" t="n">
        <v>0.69</v>
      </c>
      <c r="H1306" t="inlineStr">
        <is>
          <t>0.69</t>
        </is>
      </c>
      <c r="J1306" t="inlineStr">
        <is>
          <t>DAVID CABRERA_PLI PRODUCTOS DE LIMPIEZA E INSUMOS PROLINS S A S</t>
        </is>
      </c>
      <c r="K1306" t="inlineStr">
        <is>
          <t>0993387696001</t>
        </is>
      </c>
      <c r="M1306" t="inlineStr">
        <is>
          <t>BTB</t>
        </is>
      </c>
      <c r="N1306" t="inlineStr">
        <is>
          <t>CANAL DIRECTO</t>
        </is>
      </c>
    </row>
    <row r="1307">
      <c r="A1307" t="inlineStr">
        <is>
          <t>21/10/2026</t>
        </is>
      </c>
      <c r="B1307" t="inlineStr">
        <is>
          <t>16506711</t>
        </is>
      </c>
      <c r="C1307" t="inlineStr">
        <is>
          <t>163140</t>
        </is>
      </c>
      <c r="D1307" t="inlineStr">
        <is>
          <t>163140</t>
        </is>
      </c>
      <c r="E1307" t="inlineStr">
        <is>
          <t>HALFSIM TIGO</t>
        </is>
      </c>
      <c r="F1307" t="n">
        <v>1</v>
      </c>
      <c r="G1307" t="n">
        <v>0.69</v>
      </c>
      <c r="H1307" t="inlineStr">
        <is>
          <t>0.69</t>
        </is>
      </c>
      <c r="J1307" t="inlineStr">
        <is>
          <t>GUTEMBERG DAZA_SOLUEMPAQUES S A</t>
        </is>
      </c>
      <c r="K1307" t="inlineStr">
        <is>
          <t>0993305286001</t>
        </is>
      </c>
      <c r="M1307" t="inlineStr">
        <is>
          <t>BTB</t>
        </is>
      </c>
      <c r="N1307" t="inlineStr">
        <is>
          <t>CANAL DIRECTO</t>
        </is>
      </c>
    </row>
    <row r="1308">
      <c r="A1308" t="inlineStr">
        <is>
          <t>21/10/2026</t>
        </is>
      </c>
      <c r="B1308" t="inlineStr">
        <is>
          <t>16506747</t>
        </is>
      </c>
      <c r="C1308" t="inlineStr">
        <is>
          <t>163140</t>
        </is>
      </c>
      <c r="D1308" t="inlineStr">
        <is>
          <t>163140</t>
        </is>
      </c>
      <c r="E1308" t="inlineStr">
        <is>
          <t>HALFSIM TIGO</t>
        </is>
      </c>
      <c r="F1308" t="n">
        <v>1</v>
      </c>
      <c r="G1308" t="n">
        <v>0.69</v>
      </c>
      <c r="H1308" t="inlineStr">
        <is>
          <t>0.69</t>
        </is>
      </c>
      <c r="J1308" t="inlineStr">
        <is>
          <t>NAVARRETE BAZURTO PETTER BRYAN_NAVARRETE BAZURTO PETTER BRYAN</t>
        </is>
      </c>
      <c r="K1308" t="inlineStr">
        <is>
          <t>1311474116001</t>
        </is>
      </c>
      <c r="M1308" t="inlineStr">
        <is>
          <t>BTB</t>
        </is>
      </c>
      <c r="N1308" t="inlineStr">
        <is>
          <t>CANAL DIRECTO</t>
        </is>
      </c>
    </row>
    <row r="1309">
      <c r="A1309" t="inlineStr">
        <is>
          <t>22/10/2026</t>
        </is>
      </c>
      <c r="B1309" t="inlineStr">
        <is>
          <t>97778050</t>
        </is>
      </c>
      <c r="C1309" t="inlineStr">
        <is>
          <t>163140</t>
        </is>
      </c>
      <c r="D1309" t="inlineStr">
        <is>
          <t>163140</t>
        </is>
      </c>
      <c r="E1309" t="inlineStr">
        <is>
          <t>HALFSIM TIGO</t>
        </is>
      </c>
      <c r="F1309" t="n">
        <v>1</v>
      </c>
      <c r="G1309" t="n">
        <v>0.69</v>
      </c>
      <c r="H1309" t="inlineStr">
        <is>
          <t>0.69</t>
        </is>
      </c>
      <c r="J1309" t="inlineStr">
        <is>
          <t>Genesis Aracely Rivera Reisancho</t>
        </is>
      </c>
      <c r="K1309" t="inlineStr">
        <is>
          <t>1754502969</t>
        </is>
      </c>
      <c r="L1309" t="inlineStr">
        <is>
          <t>Quito</t>
        </is>
      </c>
      <c r="M1309" t="inlineStr">
        <is>
          <t>Cliente Final</t>
        </is>
      </c>
      <c r="N1309" t="inlineStr">
        <is>
          <t>CANAL INDIRECTO</t>
        </is>
      </c>
    </row>
    <row r="1310">
      <c r="A1310" t="inlineStr">
        <is>
          <t>22/10/2026</t>
        </is>
      </c>
      <c r="B1310" t="inlineStr">
        <is>
          <t>16506305</t>
        </is>
      </c>
      <c r="C1310" t="inlineStr">
        <is>
          <t>163140</t>
        </is>
      </c>
      <c r="D1310" t="inlineStr">
        <is>
          <t>163140</t>
        </is>
      </c>
      <c r="E1310" t="inlineStr">
        <is>
          <t>HALFSIM TIGO</t>
        </is>
      </c>
      <c r="F1310" t="n">
        <v>1</v>
      </c>
      <c r="G1310" t="n">
        <v>0.69</v>
      </c>
      <c r="H1310" t="inlineStr">
        <is>
          <t>0.69</t>
        </is>
      </c>
      <c r="J1310" t="inlineStr">
        <is>
          <t>MORA FARAH ALEX BESHARA_MORA FARAH ALEX BESHARA</t>
        </is>
      </c>
      <c r="K1310" t="inlineStr">
        <is>
          <t>0704770858001</t>
        </is>
      </c>
      <c r="M1310" t="inlineStr">
        <is>
          <t>BTB</t>
        </is>
      </c>
      <c r="N1310" t="inlineStr">
        <is>
          <t>CANAL DIRECTO</t>
        </is>
      </c>
    </row>
    <row r="1311">
      <c r="A1311" t="inlineStr">
        <is>
          <t>22/10/2026</t>
        </is>
      </c>
      <c r="B1311" t="inlineStr">
        <is>
          <t>16506389</t>
        </is>
      </c>
      <c r="C1311" t="inlineStr">
        <is>
          <t>163140</t>
        </is>
      </c>
      <c r="D1311" t="inlineStr">
        <is>
          <t>163140</t>
        </is>
      </c>
      <c r="E1311" t="inlineStr">
        <is>
          <t>HALFSIM TIGO</t>
        </is>
      </c>
      <c r="F1311" t="n">
        <v>1</v>
      </c>
      <c r="G1311" t="n">
        <v>0.69</v>
      </c>
      <c r="H1311" t="inlineStr">
        <is>
          <t>0.69</t>
        </is>
      </c>
      <c r="J1311" t="inlineStr">
        <is>
          <t>MORENO RECALDE HOLGER XAVIER_MORENO RECALDE HOLGER XAVIER</t>
        </is>
      </c>
      <c r="K1311" t="inlineStr">
        <is>
          <t>0915592240001</t>
        </is>
      </c>
      <c r="M1311" t="inlineStr">
        <is>
          <t>BTB</t>
        </is>
      </c>
      <c r="N1311" t="inlineStr">
        <is>
          <t>CANAL DIRECTO</t>
        </is>
      </c>
    </row>
    <row r="1312">
      <c r="A1312" t="inlineStr">
        <is>
          <t>22/10/2026</t>
        </is>
      </c>
      <c r="B1312" t="inlineStr">
        <is>
          <t>16506390</t>
        </is>
      </c>
      <c r="C1312" t="inlineStr">
        <is>
          <t>163140</t>
        </is>
      </c>
      <c r="D1312" t="inlineStr">
        <is>
          <t>163140</t>
        </is>
      </c>
      <c r="E1312" t="inlineStr">
        <is>
          <t>HALFSIM TIGO</t>
        </is>
      </c>
      <c r="F1312" t="n">
        <v>1</v>
      </c>
      <c r="G1312" t="n">
        <v>0.69</v>
      </c>
      <c r="H1312" t="inlineStr">
        <is>
          <t>0.69</t>
        </is>
      </c>
      <c r="J1312" t="inlineStr">
        <is>
          <t>PERALTA HAZ JORGE ANDRES_PERALTA HAZ JORGE ANDRES</t>
        </is>
      </c>
      <c r="K1312" t="inlineStr">
        <is>
          <t>1204121816001</t>
        </is>
      </c>
      <c r="M1312" t="inlineStr">
        <is>
          <t>BTB</t>
        </is>
      </c>
      <c r="N1312" t="inlineStr">
        <is>
          <t>CANAL DIRECTO</t>
        </is>
      </c>
    </row>
    <row r="1313">
      <c r="A1313" t="inlineStr">
        <is>
          <t>22/10/2026</t>
        </is>
      </c>
      <c r="B1313" t="inlineStr">
        <is>
          <t>16506398</t>
        </is>
      </c>
      <c r="C1313" t="inlineStr">
        <is>
          <t>163140</t>
        </is>
      </c>
      <c r="D1313" t="inlineStr">
        <is>
          <t>163140</t>
        </is>
      </c>
      <c r="E1313" t="inlineStr">
        <is>
          <t>HALFSIM TIGO</t>
        </is>
      </c>
      <c r="F1313" t="n">
        <v>1</v>
      </c>
      <c r="G1313" t="n">
        <v>0.69</v>
      </c>
      <c r="H1313" t="inlineStr">
        <is>
          <t>0.69</t>
        </is>
      </c>
      <c r="J1313" t="inlineStr">
        <is>
          <t>DIANA NATHALY PRIETO BRICENO_EL AUTOMOVIL JAPONES AUTOJAPONES CIA</t>
        </is>
      </c>
      <c r="K1313" t="inlineStr">
        <is>
          <t>1792993334001</t>
        </is>
      </c>
      <c r="M1313" t="inlineStr">
        <is>
          <t>BTB</t>
        </is>
      </c>
      <c r="N1313" t="inlineStr">
        <is>
          <t>CANAL DIRECTO</t>
        </is>
      </c>
    </row>
    <row r="1314">
      <c r="A1314" t="inlineStr">
        <is>
          <t>22/10/2026</t>
        </is>
      </c>
      <c r="B1314" t="inlineStr">
        <is>
          <t>16506408</t>
        </is>
      </c>
      <c r="C1314" t="inlineStr">
        <is>
          <t>163140</t>
        </is>
      </c>
      <c r="D1314" t="inlineStr">
        <is>
          <t>163140</t>
        </is>
      </c>
      <c r="E1314" t="inlineStr">
        <is>
          <t>HALFSIM TIGO</t>
        </is>
      </c>
      <c r="F1314" t="n">
        <v>1</v>
      </c>
      <c r="G1314" t="n">
        <v>0.69</v>
      </c>
      <c r="H1314" t="inlineStr">
        <is>
          <t>0.69</t>
        </is>
      </c>
      <c r="J1314" t="inlineStr">
        <is>
          <t>CYNTIA COBO_BANCO PICHINCHA</t>
        </is>
      </c>
      <c r="K1314" t="inlineStr">
        <is>
          <t>1790010937001</t>
        </is>
      </c>
      <c r="M1314" t="inlineStr">
        <is>
          <t>BTB</t>
        </is>
      </c>
      <c r="N1314" t="inlineStr">
        <is>
          <t>CANAL DIRECTO</t>
        </is>
      </c>
    </row>
    <row r="1315">
      <c r="A1315" t="inlineStr">
        <is>
          <t>22/10/2026</t>
        </is>
      </c>
      <c r="B1315" t="inlineStr">
        <is>
          <t>16506439</t>
        </is>
      </c>
      <c r="C1315" t="inlineStr">
        <is>
          <t>163140</t>
        </is>
      </c>
      <c r="D1315" t="inlineStr">
        <is>
          <t>163140</t>
        </is>
      </c>
      <c r="E1315" t="inlineStr">
        <is>
          <t>HALFSIM TIGO</t>
        </is>
      </c>
      <c r="F1315" t="n">
        <v>1</v>
      </c>
      <c r="G1315" t="n">
        <v>0.69</v>
      </c>
      <c r="H1315" t="inlineStr">
        <is>
          <t>0.69</t>
        </is>
      </c>
      <c r="J1315" t="inlineStr">
        <is>
          <t>MARIA MARGARITA MAFLA ORTEGA_ASOCIACION DE SERVIDORES MUNICIPALES DE EL CHACO</t>
        </is>
      </c>
      <c r="K1315" t="inlineStr">
        <is>
          <t>1591707732001</t>
        </is>
      </c>
      <c r="M1315" t="inlineStr">
        <is>
          <t>BTB</t>
        </is>
      </c>
      <c r="N1315" t="inlineStr">
        <is>
          <t>CANAL DIRECTO</t>
        </is>
      </c>
    </row>
    <row r="1316">
      <c r="A1316" t="inlineStr">
        <is>
          <t>22/10/2026</t>
        </is>
      </c>
      <c r="B1316" t="inlineStr">
        <is>
          <t>2026-08564</t>
        </is>
      </c>
      <c r="C1316" t="inlineStr">
        <is>
          <t>163140_05</t>
        </is>
      </c>
      <c r="D1316" t="inlineStr">
        <is>
          <t>163140</t>
        </is>
      </c>
      <c r="E1316" t="inlineStr">
        <is>
          <t>HALFSIM TIGO CHIP PREPAGO $3 WP DUOCELL NUMERADO</t>
        </is>
      </c>
      <c r="F1316" t="n">
        <v>1000</v>
      </c>
      <c r="G1316" t="n">
        <v>690</v>
      </c>
      <c r="H1316" t="inlineStr">
        <is>
          <t>0.69</t>
        </is>
      </c>
      <c r="J1316" t="inlineStr">
        <is>
          <t>DE PRATI_MARIO LEDESMA</t>
        </is>
      </c>
      <c r="K1316" t="inlineStr">
        <is>
          <t>0916211337001</t>
        </is>
      </c>
      <c r="M1316" t="inlineStr">
        <is>
          <t>RETAIL</t>
        </is>
      </c>
      <c r="N1316" t="inlineStr">
        <is>
          <t>CANAL INDIRECTO</t>
        </is>
      </c>
    </row>
    <row r="1317">
      <c r="A1317" t="inlineStr">
        <is>
          <t>22/10/2026</t>
        </is>
      </c>
      <c r="B1317" t="inlineStr">
        <is>
          <t>2026-08565</t>
        </is>
      </c>
      <c r="C1317" t="inlineStr">
        <is>
          <t>163140_05</t>
        </is>
      </c>
      <c r="D1317" t="inlineStr">
        <is>
          <t>163140</t>
        </is>
      </c>
      <c r="E1317" t="inlineStr">
        <is>
          <t>HALFSIM TIGO CHIP PREPAGO $3 WP DUOCELL NUMERADO</t>
        </is>
      </c>
      <c r="F1317" t="n">
        <v>1000</v>
      </c>
      <c r="G1317" t="n">
        <v>690</v>
      </c>
      <c r="H1317" t="inlineStr">
        <is>
          <t>0.69</t>
        </is>
      </c>
      <c r="J1317" t="inlineStr">
        <is>
          <t>PYCCA_MARIO LEDESMA</t>
        </is>
      </c>
      <c r="K1317" t="inlineStr">
        <is>
          <t>0916211337001</t>
        </is>
      </c>
      <c r="M1317" t="inlineStr">
        <is>
          <t>RETAIL</t>
        </is>
      </c>
      <c r="N1317" t="inlineStr">
        <is>
          <t>CANAL INDIRECTO</t>
        </is>
      </c>
    </row>
    <row r="1318">
      <c r="A1318" t="inlineStr">
        <is>
          <t>22/10/2026</t>
        </is>
      </c>
      <c r="B1318" t="inlineStr">
        <is>
          <t>2026-08566</t>
        </is>
      </c>
      <c r="C1318" t="inlineStr">
        <is>
          <t>163140_02</t>
        </is>
      </c>
      <c r="D1318" t="inlineStr">
        <is>
          <t>163140</t>
        </is>
      </c>
      <c r="E1318" t="inlineStr">
        <is>
          <t>HALFSIM TIGO CHIP PREPAGO $3 WP NUMERADO</t>
        </is>
      </c>
      <c r="F1318" t="n">
        <v>500</v>
      </c>
      <c r="G1318" t="n">
        <v>345</v>
      </c>
      <c r="H1318" t="inlineStr">
        <is>
          <t>0.69</t>
        </is>
      </c>
      <c r="J1318" t="inlineStr">
        <is>
          <t>TARSISINVEST TUENTI SANTA ELENA_MARCO VINICIO BASTIDAS TOALA</t>
        </is>
      </c>
      <c r="K1318" t="inlineStr">
        <is>
          <t>0992862459001</t>
        </is>
      </c>
      <c r="M1318" t="inlineStr">
        <is>
          <t>INDIRECTO</t>
        </is>
      </c>
      <c r="N1318" t="inlineStr">
        <is>
          <t>CANAL INDIRECTO</t>
        </is>
      </c>
    </row>
    <row r="1319">
      <c r="A1319" t="inlineStr">
        <is>
          <t>22/10/2026</t>
        </is>
      </c>
      <c r="B1319" t="inlineStr">
        <is>
          <t>2026-08568</t>
        </is>
      </c>
      <c r="C1319" t="inlineStr">
        <is>
          <t>163140_05</t>
        </is>
      </c>
      <c r="D1319" t="inlineStr">
        <is>
          <t>163140</t>
        </is>
      </c>
      <c r="E1319" t="inlineStr">
        <is>
          <t>HALFSIM TIGO CHIP PREPAGO $3 WP DUOCELL NUMERADO</t>
        </is>
      </c>
      <c r="F1319" t="n">
        <v>1000</v>
      </c>
      <c r="G1319" t="n">
        <v>690</v>
      </c>
      <c r="H1319" t="inlineStr">
        <is>
          <t>0.69</t>
        </is>
      </c>
      <c r="J1319" t="inlineStr">
        <is>
          <t>ARTEFACTA_MARIO LEDESMA</t>
        </is>
      </c>
      <c r="K1319" t="inlineStr">
        <is>
          <t>0992664673001</t>
        </is>
      </c>
      <c r="M1319" t="inlineStr">
        <is>
          <t>RETAIL</t>
        </is>
      </c>
      <c r="N1319" t="inlineStr">
        <is>
          <t>CANAL INDIRECTO</t>
        </is>
      </c>
    </row>
    <row r="1320">
      <c r="A1320" t="inlineStr">
        <is>
          <t>22/10/2026</t>
        </is>
      </c>
      <c r="B1320" t="inlineStr">
        <is>
          <t>16506477</t>
        </is>
      </c>
      <c r="C1320" t="inlineStr">
        <is>
          <t>163140</t>
        </is>
      </c>
      <c r="D1320" t="inlineStr">
        <is>
          <t>163140</t>
        </is>
      </c>
      <c r="E1320" t="inlineStr">
        <is>
          <t>HALFSIM TIGO</t>
        </is>
      </c>
      <c r="F1320" t="n">
        <v>4</v>
      </c>
      <c r="G1320" t="n">
        <v>2.76</v>
      </c>
      <c r="H1320" t="inlineStr">
        <is>
          <t>0.69</t>
        </is>
      </c>
      <c r="J1320" t="inlineStr">
        <is>
          <t>LUIGI DENNIS BENAVIDES OBANDO_ REFACTOR STUDIOS S A S</t>
        </is>
      </c>
      <c r="K1320" t="inlineStr">
        <is>
          <t>1793213411001</t>
        </is>
      </c>
      <c r="M1320" t="inlineStr">
        <is>
          <t>BTB</t>
        </is>
      </c>
      <c r="N1320" t="inlineStr">
        <is>
          <t>CANAL DIRECTO</t>
        </is>
      </c>
    </row>
    <row r="1321">
      <c r="A1321" t="inlineStr">
        <is>
          <t>22/10/2026</t>
        </is>
      </c>
      <c r="B1321" t="inlineStr">
        <is>
          <t>16506481</t>
        </is>
      </c>
      <c r="C1321" t="inlineStr">
        <is>
          <t>163140</t>
        </is>
      </c>
      <c r="D1321" t="inlineStr">
        <is>
          <t>163140</t>
        </is>
      </c>
      <c r="E1321" t="inlineStr">
        <is>
          <t>HALFSIM TIGO</t>
        </is>
      </c>
      <c r="F1321" t="n">
        <v>1</v>
      </c>
      <c r="G1321" t="n">
        <v>0.69</v>
      </c>
      <c r="H1321" t="inlineStr">
        <is>
          <t>0.69</t>
        </is>
      </c>
      <c r="J1321" t="inlineStr">
        <is>
          <t>JOSSELYN PAUCAR _PARTESCAT COMPANIA LIMITADA</t>
        </is>
      </c>
      <c r="K1321" t="inlineStr">
        <is>
          <t>1792643430001</t>
        </is>
      </c>
      <c r="M1321" t="inlineStr">
        <is>
          <t>BTB</t>
        </is>
      </c>
      <c r="N1321" t="inlineStr">
        <is>
          <t>CANAL DIRECTO</t>
        </is>
      </c>
    </row>
    <row r="1322">
      <c r="A1322" t="inlineStr">
        <is>
          <t>22/10/2026</t>
        </is>
      </c>
      <c r="B1322" t="inlineStr">
        <is>
          <t>16506486</t>
        </is>
      </c>
      <c r="C1322" t="inlineStr">
        <is>
          <t>163140</t>
        </is>
      </c>
      <c r="D1322" t="inlineStr">
        <is>
          <t>163140</t>
        </is>
      </c>
      <c r="E1322" t="inlineStr">
        <is>
          <t>HALFSIM TIGO</t>
        </is>
      </c>
      <c r="F1322" t="n">
        <v>11</v>
      </c>
      <c r="G1322" t="n">
        <v>7.59</v>
      </c>
      <c r="H1322" t="inlineStr">
        <is>
          <t>0.69</t>
        </is>
      </c>
      <c r="J1322" t="inlineStr">
        <is>
          <t>ANTONIO VILLACIS_CORPORACION DE ESTUDIOS Y PUBLICACIONES</t>
        </is>
      </c>
      <c r="K1322" t="inlineStr">
        <is>
          <t>1790105555001</t>
        </is>
      </c>
      <c r="M1322" t="inlineStr">
        <is>
          <t>BTB</t>
        </is>
      </c>
      <c r="N1322" t="inlineStr">
        <is>
          <t>CANAL DIRECTO</t>
        </is>
      </c>
    </row>
    <row r="1323">
      <c r="A1323" t="inlineStr">
        <is>
          <t>22/10/2026</t>
        </is>
      </c>
      <c r="B1323" t="inlineStr">
        <is>
          <t>16506571</t>
        </is>
      </c>
      <c r="C1323" t="inlineStr">
        <is>
          <t>163140</t>
        </is>
      </c>
      <c r="D1323" t="inlineStr">
        <is>
          <t>163140</t>
        </is>
      </c>
      <c r="E1323" t="inlineStr">
        <is>
          <t>HALFSIM TIGO</t>
        </is>
      </c>
      <c r="F1323" t="n">
        <v>1</v>
      </c>
      <c r="G1323" t="n">
        <v>0.69</v>
      </c>
      <c r="H1323" t="inlineStr">
        <is>
          <t>0.69</t>
        </is>
      </c>
      <c r="J1323" t="inlineStr">
        <is>
          <t>MANUEL ANASTACIO VASQUEZ VERA _SUDAMERICANA DE SERVICIOS DE SEGURIDAD SUDASER CIA LTDA</t>
        </is>
      </c>
      <c r="K1323" t="inlineStr">
        <is>
          <t>0990774838001</t>
        </is>
      </c>
      <c r="M1323" t="inlineStr">
        <is>
          <t>BTB</t>
        </is>
      </c>
      <c r="N1323" t="inlineStr">
        <is>
          <t>CANAL DIRECTO</t>
        </is>
      </c>
    </row>
    <row r="1324">
      <c r="A1324" t="inlineStr">
        <is>
          <t>22/10/2026</t>
        </is>
      </c>
      <c r="B1324" t="inlineStr">
        <is>
          <t>16506574</t>
        </is>
      </c>
      <c r="C1324" t="inlineStr">
        <is>
          <t>163140</t>
        </is>
      </c>
      <c r="D1324" t="inlineStr">
        <is>
          <t>163140</t>
        </is>
      </c>
      <c r="E1324" t="inlineStr">
        <is>
          <t>HALFSIM TIGO</t>
        </is>
      </c>
      <c r="F1324" t="n">
        <v>1</v>
      </c>
      <c r="G1324" t="n">
        <v>0.69</v>
      </c>
      <c r="H1324" t="inlineStr">
        <is>
          <t>0.69</t>
        </is>
      </c>
      <c r="J1324" t="inlineStr">
        <is>
          <t>VIRGINIA VALDERRAMO_BABYS S A</t>
        </is>
      </c>
      <c r="K1324" t="inlineStr">
        <is>
          <t>0990917388001</t>
        </is>
      </c>
      <c r="M1324" t="inlineStr">
        <is>
          <t>BTB</t>
        </is>
      </c>
      <c r="N1324" t="inlineStr">
        <is>
          <t>CANAL DIRECTO</t>
        </is>
      </c>
    </row>
    <row r="1325">
      <c r="A1325" t="inlineStr">
        <is>
          <t>22/10/2026</t>
        </is>
      </c>
      <c r="B1325" t="inlineStr">
        <is>
          <t>16506578</t>
        </is>
      </c>
      <c r="C1325" t="inlineStr">
        <is>
          <t>163140</t>
        </is>
      </c>
      <c r="D1325" t="inlineStr">
        <is>
          <t>163140</t>
        </is>
      </c>
      <c r="E1325" t="inlineStr">
        <is>
          <t>HALFSIM TIGO</t>
        </is>
      </c>
      <c r="F1325" t="n">
        <v>1</v>
      </c>
      <c r="G1325" t="n">
        <v>0.69</v>
      </c>
      <c r="H1325" t="inlineStr">
        <is>
          <t>0.69</t>
        </is>
      </c>
      <c r="J1325" t="inlineStr">
        <is>
          <t>KATTY VELEZ_ALFAFRESH S A</t>
        </is>
      </c>
      <c r="K1325" t="inlineStr">
        <is>
          <t>0993379762001</t>
        </is>
      </c>
      <c r="M1325" t="inlineStr">
        <is>
          <t>BTB</t>
        </is>
      </c>
      <c r="N1325" t="inlineStr">
        <is>
          <t>CANAL DIRECTO</t>
        </is>
      </c>
    </row>
    <row r="1326">
      <c r="A1326" t="inlineStr">
        <is>
          <t>22/10/2026</t>
        </is>
      </c>
      <c r="B1326" t="inlineStr">
        <is>
          <t>16506580</t>
        </is>
      </c>
      <c r="C1326" t="inlineStr">
        <is>
          <t>163140</t>
        </is>
      </c>
      <c r="D1326" t="inlineStr">
        <is>
          <t>163140</t>
        </is>
      </c>
      <c r="E1326" t="inlineStr">
        <is>
          <t>HALFSIM TIGO</t>
        </is>
      </c>
      <c r="F1326" t="n">
        <v>10</v>
      </c>
      <c r="G1326" t="n">
        <v>6.8999999999999995</v>
      </c>
      <c r="H1326" t="inlineStr">
        <is>
          <t>0.69</t>
        </is>
      </c>
      <c r="J1326" t="inlineStr">
        <is>
          <t>BLANCA HIDALGO_E O A SERVICIO S A</t>
        </is>
      </c>
      <c r="K1326" t="inlineStr">
        <is>
          <t>0990777454001</t>
        </is>
      </c>
      <c r="M1326" t="inlineStr">
        <is>
          <t>BTB</t>
        </is>
      </c>
      <c r="N1326" t="inlineStr">
        <is>
          <t>CANAL DIRECTO</t>
        </is>
      </c>
    </row>
    <row r="1327">
      <c r="A1327" t="inlineStr">
        <is>
          <t>22/10/2026</t>
        </is>
      </c>
      <c r="B1327" t="inlineStr">
        <is>
          <t>16506598</t>
        </is>
      </c>
      <c r="C1327" t="inlineStr">
        <is>
          <t>163140</t>
        </is>
      </c>
      <c r="D1327" t="inlineStr">
        <is>
          <t>163140</t>
        </is>
      </c>
      <c r="E1327" t="inlineStr">
        <is>
          <t>HALFSIM TIGO</t>
        </is>
      </c>
      <c r="F1327" t="n">
        <v>1</v>
      </c>
      <c r="G1327" t="n">
        <v>0.69</v>
      </c>
      <c r="H1327" t="inlineStr">
        <is>
          <t>0.69</t>
        </is>
      </c>
      <c r="J1327" t="inlineStr">
        <is>
          <t>JENNIFFER VILLACIS_ASOCIACION SOLIDARISTA PROFUTURO</t>
        </is>
      </c>
      <c r="K1327" t="inlineStr">
        <is>
          <t>0992424222001</t>
        </is>
      </c>
      <c r="M1327" t="inlineStr">
        <is>
          <t>BTB</t>
        </is>
      </c>
      <c r="N1327" t="inlineStr">
        <is>
          <t>CANAL DIRECTO</t>
        </is>
      </c>
    </row>
    <row r="1328">
      <c r="A1328" t="inlineStr">
        <is>
          <t>22/10/2026</t>
        </is>
      </c>
      <c r="B1328" t="inlineStr">
        <is>
          <t>16506599</t>
        </is>
      </c>
      <c r="C1328" t="inlineStr">
        <is>
          <t>163140</t>
        </is>
      </c>
      <c r="D1328" t="inlineStr">
        <is>
          <t>163140</t>
        </is>
      </c>
      <c r="E1328" t="inlineStr">
        <is>
          <t>HALFSIM TIGO</t>
        </is>
      </c>
      <c r="F1328" t="n">
        <v>10</v>
      </c>
      <c r="G1328" t="n">
        <v>6.8999999999999995</v>
      </c>
      <c r="H1328" t="inlineStr">
        <is>
          <t>0.69</t>
        </is>
      </c>
      <c r="J1328" t="inlineStr">
        <is>
          <t>DIANA MURILLO_STARTEC S A</t>
        </is>
      </c>
      <c r="K1328" t="inlineStr">
        <is>
          <t>0993215384001</t>
        </is>
      </c>
      <c r="M1328" t="inlineStr">
        <is>
          <t>BTB</t>
        </is>
      </c>
      <c r="N1328" t="inlineStr">
        <is>
          <t>CANAL DIRECTO</t>
        </is>
      </c>
    </row>
    <row r="1329">
      <c r="A1329" t="inlineStr">
        <is>
          <t>22/10/2026</t>
        </is>
      </c>
      <c r="B1329" t="inlineStr">
        <is>
          <t>16506616</t>
        </is>
      </c>
      <c r="C1329" t="inlineStr">
        <is>
          <t>163140</t>
        </is>
      </c>
      <c r="D1329" t="inlineStr">
        <is>
          <t>163140</t>
        </is>
      </c>
      <c r="E1329" t="inlineStr">
        <is>
          <t>HALFSIM TIGO</t>
        </is>
      </c>
      <c r="F1329" t="n">
        <v>1</v>
      </c>
      <c r="G1329" t="n">
        <v>0.69</v>
      </c>
      <c r="H1329" t="inlineStr">
        <is>
          <t>0.69</t>
        </is>
      </c>
      <c r="J1329" t="inlineStr">
        <is>
          <t>ROBERT ANDRES BURNEO CASTRO_ALMACENES JUAN ELJURI CIA LTDA</t>
        </is>
      </c>
      <c r="K1329" t="inlineStr">
        <is>
          <t>0190007510001</t>
        </is>
      </c>
      <c r="M1329" t="inlineStr">
        <is>
          <t>BTB</t>
        </is>
      </c>
      <c r="N1329" t="inlineStr">
        <is>
          <t>CANAL DIRECTO</t>
        </is>
      </c>
    </row>
    <row r="1330">
      <c r="A1330" t="inlineStr">
        <is>
          <t>22/10/2026</t>
        </is>
      </c>
      <c r="B1330" t="inlineStr">
        <is>
          <t>16506661</t>
        </is>
      </c>
      <c r="C1330" t="inlineStr">
        <is>
          <t>163140</t>
        </is>
      </c>
      <c r="D1330" t="inlineStr">
        <is>
          <t>163140</t>
        </is>
      </c>
      <c r="E1330" t="inlineStr">
        <is>
          <t>HALFSIM TIGO</t>
        </is>
      </c>
      <c r="F1330" t="n">
        <v>2</v>
      </c>
      <c r="G1330" t="n">
        <v>1.38</v>
      </c>
      <c r="H1330" t="inlineStr">
        <is>
          <t>0.69</t>
        </is>
      </c>
      <c r="J1330" t="inlineStr">
        <is>
          <t>JOSELYN AYALA_CAMPES SOCIEDAD CIVIL</t>
        </is>
      </c>
      <c r="K1330" t="inlineStr">
        <is>
          <t>1793128505001</t>
        </is>
      </c>
      <c r="M1330" t="inlineStr">
        <is>
          <t>BTB</t>
        </is>
      </c>
      <c r="N1330" t="inlineStr">
        <is>
          <t>CANAL DIRECTO</t>
        </is>
      </c>
    </row>
    <row r="1331">
      <c r="A1331" t="inlineStr">
        <is>
          <t>22/10/2026</t>
        </is>
      </c>
      <c r="B1331" t="inlineStr">
        <is>
          <t>16506663</t>
        </is>
      </c>
      <c r="C1331" t="inlineStr">
        <is>
          <t>163140</t>
        </is>
      </c>
      <c r="D1331" t="inlineStr">
        <is>
          <t>163140</t>
        </is>
      </c>
      <c r="E1331" t="inlineStr">
        <is>
          <t>HALFSIM TIGO</t>
        </is>
      </c>
      <c r="F1331" t="n">
        <v>1</v>
      </c>
      <c r="G1331" t="n">
        <v>0.69</v>
      </c>
      <c r="H1331" t="inlineStr">
        <is>
          <t>0.69</t>
        </is>
      </c>
      <c r="J1331" t="inlineStr">
        <is>
          <t>ANGELA RIVAS_MEGADATOS S A</t>
        </is>
      </c>
      <c r="K1331" t="inlineStr">
        <is>
          <t>1791287541001</t>
        </is>
      </c>
      <c r="M1331" t="inlineStr">
        <is>
          <t>BTB</t>
        </is>
      </c>
      <c r="N1331" t="inlineStr">
        <is>
          <t>CANAL DIRECTO</t>
        </is>
      </c>
    </row>
    <row r="1332">
      <c r="A1332" t="inlineStr">
        <is>
          <t>22/10/2026</t>
        </is>
      </c>
      <c r="B1332" t="inlineStr">
        <is>
          <t>16506666</t>
        </is>
      </c>
      <c r="C1332" t="inlineStr">
        <is>
          <t>163140</t>
        </is>
      </c>
      <c r="D1332" t="inlineStr">
        <is>
          <t>163140</t>
        </is>
      </c>
      <c r="E1332" t="inlineStr">
        <is>
          <t>HALFSIM TIGO</t>
        </is>
      </c>
      <c r="F1332" t="n">
        <v>1</v>
      </c>
      <c r="G1332" t="n">
        <v>0.69</v>
      </c>
      <c r="H1332" t="inlineStr">
        <is>
          <t>0.69</t>
        </is>
      </c>
      <c r="J1332" t="inlineStr">
        <is>
          <t>JENNIFFER VILLACIS_ASOCIACION SOLIDARISTA PROFUTURO</t>
        </is>
      </c>
      <c r="K1332" t="inlineStr">
        <is>
          <t>0992424222001</t>
        </is>
      </c>
      <c r="M1332" t="inlineStr">
        <is>
          <t>BTB</t>
        </is>
      </c>
      <c r="N1332" t="inlineStr">
        <is>
          <t>CANAL DIRECTO</t>
        </is>
      </c>
    </row>
    <row r="1333">
      <c r="A1333" t="inlineStr">
        <is>
          <t>22/10/2026</t>
        </is>
      </c>
      <c r="B1333" t="inlineStr">
        <is>
          <t>16506674</t>
        </is>
      </c>
      <c r="C1333" t="inlineStr">
        <is>
          <t>163140</t>
        </is>
      </c>
      <c r="D1333" t="inlineStr">
        <is>
          <t>163140</t>
        </is>
      </c>
      <c r="E1333" t="inlineStr">
        <is>
          <t>HALFSIM TIGO</t>
        </is>
      </c>
      <c r="F1333" t="n">
        <v>2</v>
      </c>
      <c r="G1333" t="n">
        <v>1.38</v>
      </c>
      <c r="H1333" t="inlineStr">
        <is>
          <t>0.69</t>
        </is>
      </c>
      <c r="J1333" t="inlineStr">
        <is>
          <t>JOSE LUIS RODRIGO PAZMINO_JOSE LUIS RODRIGO PAZMINO</t>
        </is>
      </c>
      <c r="K1333" t="inlineStr">
        <is>
          <t>0919336313001</t>
        </is>
      </c>
      <c r="M1333" t="inlineStr">
        <is>
          <t>BTB</t>
        </is>
      </c>
      <c r="N1333" t="inlineStr">
        <is>
          <t>CANAL DIRECTO</t>
        </is>
      </c>
    </row>
    <row r="1334">
      <c r="A1334" t="inlineStr">
        <is>
          <t>22/10/2026</t>
        </is>
      </c>
      <c r="B1334" t="inlineStr">
        <is>
          <t>16506684</t>
        </is>
      </c>
      <c r="C1334" t="inlineStr">
        <is>
          <t>163140</t>
        </is>
      </c>
      <c r="D1334" t="inlineStr">
        <is>
          <t>163140</t>
        </is>
      </c>
      <c r="E1334" t="inlineStr">
        <is>
          <t>HALFSIM TIGO</t>
        </is>
      </c>
      <c r="F1334" t="n">
        <v>1</v>
      </c>
      <c r="G1334" t="n">
        <v>0.69</v>
      </c>
      <c r="H1334" t="inlineStr">
        <is>
          <t>0.69</t>
        </is>
      </c>
      <c r="J1334" t="inlineStr">
        <is>
          <t>JOSSELYN PAUCAR _PARTESCAT COMPANIA LIMITADA</t>
        </is>
      </c>
      <c r="K1334" t="inlineStr">
        <is>
          <t>1792643430001</t>
        </is>
      </c>
      <c r="M1334" t="inlineStr">
        <is>
          <t>BTB</t>
        </is>
      </c>
      <c r="N1334" t="inlineStr">
        <is>
          <t>CANAL DIRECTO</t>
        </is>
      </c>
    </row>
    <row r="1335">
      <c r="A1335" t="inlineStr">
        <is>
          <t>22/10/2026</t>
        </is>
      </c>
      <c r="B1335" t="inlineStr">
        <is>
          <t>16506691</t>
        </is>
      </c>
      <c r="C1335" t="inlineStr">
        <is>
          <t>163140</t>
        </is>
      </c>
      <c r="D1335" t="inlineStr">
        <is>
          <t>163140</t>
        </is>
      </c>
      <c r="E1335" t="inlineStr">
        <is>
          <t>HALFSIM TIGO</t>
        </is>
      </c>
      <c r="F1335" t="n">
        <v>5</v>
      </c>
      <c r="G1335" t="n">
        <v>3.4499999999999997</v>
      </c>
      <c r="H1335" t="inlineStr">
        <is>
          <t>0.69</t>
        </is>
      </c>
      <c r="J1335" t="inlineStr">
        <is>
          <t>KAREN ROMERO_ASOCIACION DE SERVIDORES PUBLICOS DE LA DIRECCION REGIONAL SUR</t>
        </is>
      </c>
      <c r="K1335" t="inlineStr">
        <is>
          <t>0992559616001</t>
        </is>
      </c>
      <c r="M1335" t="inlineStr">
        <is>
          <t>BTB</t>
        </is>
      </c>
      <c r="N1335" t="inlineStr">
        <is>
          <t>CANAL DIRECTO</t>
        </is>
      </c>
    </row>
    <row r="1336">
      <c r="A1336" t="inlineStr">
        <is>
          <t>22/10/2026</t>
        </is>
      </c>
      <c r="B1336" t="inlineStr">
        <is>
          <t>2026-08573</t>
        </is>
      </c>
      <c r="C1336" t="inlineStr">
        <is>
          <t>163140</t>
        </is>
      </c>
      <c r="D1336" t="inlineStr">
        <is>
          <t>163140</t>
        </is>
      </c>
      <c r="E1336" t="inlineStr">
        <is>
          <t>HALFSIM TIGO</t>
        </is>
      </c>
      <c r="F1336" t="n">
        <v>300</v>
      </c>
      <c r="G1336" t="n">
        <v>206.99999999999997</v>
      </c>
      <c r="H1336" t="inlineStr">
        <is>
          <t>0.69</t>
        </is>
      </c>
      <c r="J1336" t="inlineStr">
        <is>
          <t>CAVS RECREO_RODRIGUEZ CELI CARMEN JACQUELIN / FAICAN QUINCHE ROSARIO NADEZDA</t>
        </is>
      </c>
      <c r="K1336" t="inlineStr">
        <is>
          <t>1712117678 / 1104457054</t>
        </is>
      </c>
      <c r="M1336" t="inlineStr">
        <is>
          <t>INDIRECTO</t>
        </is>
      </c>
      <c r="N1336" t="inlineStr">
        <is>
          <t>CANAL INDIRECTO</t>
        </is>
      </c>
    </row>
    <row r="1337">
      <c r="A1337" t="inlineStr">
        <is>
          <t>22/10/2026</t>
        </is>
      </c>
      <c r="B1337" t="inlineStr">
        <is>
          <t>2026-08574</t>
        </is>
      </c>
      <c r="C1337" t="inlineStr">
        <is>
          <t>163140</t>
        </is>
      </c>
      <c r="D1337" t="inlineStr">
        <is>
          <t>163140</t>
        </is>
      </c>
      <c r="E1337" t="inlineStr">
        <is>
          <t>HALFSIM TIGO</t>
        </is>
      </c>
      <c r="F1337" t="n">
        <v>200</v>
      </c>
      <c r="G1337" t="n">
        <v>138</v>
      </c>
      <c r="H1337" t="inlineStr">
        <is>
          <t>0.69</t>
        </is>
      </c>
      <c r="J1337" t="inlineStr">
        <is>
          <t>CAVS SAN MARINO_TUAREZ TRIVIÑO MARIA LISBETH / LLANGARI CAICEDO ORBIN FERNANDO</t>
        </is>
      </c>
      <c r="K1337" t="inlineStr">
        <is>
          <t>0</t>
        </is>
      </c>
      <c r="M1337" t="inlineStr">
        <is>
          <t>INDIRECTO</t>
        </is>
      </c>
      <c r="N1337" t="inlineStr">
        <is>
          <t>CANAL INDIRECTO</t>
        </is>
      </c>
    </row>
    <row r="1338">
      <c r="A1338" t="inlineStr">
        <is>
          <t>22/10/2026</t>
        </is>
      </c>
      <c r="B1338" t="inlineStr">
        <is>
          <t>2026-08575</t>
        </is>
      </c>
      <c r="C1338" t="inlineStr">
        <is>
          <t>163140</t>
        </is>
      </c>
      <c r="D1338" t="inlineStr">
        <is>
          <t>163140</t>
        </is>
      </c>
      <c r="E1338" t="inlineStr">
        <is>
          <t>HALFSIM TIGO</t>
        </is>
      </c>
      <c r="F1338" t="n">
        <v>500</v>
      </c>
      <c r="G1338" t="n">
        <v>345</v>
      </c>
      <c r="H1338" t="inlineStr">
        <is>
          <t>0.69</t>
        </is>
      </c>
      <c r="J1338" t="inlineStr">
        <is>
          <t>CAVS QUICENTRO_MENDOZA GUEVARA STALIN FERNANDO / JEFFERSON CEDEÑO</t>
        </is>
      </c>
      <c r="K1338" t="inlineStr">
        <is>
          <t>1720258282</t>
        </is>
      </c>
      <c r="M1338" t="inlineStr">
        <is>
          <t>INDIRECTO</t>
        </is>
      </c>
      <c r="N1338" t="inlineStr">
        <is>
          <t>CANAL INDIRECTO</t>
        </is>
      </c>
    </row>
    <row r="1339">
      <c r="A1339" t="inlineStr">
        <is>
          <t>22/10/2026</t>
        </is>
      </c>
      <c r="B1339" t="inlineStr">
        <is>
          <t>2026-08575</t>
        </is>
      </c>
      <c r="C1339" t="inlineStr">
        <is>
          <t>163141</t>
        </is>
      </c>
      <c r="D1339" t="inlineStr">
        <is>
          <t>163141</t>
        </is>
      </c>
      <c r="E1339" t="inlineStr">
        <is>
          <t>ESIM TIGO DIGITAL</t>
        </is>
      </c>
      <c r="F1339" t="n">
        <v>200</v>
      </c>
      <c r="G1339" t="n">
        <v>42</v>
      </c>
      <c r="H1339" t="inlineStr">
        <is>
          <t>0.21</t>
        </is>
      </c>
      <c r="J1339" t="inlineStr">
        <is>
          <t>CAVS QUICENTRO_MENDOZA GUEVARA STALIN FERNANDO / JEFFERSON CEDEÑO</t>
        </is>
      </c>
      <c r="K1339" t="inlineStr">
        <is>
          <t>1720258282</t>
        </is>
      </c>
      <c r="M1339" t="inlineStr">
        <is>
          <t>INDIRECTO</t>
        </is>
      </c>
      <c r="N1339" t="inlineStr">
        <is>
          <t>CANAL INDIRECTO</t>
        </is>
      </c>
    </row>
    <row r="1340">
      <c r="A1340" t="inlineStr">
        <is>
          <t>22/10/2026</t>
        </is>
      </c>
      <c r="B1340" t="inlineStr">
        <is>
          <t>16506705</t>
        </is>
      </c>
      <c r="C1340" t="inlineStr">
        <is>
          <t>163140</t>
        </is>
      </c>
      <c r="D1340" t="inlineStr">
        <is>
          <t>163140</t>
        </is>
      </c>
      <c r="E1340" t="inlineStr">
        <is>
          <t>HALFSIM TIGO</t>
        </is>
      </c>
      <c r="F1340" t="n">
        <v>1</v>
      </c>
      <c r="G1340" t="n">
        <v>0.69</v>
      </c>
      <c r="H1340" t="inlineStr">
        <is>
          <t>0.69</t>
        </is>
      </c>
      <c r="J1340" t="inlineStr">
        <is>
          <t>DANIELA REASCOS_LATIN FRESH CIA LTDA</t>
        </is>
      </c>
      <c r="K1340" t="inlineStr">
        <is>
          <t>1791850130001</t>
        </is>
      </c>
      <c r="M1340" t="inlineStr">
        <is>
          <t>BTB</t>
        </is>
      </c>
      <c r="N1340" t="inlineStr">
        <is>
          <t>CANAL DIRECTO</t>
        </is>
      </c>
    </row>
    <row r="1341">
      <c r="A1341" t="inlineStr">
        <is>
          <t>22/10/2026</t>
        </is>
      </c>
      <c r="B1341" t="inlineStr">
        <is>
          <t>16506708</t>
        </is>
      </c>
      <c r="C1341" t="inlineStr">
        <is>
          <t>163140</t>
        </is>
      </c>
      <c r="D1341" t="inlineStr">
        <is>
          <t>163140</t>
        </is>
      </c>
      <c r="E1341" t="inlineStr">
        <is>
          <t>HALFSIM TIGO</t>
        </is>
      </c>
      <c r="F1341" t="n">
        <v>2</v>
      </c>
      <c r="G1341" t="n">
        <v>1.38</v>
      </c>
      <c r="H1341" t="inlineStr">
        <is>
          <t>0.69</t>
        </is>
      </c>
      <c r="J1341" t="inlineStr">
        <is>
          <t>PIEDAD MONTOYA_ASOCIACION DE EMPLEADOS DEL H CONSEJO PROVINCIAL DE PICHINCHA</t>
        </is>
      </c>
      <c r="K1341" t="inlineStr">
        <is>
          <t>1791809491001</t>
        </is>
      </c>
      <c r="M1341" t="inlineStr">
        <is>
          <t>BTB</t>
        </is>
      </c>
      <c r="N1341" t="inlineStr">
        <is>
          <t>CANAL DIRECTO</t>
        </is>
      </c>
    </row>
    <row r="1342">
      <c r="A1342" t="inlineStr">
        <is>
          <t>22/10/2026</t>
        </is>
      </c>
      <c r="B1342" t="inlineStr">
        <is>
          <t>16506712</t>
        </is>
      </c>
      <c r="C1342" t="inlineStr">
        <is>
          <t>163140</t>
        </is>
      </c>
      <c r="D1342" t="inlineStr">
        <is>
          <t>163140</t>
        </is>
      </c>
      <c r="E1342" t="inlineStr">
        <is>
          <t>HALFSIM TIGO</t>
        </is>
      </c>
      <c r="F1342" t="n">
        <v>5</v>
      </c>
      <c r="G1342" t="n">
        <v>3.4499999999999997</v>
      </c>
      <c r="H1342" t="inlineStr">
        <is>
          <t>0.69</t>
        </is>
      </c>
      <c r="J1342" t="inlineStr">
        <is>
          <t>RUILOVA DE LA TORRE IRMA JANETTE_COOPERATIVA DE TAXIS JULIO JARAMILLO NO 94</t>
        </is>
      </c>
      <c r="K1342" t="inlineStr">
        <is>
          <t>1790478270001</t>
        </is>
      </c>
      <c r="M1342" t="inlineStr">
        <is>
          <t>BTB</t>
        </is>
      </c>
      <c r="N1342" t="inlineStr">
        <is>
          <t>CANAL DIRECTO</t>
        </is>
      </c>
    </row>
    <row r="1343">
      <c r="A1343" t="inlineStr">
        <is>
          <t>22/10/2026</t>
        </is>
      </c>
      <c r="B1343" t="inlineStr">
        <is>
          <t>16506717</t>
        </is>
      </c>
      <c r="C1343" t="inlineStr">
        <is>
          <t>163140</t>
        </is>
      </c>
      <c r="D1343" t="inlineStr">
        <is>
          <t>163140</t>
        </is>
      </c>
      <c r="E1343" t="inlineStr">
        <is>
          <t>HALFSIM TIGO</t>
        </is>
      </c>
      <c r="F1343" t="n">
        <v>5</v>
      </c>
      <c r="G1343" t="n">
        <v>3.4499999999999997</v>
      </c>
      <c r="H1343" t="inlineStr">
        <is>
          <t>0.69</t>
        </is>
      </c>
      <c r="J1343" t="inlineStr">
        <is>
          <t>CRISTIAN NASEVILLIA_COOFI S A S</t>
        </is>
      </c>
      <c r="K1343" t="inlineStr">
        <is>
          <t>1793236235001</t>
        </is>
      </c>
      <c r="M1343" t="inlineStr">
        <is>
          <t>BTB</t>
        </is>
      </c>
      <c r="N1343" t="inlineStr">
        <is>
          <t>CANAL DIRECTO</t>
        </is>
      </c>
    </row>
    <row r="1344">
      <c r="A1344" t="inlineStr">
        <is>
          <t>22/10/2026</t>
        </is>
      </c>
      <c r="B1344" t="inlineStr">
        <is>
          <t>16506723</t>
        </is>
      </c>
      <c r="C1344" t="inlineStr">
        <is>
          <t>163140</t>
        </is>
      </c>
      <c r="D1344" t="inlineStr">
        <is>
          <t>163140</t>
        </is>
      </c>
      <c r="E1344" t="inlineStr">
        <is>
          <t>HALFSIM TIGO</t>
        </is>
      </c>
      <c r="F1344" t="n">
        <v>1</v>
      </c>
      <c r="G1344" t="n">
        <v>0.69</v>
      </c>
      <c r="H1344" t="inlineStr">
        <is>
          <t>0.69</t>
        </is>
      </c>
      <c r="J1344" t="inlineStr">
        <is>
          <t>LESLIE RIOFRIO_CLINICA DE NEUROCIENCIAS CIA LTDA</t>
        </is>
      </c>
      <c r="K1344" t="inlineStr">
        <is>
          <t>1792226511001</t>
        </is>
      </c>
      <c r="M1344" t="inlineStr">
        <is>
          <t>BTB</t>
        </is>
      </c>
      <c r="N1344" t="inlineStr">
        <is>
          <t>CANAL DIRECTO</t>
        </is>
      </c>
    </row>
    <row r="1345">
      <c r="A1345" t="inlineStr">
        <is>
          <t>22/10/2026</t>
        </is>
      </c>
      <c r="B1345" t="inlineStr">
        <is>
          <t>16506724</t>
        </is>
      </c>
      <c r="C1345" t="inlineStr">
        <is>
          <t>163140</t>
        </is>
      </c>
      <c r="D1345" t="inlineStr">
        <is>
          <t>163140</t>
        </is>
      </c>
      <c r="E1345" t="inlineStr">
        <is>
          <t>HALFSIM TIGO</t>
        </is>
      </c>
      <c r="F1345" t="n">
        <v>2</v>
      </c>
      <c r="G1345" t="n">
        <v>1.38</v>
      </c>
      <c r="H1345" t="inlineStr">
        <is>
          <t>0.69</t>
        </is>
      </c>
      <c r="J1345" t="inlineStr">
        <is>
          <t>JIMMY PARRALES O BEATRIZ QUINDEMITE_JIMMY ANDRES PARRALES VERA</t>
        </is>
      </c>
      <c r="K1345" t="inlineStr">
        <is>
          <t>0925413825001</t>
        </is>
      </c>
      <c r="M1345" t="inlineStr">
        <is>
          <t>BTB</t>
        </is>
      </c>
      <c r="N1345" t="inlineStr">
        <is>
          <t>CANAL DIRECTO</t>
        </is>
      </c>
    </row>
    <row r="1346">
      <c r="A1346" t="inlineStr">
        <is>
          <t>22/10/2026</t>
        </is>
      </c>
      <c r="B1346" t="inlineStr">
        <is>
          <t>16506726</t>
        </is>
      </c>
      <c r="C1346" t="inlineStr">
        <is>
          <t>163140</t>
        </is>
      </c>
      <c r="D1346" t="inlineStr">
        <is>
          <t>163140</t>
        </is>
      </c>
      <c r="E1346" t="inlineStr">
        <is>
          <t>HALFSIM TIGO</t>
        </is>
      </c>
      <c r="F1346" t="n">
        <v>5</v>
      </c>
      <c r="G1346" t="n">
        <v>3.4499999999999997</v>
      </c>
      <c r="H1346" t="inlineStr">
        <is>
          <t>0.69</t>
        </is>
      </c>
      <c r="J1346" t="inlineStr">
        <is>
          <t>SILVIA TRIVINO RECEPCION_TELCONET S A</t>
        </is>
      </c>
      <c r="K1346" t="inlineStr">
        <is>
          <t>0991327371001</t>
        </is>
      </c>
      <c r="M1346" t="inlineStr">
        <is>
          <t>BTB</t>
        </is>
      </c>
      <c r="N1346" t="inlineStr">
        <is>
          <t>CANAL DIRECTO</t>
        </is>
      </c>
    </row>
    <row r="1347">
      <c r="A1347" t="inlineStr">
        <is>
          <t>22/10/2026</t>
        </is>
      </c>
      <c r="B1347" t="inlineStr">
        <is>
          <t>16506736</t>
        </is>
      </c>
      <c r="C1347" t="inlineStr">
        <is>
          <t>163140</t>
        </is>
      </c>
      <c r="D1347" t="inlineStr">
        <is>
          <t>163140</t>
        </is>
      </c>
      <c r="E1347" t="inlineStr">
        <is>
          <t>HALFSIM TIGO</t>
        </is>
      </c>
      <c r="F1347" t="n">
        <v>1</v>
      </c>
      <c r="G1347" t="n">
        <v>0.69</v>
      </c>
      <c r="H1347" t="inlineStr">
        <is>
          <t>0.69</t>
        </is>
      </c>
      <c r="J1347" t="inlineStr">
        <is>
          <t>JESENIA SALAZAR Z_CONSTITUCION C A COMPANIA DE SEGUROS</t>
        </is>
      </c>
      <c r="K1347" t="inlineStr">
        <is>
          <t>0990786097001</t>
        </is>
      </c>
      <c r="M1347" t="inlineStr">
        <is>
          <t>BTB</t>
        </is>
      </c>
      <c r="N1347" t="inlineStr">
        <is>
          <t>CANAL DIRECTO</t>
        </is>
      </c>
    </row>
    <row r="1348">
      <c r="A1348" t="inlineStr">
        <is>
          <t>22/10/2026</t>
        </is>
      </c>
      <c r="B1348" t="inlineStr">
        <is>
          <t>16506739</t>
        </is>
      </c>
      <c r="C1348" t="inlineStr">
        <is>
          <t>163140</t>
        </is>
      </c>
      <c r="D1348" t="inlineStr">
        <is>
          <t>163140</t>
        </is>
      </c>
      <c r="E1348" t="inlineStr">
        <is>
          <t>HALFSIM TIGO</t>
        </is>
      </c>
      <c r="F1348" t="n">
        <v>5</v>
      </c>
      <c r="G1348" t="n">
        <v>3.4499999999999997</v>
      </c>
      <c r="H1348" t="inlineStr">
        <is>
          <t>0.69</t>
        </is>
      </c>
      <c r="J1348" t="inlineStr">
        <is>
          <t>ABAD PAZMINO MARCO ANTONIO_ERATRADING S A S</t>
        </is>
      </c>
      <c r="K1348" t="inlineStr">
        <is>
          <t>1793196564001</t>
        </is>
      </c>
      <c r="M1348" t="inlineStr">
        <is>
          <t>BTB</t>
        </is>
      </c>
      <c r="N1348" t="inlineStr">
        <is>
          <t>CANAL DIRECTO</t>
        </is>
      </c>
    </row>
    <row r="1349">
      <c r="A1349" t="inlineStr">
        <is>
          <t>22/10/2026</t>
        </is>
      </c>
      <c r="B1349" t="inlineStr">
        <is>
          <t>16506744</t>
        </is>
      </c>
      <c r="C1349" t="inlineStr">
        <is>
          <t>163140</t>
        </is>
      </c>
      <c r="D1349" t="inlineStr">
        <is>
          <t>163140</t>
        </is>
      </c>
      <c r="E1349" t="inlineStr">
        <is>
          <t>HALFSIM TIGO</t>
        </is>
      </c>
      <c r="F1349" t="n">
        <v>2</v>
      </c>
      <c r="G1349" t="n">
        <v>1.38</v>
      </c>
      <c r="H1349" t="inlineStr">
        <is>
          <t>0.69</t>
        </is>
      </c>
      <c r="J1349" t="inlineStr">
        <is>
          <t>NARVAEZ REYES EDISON RICARDO_NARVAEZ REYES EDISON RICARDO</t>
        </is>
      </c>
      <c r="K1349" t="inlineStr">
        <is>
          <t>1718533548001</t>
        </is>
      </c>
      <c r="M1349" t="inlineStr">
        <is>
          <t>BTB</t>
        </is>
      </c>
      <c r="N1349" t="inlineStr">
        <is>
          <t>CANAL DIRECTO</t>
        </is>
      </c>
    </row>
    <row r="1350">
      <c r="A1350" t="inlineStr">
        <is>
          <t>22/10/2026</t>
        </is>
      </c>
      <c r="B1350" t="inlineStr">
        <is>
          <t>16506748</t>
        </is>
      </c>
      <c r="C1350" t="inlineStr">
        <is>
          <t>163140</t>
        </is>
      </c>
      <c r="D1350" t="inlineStr">
        <is>
          <t>163140</t>
        </is>
      </c>
      <c r="E1350" t="inlineStr">
        <is>
          <t>HALFSIM TIGO</t>
        </is>
      </c>
      <c r="F1350" t="n">
        <v>1</v>
      </c>
      <c r="G1350" t="n">
        <v>0.69</v>
      </c>
      <c r="H1350" t="inlineStr">
        <is>
          <t>0.69</t>
        </is>
      </c>
      <c r="J1350" t="inlineStr">
        <is>
          <t>DE LA CRUZ YANCHA EUSEBIO_DE LA CRUZ YANCHA EUSEBIO</t>
        </is>
      </c>
      <c r="K1350" t="inlineStr">
        <is>
          <t>1802537546001</t>
        </is>
      </c>
      <c r="M1350" t="inlineStr">
        <is>
          <t>BTB</t>
        </is>
      </c>
      <c r="N1350" t="inlineStr">
        <is>
          <t>CANAL DIRECTO</t>
        </is>
      </c>
    </row>
    <row r="1351">
      <c r="A1351" t="inlineStr">
        <is>
          <t>22/10/2026</t>
        </is>
      </c>
      <c r="B1351" t="inlineStr">
        <is>
          <t>2026-08581</t>
        </is>
      </c>
      <c r="C1351" t="inlineStr">
        <is>
          <t>163140</t>
        </is>
      </c>
      <c r="D1351" t="inlineStr">
        <is>
          <t>163140</t>
        </is>
      </c>
      <c r="E1351" t="inlineStr">
        <is>
          <t>HALFSIM TIGO</t>
        </is>
      </c>
      <c r="F1351" t="n">
        <v>100</v>
      </c>
      <c r="G1351" t="n">
        <v>69</v>
      </c>
      <c r="H1351" t="inlineStr">
        <is>
          <t>0.69</t>
        </is>
      </c>
      <c r="J1351" t="inlineStr">
        <is>
          <t>CORPORATIVO ROMERO RYRTECH S.A.S  (C.C. EL DORADO)_ELIZABETH SALAGATA</t>
        </is>
      </c>
      <c r="K1351" t="inlineStr">
        <is>
          <t>0993323705001</t>
        </is>
      </c>
      <c r="M1351" t="inlineStr">
        <is>
          <t>INDIRECTO</t>
        </is>
      </c>
      <c r="N1351" t="inlineStr">
        <is>
          <t>CANAL INDIRECTO</t>
        </is>
      </c>
    </row>
    <row r="1352">
      <c r="A1352" t="inlineStr">
        <is>
          <t>22/10/2026</t>
        </is>
      </c>
      <c r="B1352" t="inlineStr">
        <is>
          <t>2026-08582</t>
        </is>
      </c>
      <c r="C1352" t="inlineStr">
        <is>
          <t>163141</t>
        </is>
      </c>
      <c r="D1352" t="inlineStr">
        <is>
          <t>163141</t>
        </is>
      </c>
      <c r="E1352" t="inlineStr">
        <is>
          <t>ESIM TIGO DIGITAL</t>
        </is>
      </c>
      <c r="F1352" t="n">
        <v>100</v>
      </c>
      <c r="G1352" t="n">
        <v>21</v>
      </c>
      <c r="H1352" t="inlineStr">
        <is>
          <t>0.21</t>
        </is>
      </c>
      <c r="J1352" t="inlineStr">
        <is>
          <t>CAVS AE NORPHONE EL JARDIN_PAOLA MORAN</t>
        </is>
      </c>
      <c r="K1352" t="inlineStr">
        <is>
          <t>1091717898001</t>
        </is>
      </c>
      <c r="M1352" t="inlineStr">
        <is>
          <t>INDIRECTO</t>
        </is>
      </c>
      <c r="N1352" t="inlineStr">
        <is>
          <t>CANAL INDIRECTO</t>
        </is>
      </c>
    </row>
    <row r="1353">
      <c r="A1353" t="inlineStr">
        <is>
          <t>22/10/2026</t>
        </is>
      </c>
      <c r="B1353" t="inlineStr">
        <is>
          <t>2026-08584</t>
        </is>
      </c>
      <c r="C1353" t="inlineStr">
        <is>
          <t>163140</t>
        </is>
      </c>
      <c r="D1353" t="inlineStr">
        <is>
          <t>163140</t>
        </is>
      </c>
      <c r="E1353" t="inlineStr">
        <is>
          <t>HALFSIM TIGO</t>
        </is>
      </c>
      <c r="F1353" t="n">
        <v>100</v>
      </c>
      <c r="G1353" t="n">
        <v>69</v>
      </c>
      <c r="H1353" t="inlineStr">
        <is>
          <t>0.69</t>
        </is>
      </c>
      <c r="J1353" t="inlineStr">
        <is>
          <t>PDV CORPORATIVO ROMERO HYPERMARKET BUIJO_ROMERO RODRIGUEZ MAURENY GEANELLA</t>
        </is>
      </c>
      <c r="K1353" t="inlineStr">
        <is>
          <t>0915962609</t>
        </is>
      </c>
      <c r="M1353" t="inlineStr">
        <is>
          <t>INDIRECTO</t>
        </is>
      </c>
      <c r="N1353" t="inlineStr">
        <is>
          <t>CANAL INDIRECTO</t>
        </is>
      </c>
    </row>
    <row r="1354">
      <c r="A1354" t="inlineStr">
        <is>
          <t>22/10/2026</t>
        </is>
      </c>
      <c r="B1354" t="inlineStr">
        <is>
          <t>2026-08584</t>
        </is>
      </c>
      <c r="C1354" t="inlineStr">
        <is>
          <t>163141</t>
        </is>
      </c>
      <c r="D1354" t="inlineStr">
        <is>
          <t>163141</t>
        </is>
      </c>
      <c r="E1354" t="inlineStr">
        <is>
          <t>ESIM TIGO DIGITAL</t>
        </is>
      </c>
      <c r="F1354" t="n">
        <v>30</v>
      </c>
      <c r="G1354" t="n">
        <v>6.3</v>
      </c>
      <c r="H1354" t="inlineStr">
        <is>
          <t>0.21</t>
        </is>
      </c>
      <c r="J1354" t="inlineStr">
        <is>
          <t>PDV CORPORATIVO ROMERO HYPERMARKET BUIJO_ROMERO RODRIGUEZ MAURENY GEANELLA</t>
        </is>
      </c>
      <c r="K1354" t="inlineStr">
        <is>
          <t>0915962609</t>
        </is>
      </c>
      <c r="M1354" t="inlineStr">
        <is>
          <t>INDIRECTO</t>
        </is>
      </c>
      <c r="N1354" t="inlineStr">
        <is>
          <t>CANAL INDIRECTO</t>
        </is>
      </c>
    </row>
    <row r="1355">
      <c r="A1355" t="inlineStr">
        <is>
          <t>22/10/2026</t>
        </is>
      </c>
      <c r="B1355" t="inlineStr">
        <is>
          <t>2026-08587</t>
        </is>
      </c>
      <c r="C1355" t="inlineStr">
        <is>
          <t>163140</t>
        </is>
      </c>
      <c r="D1355" t="inlineStr">
        <is>
          <t>163140</t>
        </is>
      </c>
      <c r="E1355" t="inlineStr">
        <is>
          <t>HALFSIM TIGO</t>
        </is>
      </c>
      <c r="F1355" t="n">
        <v>100</v>
      </c>
      <c r="G1355" t="n">
        <v>69</v>
      </c>
      <c r="H1355" t="inlineStr">
        <is>
          <t>0.69</t>
        </is>
      </c>
      <c r="J1355" t="inlineStr">
        <is>
          <t>AE NORPHONE IBARRA_PAOLA MORAN</t>
        </is>
      </c>
      <c r="K1355" t="inlineStr">
        <is>
          <t>1001472958</t>
        </is>
      </c>
      <c r="M1355" t="inlineStr">
        <is>
          <t>INDIRECTO</t>
        </is>
      </c>
      <c r="N1355" t="inlineStr">
        <is>
          <t>CANAL INDIRECTO</t>
        </is>
      </c>
    </row>
    <row r="1356">
      <c r="A1356" t="inlineStr">
        <is>
          <t>22/10/2026</t>
        </is>
      </c>
      <c r="B1356" t="inlineStr">
        <is>
          <t>2026-08587</t>
        </is>
      </c>
      <c r="C1356" t="inlineStr">
        <is>
          <t>163141</t>
        </is>
      </c>
      <c r="D1356" t="inlineStr">
        <is>
          <t>163141</t>
        </is>
      </c>
      <c r="E1356" t="inlineStr">
        <is>
          <t>ESIM TIGO DIGITAL</t>
        </is>
      </c>
      <c r="F1356" t="n">
        <v>100</v>
      </c>
      <c r="G1356" t="n">
        <v>21</v>
      </c>
      <c r="H1356" t="inlineStr">
        <is>
          <t>0.21</t>
        </is>
      </c>
      <c r="J1356" t="inlineStr">
        <is>
          <t>AE NORPHONE IBARRA_PAOLA MORAN</t>
        </is>
      </c>
      <c r="K1356" t="inlineStr">
        <is>
          <t>1001472958</t>
        </is>
      </c>
      <c r="M1356" t="inlineStr">
        <is>
          <t>INDIRECTO</t>
        </is>
      </c>
      <c r="N1356" t="inlineStr">
        <is>
          <t>CANAL INDIRECTO</t>
        </is>
      </c>
    </row>
    <row r="1357">
      <c r="A1357" t="inlineStr">
        <is>
          <t>22/10/2026</t>
        </is>
      </c>
      <c r="B1357" t="inlineStr">
        <is>
          <t>2026-08588</t>
        </is>
      </c>
      <c r="C1357" t="inlineStr">
        <is>
          <t>163140_02</t>
        </is>
      </c>
      <c r="D1357" t="inlineStr">
        <is>
          <t>163140</t>
        </is>
      </c>
      <c r="E1357" t="inlineStr">
        <is>
          <t>HALFSIM TIGO CHIP PREPAGO $3 WP NUMERADO</t>
        </is>
      </c>
      <c r="F1357" t="n">
        <v>1200</v>
      </c>
      <c r="G1357" t="n">
        <v>827.99999999999989</v>
      </c>
      <c r="H1357" t="inlineStr">
        <is>
          <t>0.69</t>
        </is>
      </c>
      <c r="J1357" t="inlineStr">
        <is>
          <t>BLUECHIP ZONIFICACION LOS RIOS_SILVIA ALVAREZ / PAOLA MORAN</t>
        </is>
      </c>
      <c r="K1357" t="inlineStr">
        <is>
          <t>0927781807</t>
        </is>
      </c>
      <c r="M1357" t="inlineStr">
        <is>
          <t>INDIRECTO</t>
        </is>
      </c>
      <c r="N1357" t="inlineStr">
        <is>
          <t>CANAL INDIRECTO</t>
        </is>
      </c>
    </row>
    <row r="1358">
      <c r="A1358" t="inlineStr">
        <is>
          <t>22/10/2026</t>
        </is>
      </c>
      <c r="B1358" t="inlineStr">
        <is>
          <t>2026-08589</t>
        </is>
      </c>
      <c r="C1358" t="inlineStr">
        <is>
          <t>163140</t>
        </is>
      </c>
      <c r="D1358" t="inlineStr">
        <is>
          <t>163140</t>
        </is>
      </c>
      <c r="E1358" t="inlineStr">
        <is>
          <t>HALFSIM TIGO</t>
        </is>
      </c>
      <c r="F1358" t="n">
        <v>200</v>
      </c>
      <c r="G1358" t="n">
        <v>138</v>
      </c>
      <c r="H1358" t="inlineStr">
        <is>
          <t>0.69</t>
        </is>
      </c>
      <c r="J1358" t="inlineStr">
        <is>
          <t>AE CORPORATIVO ROMERO RYRTECH (MALL DEL SUR)_ELIZABETH SALAGATA</t>
        </is>
      </c>
      <c r="K1358" t="inlineStr">
        <is>
          <t>0915962609</t>
        </is>
      </c>
      <c r="M1358" t="inlineStr">
        <is>
          <t>INDIRECTO</t>
        </is>
      </c>
      <c r="N1358" t="inlineStr">
        <is>
          <t>CANAL INDIRECTO</t>
        </is>
      </c>
    </row>
    <row r="1359">
      <c r="A1359" t="inlineStr">
        <is>
          <t>22/10/2026</t>
        </is>
      </c>
      <c r="B1359" t="inlineStr">
        <is>
          <t>2026-08592</t>
        </is>
      </c>
      <c r="C1359" t="inlineStr">
        <is>
          <t>163140</t>
        </is>
      </c>
      <c r="D1359" t="inlineStr">
        <is>
          <t>163140</t>
        </is>
      </c>
      <c r="E1359" t="inlineStr">
        <is>
          <t>HALFSIM TIGO</t>
        </is>
      </c>
      <c r="F1359" t="n">
        <v>200</v>
      </c>
      <c r="G1359" t="n">
        <v>138</v>
      </c>
      <c r="H1359" t="inlineStr">
        <is>
          <t>0.69</t>
        </is>
      </c>
      <c r="J1359" t="inlineStr">
        <is>
          <t>AE NORPHONE AMBATO_PAOLA MORAN</t>
        </is>
      </c>
      <c r="K1359" t="inlineStr">
        <is>
          <t>1001472958</t>
        </is>
      </c>
      <c r="M1359" t="inlineStr">
        <is>
          <t>INDIRECTO</t>
        </is>
      </c>
      <c r="N1359" t="inlineStr">
        <is>
          <t>CANAL INDIRECTO</t>
        </is>
      </c>
    </row>
    <row r="1360">
      <c r="A1360" t="inlineStr">
        <is>
          <t>22/10/2026</t>
        </is>
      </c>
      <c r="B1360" t="inlineStr">
        <is>
          <t>2026-08592</t>
        </is>
      </c>
      <c r="C1360" t="inlineStr">
        <is>
          <t>163141</t>
        </is>
      </c>
      <c r="D1360" t="inlineStr">
        <is>
          <t>163141</t>
        </is>
      </c>
      <c r="E1360" t="inlineStr">
        <is>
          <t>ESIM TIGO DIGITAL</t>
        </is>
      </c>
      <c r="F1360" t="n">
        <v>50</v>
      </c>
      <c r="G1360" t="n">
        <v>10.5</v>
      </c>
      <c r="H1360" t="inlineStr">
        <is>
          <t>0.21</t>
        </is>
      </c>
      <c r="J1360" t="inlineStr">
        <is>
          <t>AE NORPHONE AMBATO_PAOLA MORAN</t>
        </is>
      </c>
      <c r="K1360" t="inlineStr">
        <is>
          <t>1001472958</t>
        </is>
      </c>
      <c r="M1360" t="inlineStr">
        <is>
          <t>INDIRECTO</t>
        </is>
      </c>
      <c r="N1360" t="inlineStr">
        <is>
          <t>CANAL INDIRECTO</t>
        </is>
      </c>
    </row>
    <row r="1361">
      <c r="A1361" t="inlineStr">
        <is>
          <t>22/10/2026</t>
        </is>
      </c>
      <c r="B1361" t="inlineStr">
        <is>
          <t>2026-08593</t>
        </is>
      </c>
      <c r="C1361" t="inlineStr">
        <is>
          <t>163140_06</t>
        </is>
      </c>
      <c r="D1361" t="inlineStr">
        <is>
          <t>163140</t>
        </is>
      </c>
      <c r="E1361" t="inlineStr">
        <is>
          <t>HALFSIM TIGO PORTABILIDAD</t>
        </is>
      </c>
      <c r="F1361" t="n">
        <v>100</v>
      </c>
      <c r="G1361" t="n">
        <v>69</v>
      </c>
      <c r="H1361" t="inlineStr">
        <is>
          <t>0.69</t>
        </is>
      </c>
      <c r="J1361" t="inlineStr">
        <is>
          <t>JORGE CENTENO PORTABILIDADES_JORGE ISAAC CENTENO URETA</t>
        </is>
      </c>
      <c r="K1361" t="inlineStr">
        <is>
          <t>1307869394001</t>
        </is>
      </c>
      <c r="M1361" t="inlineStr">
        <is>
          <t>INDIRECTO</t>
        </is>
      </c>
      <c r="N1361" t="inlineStr">
        <is>
          <t>CANAL INDIRECTO</t>
        </is>
      </c>
    </row>
    <row r="1362">
      <c r="A1362" t="inlineStr">
        <is>
          <t>22/10/2026</t>
        </is>
      </c>
      <c r="B1362" t="inlineStr">
        <is>
          <t>2026-08594</t>
        </is>
      </c>
      <c r="C1362" t="inlineStr">
        <is>
          <t>163140_02</t>
        </is>
      </c>
      <c r="D1362" t="inlineStr">
        <is>
          <t>163140</t>
        </is>
      </c>
      <c r="E1362" t="inlineStr">
        <is>
          <t>HALFSIM TIGO CHIP PREPAGO $3 WP NUMERADO</t>
        </is>
      </c>
      <c r="F1362" t="n">
        <v>300</v>
      </c>
      <c r="G1362" t="n">
        <v>206.99999999999997</v>
      </c>
      <c r="H1362" t="inlineStr">
        <is>
          <t>0.69</t>
        </is>
      </c>
      <c r="J1362" t="inlineStr">
        <is>
          <t>BLUECHIP ZONIFICACION SANTA ELENA_SILVIA ALVAREZ / PAOLA MORAN</t>
        </is>
      </c>
      <c r="K1362" t="inlineStr">
        <is>
          <t>0927781807</t>
        </is>
      </c>
      <c r="M1362" t="inlineStr">
        <is>
          <t>INDIRECTO</t>
        </is>
      </c>
      <c r="N1362" t="inlineStr">
        <is>
          <t>CANAL INDIRECTO</t>
        </is>
      </c>
    </row>
    <row r="1363">
      <c r="A1363" t="inlineStr">
        <is>
          <t>22/10/2026</t>
        </is>
      </c>
      <c r="B1363" t="inlineStr">
        <is>
          <t>2026-08598</t>
        </is>
      </c>
      <c r="C1363" t="inlineStr">
        <is>
          <t>163140_02</t>
        </is>
      </c>
      <c r="D1363" t="inlineStr">
        <is>
          <t>163140</t>
        </is>
      </c>
      <c r="E1363" t="inlineStr">
        <is>
          <t>HALFSIM TIGO CHIP PREPAGO $3 WP NUMERADO</t>
        </is>
      </c>
      <c r="F1363" t="n">
        <v>3000</v>
      </c>
      <c r="G1363" t="n">
        <v>2070</v>
      </c>
      <c r="H1363" t="inlineStr">
        <is>
          <t>0.69</t>
        </is>
      </c>
      <c r="J1363" t="inlineStr">
        <is>
          <t>MOVIPHONE AZUAY_GALO PALLAROSO</t>
        </is>
      </c>
      <c r="K1363" t="inlineStr">
        <is>
          <t>0391007160001</t>
        </is>
      </c>
      <c r="M1363" t="inlineStr">
        <is>
          <t>INDIRECTO</t>
        </is>
      </c>
      <c r="N1363" t="inlineStr">
        <is>
          <t>CANAL INDIRECTO</t>
        </is>
      </c>
    </row>
    <row r="1364">
      <c r="A1364" t="inlineStr">
        <is>
          <t>22/10/2026</t>
        </is>
      </c>
      <c r="B1364" t="inlineStr">
        <is>
          <t>2026-08599</t>
        </is>
      </c>
      <c r="C1364" t="inlineStr">
        <is>
          <t>163140_06</t>
        </is>
      </c>
      <c r="D1364" t="inlineStr">
        <is>
          <t>163140</t>
        </is>
      </c>
      <c r="E1364" t="inlineStr">
        <is>
          <t>HALFSIM TIGO PORTABILIDAD</t>
        </is>
      </c>
      <c r="F1364" t="n">
        <v>100</v>
      </c>
      <c r="G1364" t="n">
        <v>69</v>
      </c>
      <c r="H1364" t="inlineStr">
        <is>
          <t>0.69</t>
        </is>
      </c>
      <c r="J1364" t="inlineStr">
        <is>
          <t>KIOSKO RYRTECH SAN MARINO_ROMERO RODRIGUEZ MAURENY GEANELLA</t>
        </is>
      </c>
      <c r="K1364" t="inlineStr">
        <is>
          <t>0915962609</t>
        </is>
      </c>
      <c r="M1364" t="inlineStr">
        <is>
          <t>INDIRECTO</t>
        </is>
      </c>
      <c r="N1364" t="inlineStr">
        <is>
          <t>CANAL INDIRECTO</t>
        </is>
      </c>
    </row>
    <row r="1365">
      <c r="A1365" t="inlineStr">
        <is>
          <t>22/10/2026</t>
        </is>
      </c>
      <c r="B1365" t="inlineStr">
        <is>
          <t>2026-08599</t>
        </is>
      </c>
      <c r="C1365" t="inlineStr">
        <is>
          <t>163141</t>
        </is>
      </c>
      <c r="D1365" t="inlineStr">
        <is>
          <t>163141</t>
        </is>
      </c>
      <c r="E1365" t="inlineStr">
        <is>
          <t>ESIM TIGO DIGITAL</t>
        </is>
      </c>
      <c r="F1365" t="n">
        <v>50</v>
      </c>
      <c r="G1365" t="n">
        <v>10.5</v>
      </c>
      <c r="H1365" t="inlineStr">
        <is>
          <t>0.21</t>
        </is>
      </c>
      <c r="J1365" t="inlineStr">
        <is>
          <t>KIOSKO RYRTECH SAN MARINO_ROMERO RODRIGUEZ MAURENY GEANELLA</t>
        </is>
      </c>
      <c r="K1365" t="inlineStr">
        <is>
          <t>0915962609</t>
        </is>
      </c>
      <c r="M1365" t="inlineStr">
        <is>
          <t>INDIRECTO</t>
        </is>
      </c>
      <c r="N1365" t="inlineStr">
        <is>
          <t>CANAL INDIRECTO</t>
        </is>
      </c>
    </row>
    <row r="1366">
      <c r="A1366" t="inlineStr">
        <is>
          <t>22/10/2026</t>
        </is>
      </c>
      <c r="B1366" t="inlineStr">
        <is>
          <t>2026-08601</t>
        </is>
      </c>
      <c r="C1366" t="inlineStr">
        <is>
          <t>163140_02</t>
        </is>
      </c>
      <c r="D1366" t="inlineStr">
        <is>
          <t>163140</t>
        </is>
      </c>
      <c r="E1366" t="inlineStr">
        <is>
          <t>HALFSIM TIGO CHIP PREPAGO $3 WP NUMERADO</t>
        </is>
      </c>
      <c r="F1366" t="n">
        <v>1000</v>
      </c>
      <c r="G1366" t="n">
        <v>690</v>
      </c>
      <c r="H1366" t="inlineStr">
        <is>
          <t>0.69</t>
        </is>
      </c>
      <c r="J1366" t="inlineStr">
        <is>
          <t>TARSISINVEST TUENTI KENNEDY_MARCO BASTIDAS TOALA</t>
        </is>
      </c>
      <c r="K1366" t="inlineStr">
        <is>
          <t>0992862459001</t>
        </is>
      </c>
      <c r="M1366" t="inlineStr">
        <is>
          <t>INDIRECTO</t>
        </is>
      </c>
      <c r="N1366" t="inlineStr">
        <is>
          <t>CANAL INDIRECTO</t>
        </is>
      </c>
    </row>
    <row r="1367">
      <c r="A1367" t="inlineStr">
        <is>
          <t>22/10/2026</t>
        </is>
      </c>
      <c r="B1367" t="inlineStr">
        <is>
          <t>2026-08602</t>
        </is>
      </c>
      <c r="C1367" t="inlineStr">
        <is>
          <t>163140_02</t>
        </is>
      </c>
      <c r="D1367" t="inlineStr">
        <is>
          <t>163140</t>
        </is>
      </c>
      <c r="E1367" t="inlineStr">
        <is>
          <t>HALFSIM TIGO CHIP PREPAGO $3 WP NUMERADO</t>
        </is>
      </c>
      <c r="F1367" t="n">
        <v>300</v>
      </c>
      <c r="G1367" t="n">
        <v>206.99999999999997</v>
      </c>
      <c r="H1367" t="inlineStr">
        <is>
          <t>0.69</t>
        </is>
      </c>
      <c r="J1367" t="inlineStr">
        <is>
          <t>NORPHONE PICHINCHA ADMINISTRATIVO_MIGUEL MICHILENA</t>
        </is>
      </c>
      <c r="K1367" t="inlineStr">
        <is>
          <t>0916791601</t>
        </is>
      </c>
      <c r="M1367" t="inlineStr">
        <is>
          <t>INDIRECTO</t>
        </is>
      </c>
      <c r="N1367" t="inlineStr">
        <is>
          <t>CANAL INDIRECTO</t>
        </is>
      </c>
    </row>
    <row r="1368">
      <c r="A1368" t="inlineStr">
        <is>
          <t>22/10/2026</t>
        </is>
      </c>
      <c r="B1368" t="inlineStr">
        <is>
          <t>2026-08604</t>
        </is>
      </c>
      <c r="C1368" t="inlineStr">
        <is>
          <t>163140_02</t>
        </is>
      </c>
      <c r="D1368" t="inlineStr">
        <is>
          <t>163140</t>
        </is>
      </c>
      <c r="E1368" t="inlineStr">
        <is>
          <t>HALFSIM TIGO CHIP PREPAGO $3 WP NUMERADO</t>
        </is>
      </c>
      <c r="F1368" t="n">
        <v>300</v>
      </c>
      <c r="G1368" t="n">
        <v>206.99999999999997</v>
      </c>
      <c r="H1368" t="inlineStr">
        <is>
          <t>0.69</t>
        </is>
      </c>
      <c r="J1368" t="inlineStr">
        <is>
          <t>SEPMGROUPSEPM S.A.S. - LOJA_JOSE DAVID JARA PESANTEZ</t>
        </is>
      </c>
      <c r="K1368" t="inlineStr">
        <is>
          <t>0105108419</t>
        </is>
      </c>
      <c r="M1368" t="inlineStr">
        <is>
          <t>INDIRECTO</t>
        </is>
      </c>
      <c r="N1368" t="inlineStr">
        <is>
          <t>CANAL INDIRECTO</t>
        </is>
      </c>
    </row>
    <row r="1369">
      <c r="A1369" t="inlineStr">
        <is>
          <t>22/10/2026</t>
        </is>
      </c>
      <c r="B1369" t="inlineStr">
        <is>
          <t>2026-08605</t>
        </is>
      </c>
      <c r="C1369" t="inlineStr">
        <is>
          <t>163140</t>
        </is>
      </c>
      <c r="D1369" t="inlineStr">
        <is>
          <t>163140</t>
        </is>
      </c>
      <c r="E1369" t="inlineStr">
        <is>
          <t>HALFSIM TIGO</t>
        </is>
      </c>
      <c r="F1369" t="n">
        <v>100</v>
      </c>
      <c r="G1369" t="n">
        <v>69</v>
      </c>
      <c r="H1369" t="inlineStr">
        <is>
          <t>0.69</t>
        </is>
      </c>
      <c r="J1369" t="inlineStr">
        <is>
          <t>CORPORATIVO ROMERO RYRTECH S.A.S (DURAN)_ELIZABETH SALAGATA</t>
        </is>
      </c>
      <c r="K1369" t="inlineStr">
        <is>
          <t>0915962609</t>
        </is>
      </c>
      <c r="M1369" t="inlineStr">
        <is>
          <t>INDIRECTO</t>
        </is>
      </c>
      <c r="N1369" t="inlineStr">
        <is>
          <t>CANAL INDIRECTO</t>
        </is>
      </c>
    </row>
    <row r="1370">
      <c r="A1370" t="inlineStr">
        <is>
          <t>22/10/2026</t>
        </is>
      </c>
      <c r="B1370" t="inlineStr">
        <is>
          <t>2026-08606</t>
        </is>
      </c>
      <c r="C1370" t="inlineStr">
        <is>
          <t>163140</t>
        </is>
      </c>
      <c r="D1370" t="inlineStr">
        <is>
          <t>163140</t>
        </is>
      </c>
      <c r="E1370" t="inlineStr">
        <is>
          <t>HALFSIM TIGO</t>
        </is>
      </c>
      <c r="F1370" t="n">
        <v>200</v>
      </c>
      <c r="G1370" t="n">
        <v>138</v>
      </c>
      <c r="H1370" t="inlineStr">
        <is>
          <t>0.69</t>
        </is>
      </c>
      <c r="J1370" t="inlineStr">
        <is>
          <t>CAVS AE SALESLAND CUENCA CENTRO_JULY FREIRE</t>
        </is>
      </c>
      <c r="K1370" t="inlineStr">
        <is>
          <t>0</t>
        </is>
      </c>
      <c r="M1370" t="inlineStr">
        <is>
          <t>INDIRECTO</t>
        </is>
      </c>
      <c r="N1370" t="inlineStr">
        <is>
          <t>CANAL INDIRECTO</t>
        </is>
      </c>
    </row>
    <row r="1371">
      <c r="A1371" t="inlineStr">
        <is>
          <t>22/10/2026</t>
        </is>
      </c>
      <c r="B1371" t="inlineStr">
        <is>
          <t>2026-08607</t>
        </is>
      </c>
      <c r="C1371" t="inlineStr">
        <is>
          <t>163140</t>
        </is>
      </c>
      <c r="D1371" t="inlineStr">
        <is>
          <t>163140</t>
        </is>
      </c>
      <c r="E1371" t="inlineStr">
        <is>
          <t>HALFSIM TIGO</t>
        </is>
      </c>
      <c r="F1371" t="n">
        <v>200</v>
      </c>
      <c r="G1371" t="n">
        <v>138</v>
      </c>
      <c r="H1371" t="inlineStr">
        <is>
          <t>0.69</t>
        </is>
      </c>
      <c r="J1371" t="inlineStr">
        <is>
          <t>PDV SALESLAND LOJA CENTRO_DIEGO MENA VILLALBA</t>
        </is>
      </c>
      <c r="K1371" t="inlineStr">
        <is>
          <t>1713085593</t>
        </is>
      </c>
      <c r="M1371" t="inlineStr">
        <is>
          <t>INDIRECTO</t>
        </is>
      </c>
      <c r="N1371" t="inlineStr">
        <is>
          <t>CANAL INDIRECTO</t>
        </is>
      </c>
    </row>
    <row r="1372">
      <c r="A1372" t="inlineStr">
        <is>
          <t>22/10/2026</t>
        </is>
      </c>
      <c r="B1372" t="inlineStr">
        <is>
          <t>2026-08609</t>
        </is>
      </c>
      <c r="C1372" t="inlineStr">
        <is>
          <t>163140_02</t>
        </is>
      </c>
      <c r="D1372" t="inlineStr">
        <is>
          <t>163140</t>
        </is>
      </c>
      <c r="E1372" t="inlineStr">
        <is>
          <t>HALFSIM TIGO CHIP PREPAGO $3 WP NUMERADO</t>
        </is>
      </c>
      <c r="F1372" t="n">
        <v>1500</v>
      </c>
      <c r="G1372" t="n">
        <v>1035</v>
      </c>
      <c r="H1372" t="inlineStr">
        <is>
          <t>0.69</t>
        </is>
      </c>
      <c r="J1372" t="inlineStr">
        <is>
          <t>BLUECHIP ZONIFICACION GUAYAS_SILVIA ALVAREZ / PAOLA MORAN</t>
        </is>
      </c>
      <c r="K1372" t="inlineStr">
        <is>
          <t>0927781807</t>
        </is>
      </c>
      <c r="M1372" t="inlineStr">
        <is>
          <t>INDIRECTO</t>
        </is>
      </c>
      <c r="N1372" t="inlineStr">
        <is>
          <t>CANAL INDIRECTO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Kelvin Espinales</dc:creator>
  <dcterms:created xmlns:dcterms="http://purl.org/dc/terms/" xmlns:xsi="http://www.w3.org/2001/XMLSchema-instance" xsi:type="dcterms:W3CDTF">2020-03-05T16:49:22Z</dcterms:created>
  <dcterms:modified xmlns:dcterms="http://purl.org/dc/terms/" xmlns:xsi="http://www.w3.org/2001/XMLSchema-instance" xsi:type="dcterms:W3CDTF">2026-10-22T21:38:23Z</dcterms:modified>
  <cp:lastModifiedBy>ELVA ES. SHUGULI - TELEFONICA</cp:lastModifiedBy>
</cp:coreProperties>
</file>